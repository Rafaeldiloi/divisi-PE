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ATAAN PERUMAHAN" sheetId="1" r:id="rId4"/>
    <sheet state="visible" name="REKAP DATA" sheetId="2" r:id="rId5"/>
    <sheet state="visible" name="DETAIL KPI" sheetId="3" r:id="rId6"/>
    <sheet state="visible" name="KPI Format Baru" sheetId="4" r:id="rId7"/>
    <sheet state="visible" name="KPI Per Provinsi" sheetId="5" r:id="rId8"/>
    <sheet state="visible" name="PENANGGUNG JWB-SK DIRJEN" sheetId="6" r:id="rId9"/>
    <sheet state="visible" name="KONTAK" sheetId="7" r:id="rId10"/>
    <sheet state="visible" name="BPHTB" sheetId="8" r:id="rId11"/>
    <sheet state="hidden" name="PAK FITRON" sheetId="9" r:id="rId12"/>
    <sheet state="hidden" name="PAK BASTIN" sheetId="10" r:id="rId13"/>
    <sheet state="hidden" name="PAK WISIK" sheetId="11" r:id="rId14"/>
    <sheet state="hidden" name="PAK PULUNG" sheetId="12" r:id="rId15"/>
    <sheet state="hidden" name="Pak Lilik" sheetId="13" r:id="rId16"/>
    <sheet state="hidden" name="PLT. BU CHANDRA" sheetId="14" r:id="rId17"/>
    <sheet state="hidden" name="PAK HARDI" sheetId="15" r:id="rId18"/>
    <sheet state="hidden" name="BU HANDINI" sheetId="16" r:id="rId19"/>
    <sheet state="hidden" name="BU CHANDRA" sheetId="17" r:id="rId20"/>
    <sheet state="hidden" name="BU RINI" sheetId="18" r:id="rId21"/>
    <sheet state="hidden" name="PAK TAMBAT" sheetId="19" r:id="rId22"/>
    <sheet state="hidden" name="PAK BRAM" sheetId="20" r:id="rId23"/>
    <sheet state="hidden" name="PAK YUNUS" sheetId="21" r:id="rId24"/>
    <sheet state="hidden" name="PAK HEBY" sheetId="22" r:id="rId25"/>
    <sheet state="hidden" name="PAK YOKE" sheetId="23" r:id="rId26"/>
    <sheet state="hidden" name="BU DINA" sheetId="24" r:id="rId27"/>
    <sheet state="hidden" name="PAK JULIAN" sheetId="25" r:id="rId28"/>
    <sheet state="hidden" name="BU RATNA" sheetId="26" r:id="rId29"/>
    <sheet state="hidden" name="PAK NINO" sheetId="27" r:id="rId30"/>
    <sheet state="hidden" name="PAK INDRA" sheetId="28" r:id="rId31"/>
    <sheet state="hidden" name="PAK WIDI" sheetId="29" r:id="rId32"/>
    <sheet state="hidden" name="BU VERLI" sheetId="30" r:id="rId33"/>
    <sheet state="hidden" name="BU ANE" sheetId="31" r:id="rId34"/>
    <sheet state="hidden" name="BU ELIZABETH" sheetId="32" r:id="rId35"/>
    <sheet state="hidden" name="BU WINDA" sheetId="33" r:id="rId36"/>
  </sheets>
  <definedNames>
    <definedName hidden="1" localSheetId="0" name="Z_23ABBBA5_DE26_43CD_BEEC_F0F5ECEE06AE_.wvu.FilterData">'PENDATAAN PERUMAHAN'!$A$7:$AJ$231</definedName>
    <definedName hidden="1" localSheetId="0" name="Z_E3E129AB_897C_42F7_90F9_07B72AD0186D_.wvu.FilterData">'PENDATAAN PERUMAHAN'!$B$4:$AC$231</definedName>
    <definedName hidden="1" localSheetId="0" name="Z_B16A12E7_B437_4369_A3A4_A95EFB1C4CF8_.wvu.FilterData">'PENDATAAN PERUMAHAN'!$A$7:$AJ$231</definedName>
  </definedNames>
  <calcPr/>
  <customWorkbookViews>
    <customWorkbookView activeSheetId="0" maximized="1" windowHeight="0" windowWidth="0" guid="{E3E129AB-897C-42F7-90F9-07B72AD0186D}" name="Filter 2"/>
    <customWorkbookView activeSheetId="0" maximized="1" windowHeight="0" windowWidth="0" guid="{23ABBBA5-DE26-43CD-BEEC-F0F5ECEE06AE}" name="Filter 3"/>
    <customWorkbookView activeSheetId="0" maximized="1" windowHeight="0" windowWidth="0" guid="{B16A12E7-B437-4369-A3A4-A95EFB1C4CF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59">
      <text>
        <t xml:space="preserve">[UPDATE 28/11/2025 : 10.30 WIB]
Masih sesuai dengan berita Acara tgl 7/10/2025. -Ahnaf</t>
      </text>
    </comment>
    <comment authorId="0" ref="E114">
      <text>
        <t xml:space="preserve">Status 1 Juni 2025
</t>
      </text>
    </comment>
    <comment authorId="0" ref="E115">
      <text>
        <t xml:space="preserve">Status 1 Juni 2025
</t>
      </text>
    </comment>
    <comment authorId="0" ref="E117">
      <text>
        <t xml:space="preserve">Status 02 Juli 2025 (data tapera)
</t>
      </text>
    </comment>
    <comment authorId="0" ref="E118">
      <text>
        <t xml:space="preserve">Status 1 Juni 2025
</t>
      </text>
    </comment>
    <comment authorId="0" ref="H118">
      <text>
        <t xml:space="preserve">Status 1 Juni 2025
</t>
      </text>
    </comment>
    <comment authorId="0" ref="R118">
      <text>
        <t xml:space="preserve">Status 1 Juni 2025
</t>
      </text>
    </comment>
    <comment authorId="0" ref="E119">
      <text>
        <t xml:space="preserve">Status 1 Juni 2025
</t>
      </text>
    </comment>
    <comment authorId="0" ref="E120">
      <text>
        <t xml:space="preserve">Status 13 Juni 2025 (data tapera)
</t>
      </text>
    </comment>
    <comment authorId="0" ref="F120">
      <text>
        <t xml:space="preserve">Status 1 Juni 2025 
Status 9 Okt 2025: 256</t>
      </text>
    </comment>
    <comment authorId="0" ref="M120">
      <text>
        <t xml:space="preserve">Status 1 Juni 2025
65 update per 9 Oktober
</t>
      </text>
    </comment>
    <comment authorId="0" ref="R120">
      <text>
        <t xml:space="preserve">Status 1 Juni 2025
</t>
      </text>
    </comment>
    <comment authorId="0" ref="S120">
      <text>
        <t xml:space="preserve">Status 1 Juni 2025
</t>
      </text>
    </comment>
    <comment authorId="0" ref="E121">
      <text>
        <t xml:space="preserve">Status 1 Juni 2025</t>
      </text>
    </comment>
    <comment authorId="0" ref="E122">
      <text>
        <t xml:space="preserve">Status 1 Juni 2025
</t>
      </text>
    </comment>
    <comment authorId="0" ref="R123">
      <text>
        <t xml:space="preserve">Data Kab. Tegal 12/8: PK APBD Kab. 8 unit
Surat Prov Jateng: PK APBD Prov 23 unit</t>
      </text>
    </comment>
    <comment authorId="0" ref="E124">
      <text>
        <t xml:space="preserve">https://www.tapera.go.id/
(Status 1 Juni 2025)
Periode 2025: 674  unit
Jan 2025: 4 unit
Feb 2025: 35 unit
Mar 2025: 229 unit
Apr 2025: 217 unit
Mei 2025: 53 unit
Juni 2025: 136 unit
Periode 2024: 172 unit
Okt 2024: 84 unit
Nov 2024: 79 unit
Des 2024: 9 unit</t>
      </text>
    </comment>
    <comment authorId="0" ref="F124">
      <text>
        <t xml:space="preserve">https://sikumbang.tapera.go.id/
(Status 1 Juni 2025)
Terdapat 1 unit rumah yang merupakan data penjumlahan rumah komersial ready stock dan 474 kavling komersial pada perumahan di Kab. Brebes yang tampil di SIKUMBANG</t>
      </text>
    </comment>
    <comment authorId="0" ref="M124">
      <text>
        <t xml:space="preserve">Sumber data: Dinas DISPERAKIM Kab. Brebes
(Status: 1 Juni 2025)
Rencana PB (APBD): 598 unit
APBD Prov. Jateng: 511 unit
APBD Kab. Brebes: 87 unit</t>
      </text>
    </comment>
    <comment authorId="0" ref="N124">
      <text>
        <t xml:space="preserve">(Sumber data: BP2P Jawa III)
Terdapat 333 unit PK tahun 2024 (Okt-Des)
Cek lagi!!</t>
      </text>
    </comment>
    <comment authorId="0" ref="R124">
      <text>
        <t xml:space="preserve">Sumber data: Dinas DISPERAKIM Kab. Brebes
(Status: 1 Juni 2025)
Rencana PK:
APBD Kab. Brebes: 212 unit
Realisasi PK:
APBD Kab. Brebes: 48 unit
Data Kab. Brebes 31/7: PK APBD Kab 64 unit
Surat Prov Jateng: PK APBD Prov 137 unit</t>
      </text>
    </comment>
    <comment authorId="0" ref="S124">
      <text>
        <t xml:space="preserve">Sumber data: Dinas DISPERAKIM Kab. Brebes
(Status: 1 Juni 2025)
Rencana CSR:
BAZNAS Kab. Brebes: 22 unit</t>
      </text>
    </comment>
    <comment authorId="0" ref="E125">
      <text>
        <t xml:space="preserve">Data sikumbang di take out karena tidak ada filter pembangunan sejak tahun berapa, jumlah rumah sebanyak: 
192 unit rumah subsidi (status 16 Mei 2025)</t>
      </text>
    </comment>
    <comment authorId="0" ref="H125">
      <text>
        <t xml:space="preserve">Swadaya 94 unit
Sumber data:
https://bit.ly/datawil1bangdes
status data: Okt 2024 - Des 2025</t>
      </text>
    </comment>
    <comment authorId="0" ref="M125">
      <text>
        <t xml:space="preserve">Rencana APBD TA 2025
11 unit</t>
      </text>
    </comment>
    <comment authorId="0" ref="R125">
      <text>
        <t xml:space="preserve">Rencana APBD TA 2025
213
Masih proses perencanaan/verifikasi</t>
      </text>
    </comment>
    <comment authorId="0" ref="E126">
      <text>
        <t xml:space="preserve">akumulasi data sikumbang + Tapera. Data sikumbang belum difilter tahun
Data sikumbang di take out karena tidak ada filter pembangunan sejak tahun berapa, jumlah rumah sebanyak: 
1.330 unit rumah subsidi (status 16 Mei 2025)</t>
      </text>
    </comment>
    <comment authorId="0" ref="F126">
      <text>
        <t xml:space="preserve">Sumber data: https://sikumbang.tapera.go.id/
(Status 1 Juni 2025)
Data penjumlahan rumah komersil status kavling di Kab. Bantul yang tampil di SIKUMBANG= 659 unit</t>
      </text>
    </comment>
    <comment authorId="0" ref="M126">
      <text>
        <t xml:space="preserve">Rencana APBD TA 2025
20 unit
10 unit masih dalam proses perencanaan/verifikasi. Rencana pembangunan di akhir bulan Juni</t>
      </text>
    </comment>
    <comment authorId="0" ref="R126">
      <text>
        <t xml:space="preserve">rencana APBD TA 2025
128 unit
Masih dalam proses perencanaan/verifikasi. Rencana pembangunan di akhir bulan Juni</t>
      </text>
    </comment>
    <comment authorId="0" ref="E127">
      <text>
        <t xml:space="preserve">akumulasi data sikumbang + Tapera. Data sikumbang belum difilter tahun
Data sikumbang di take out karena tidak ada filter pembangunan sejak tahun berapa, jumlah rumah sebanyak: 
2.487 unit rumah subsidi (status 16 Mei 2025)</t>
      </text>
    </comment>
    <comment authorId="0" ref="H127">
      <text>
        <t xml:space="preserve">Swadaya 94 unit
Sumber data:
https://bit.ly/datawil1bangdes
status data: Okt 2024 - Des 2025</t>
      </text>
    </comment>
    <comment authorId="0" ref="M127">
      <text>
        <t xml:space="preserve">Realisasi TA okt - des 2024
11 unit
</t>
      </text>
    </comment>
    <comment authorId="0" ref="N127">
      <text>
        <t xml:space="preserve">Realisasi APBN okt-des 2024
279 unit
</t>
      </text>
    </comment>
    <comment authorId="0" ref="R127">
      <text>
        <t xml:space="preserve">Realisasi okt - des 2024
10 unit</t>
      </text>
    </comment>
    <comment authorId="0" ref="S127">
      <text>
        <t xml:space="preserve">SUmber Data :
Dinas Perumahan Kab Gunung Kidul
CSR dari Baznas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0">
      <text>
        <t xml:space="preserve">RUTILAHU - KODIM</t>
      </text>
    </comment>
    <comment authorId="0" ref="Q140">
      <text>
        <t xml:space="preserve">Basnaz</t>
      </text>
    </comment>
  </commentList>
</comments>
</file>

<file path=xl/sharedStrings.xml><?xml version="1.0" encoding="utf-8"?>
<sst xmlns="http://schemas.openxmlformats.org/spreadsheetml/2006/main" count="5651" uniqueCount="1344">
  <si>
    <t>-</t>
  </si>
  <si>
    <t xml:space="preserve"> </t>
  </si>
  <si>
    <t>Pembangunan Baru (unit)</t>
  </si>
  <si>
    <t>No</t>
  </si>
  <si>
    <t>Provinsi</t>
  </si>
  <si>
    <t>Kabupaten</t>
  </si>
  <si>
    <t>Pembangunan Baru</t>
  </si>
  <si>
    <t>Renovasi (unit)</t>
  </si>
  <si>
    <t>Upaya External</t>
  </si>
  <si>
    <t>Potensi Lahan</t>
  </si>
  <si>
    <t>REKAP KAB</t>
  </si>
  <si>
    <t>KETERANGAN</t>
  </si>
  <si>
    <t>Hasil Verifikasi data</t>
  </si>
  <si>
    <t>Pengembang / Perumahan</t>
  </si>
  <si>
    <t>Non Pengembang / Non Perumahan**)</t>
  </si>
  <si>
    <t>Sumber Dana</t>
  </si>
  <si>
    <t>Jenis Hak Atas Tanah</t>
  </si>
  <si>
    <t>Luas (Ha)</t>
  </si>
  <si>
    <t>FLPP (sumber dari Data Tapera)</t>
  </si>
  <si>
    <t>Non FLPP</t>
  </si>
  <si>
    <t>Rumah Menengah Mewah</t>
  </si>
  <si>
    <t>Swadaya/ Biaya sendiri</t>
  </si>
  <si>
    <t>CSR</t>
  </si>
  <si>
    <t>APBN</t>
  </si>
  <si>
    <t>APBDesa</t>
  </si>
  <si>
    <t>APBD</t>
  </si>
  <si>
    <t>KEMENSOS</t>
  </si>
  <si>
    <t xml:space="preserve">APBD </t>
  </si>
  <si>
    <t>Swasta</t>
  </si>
  <si>
    <t>Swadaya / Dana Sendiri</t>
  </si>
  <si>
    <t>Investasi Luar Negeri</t>
  </si>
  <si>
    <t>csr</t>
  </si>
  <si>
    <t>PKP</t>
  </si>
  <si>
    <t>K/L Lainnya</t>
  </si>
  <si>
    <t>Provinsi Aceh</t>
  </si>
  <si>
    <t>Kab. Aceh Tenggara</t>
  </si>
  <si>
    <t>BUKTI DUKUNG PENDATAAN KASUBDIT WILAYAH I (PAK YOKE)</t>
  </si>
  <si>
    <t>Kab. Aceh Tengah</t>
  </si>
  <si>
    <t>Kab. Aceh Besar</t>
  </si>
  <si>
    <t>Kab. Pidie</t>
  </si>
  <si>
    <t>Hak Pakai (Lahan Milik Desa)</t>
  </si>
  <si>
    <t>2,4</t>
  </si>
  <si>
    <t>Kab. Aceh Utara</t>
  </si>
  <si>
    <t>Kab. Gayo Lues</t>
  </si>
  <si>
    <t>Kab. Aceh Tamiang</t>
  </si>
  <si>
    <t>Hibah Masyarakat &amp; Hibah Desa</t>
  </si>
  <si>
    <t>0,16 &amp; 0,12</t>
  </si>
  <si>
    <t>Kab. Bener Meriah</t>
  </si>
  <si>
    <t>Provinsi Sumatera Utara</t>
  </si>
  <si>
    <t>Kab. Tapanuli Utara</t>
  </si>
  <si>
    <t>Kab. Toba</t>
  </si>
  <si>
    <t>Kab. Labuhan Batu</t>
  </si>
  <si>
    <t>Kab. Asahan</t>
  </si>
  <si>
    <t>HPL (Hak Pengelolaan Lahan)</t>
  </si>
  <si>
    <t>Kab. Simalungun</t>
  </si>
  <si>
    <t>Pengelolaan dan Pelepasan HGU</t>
  </si>
  <si>
    <t>Kab. Dairi</t>
  </si>
  <si>
    <t>Kab. Karo</t>
  </si>
  <si>
    <t>Kab. Deli Serdang</t>
  </si>
  <si>
    <t>Kab. Langkat</t>
  </si>
  <si>
    <t>Kab. Humbang Hasundutan</t>
  </si>
  <si>
    <t>Hak Milik (Pemda)</t>
  </si>
  <si>
    <t>9.1 &amp; 0,64</t>
  </si>
  <si>
    <t>Kab. Pakpak Bharat</t>
  </si>
  <si>
    <t>22. KAB. Pakpak Bharat</t>
  </si>
  <si>
    <t>Kab. Samosir</t>
  </si>
  <si>
    <t>SAMOSIR</t>
  </si>
  <si>
    <t>Kab. Serdang Bedagai</t>
  </si>
  <si>
    <r>
      <rPr>
        <b/>
        <color rgb="FF000000"/>
        <sz val="11.0"/>
      </rPr>
      <t xml:space="preserve">Sumber CSR : Kecamatan Teluk Mengkudu
</t>
    </r>
    <r>
      <rPr>
        <b/>
        <color rgb="FF000000"/>
        <sz val="11.0"/>
        <u/>
      </rPr>
      <t>Kab Serdang Bedagai</t>
    </r>
  </si>
  <si>
    <t>Kab. Padang Lawas Utara</t>
  </si>
  <si>
    <t>https://shorturl.at/b55bW</t>
  </si>
  <si>
    <t>Kab. Padang Lawas</t>
  </si>
  <si>
    <t>https://drive.google.com/drive/folders/1Qm8Ux3qX2gYCDnULDBlHNfUKNsoCLG_Y</t>
  </si>
  <si>
    <t>Kab. Labuhan Batu Selatan</t>
  </si>
  <si>
    <t>APBD KABUPATEN TA 2025 65 UNIT
KAB. LABUHAN BATU SELATAN</t>
  </si>
  <si>
    <t>17. KAB. Labuhanbatu Selatan</t>
  </si>
  <si>
    <t>Kab. Labuhan Batu Utara</t>
  </si>
  <si>
    <t>https://drive.google.com/drive/folders/1TeoDqkT0Yld8BXwpqP8JvXcp-9qwhqUx?usp=drive_link</t>
  </si>
  <si>
    <t>data pembangunan baru swadaya masyarakat sebagian diambil dari permohonan PBG</t>
  </si>
  <si>
    <t>Provinsi Sumatera Barat</t>
  </si>
  <si>
    <t>Kab. Solok</t>
  </si>
  <si>
    <t>proses input data dan penyiapan surat penyampaian data</t>
  </si>
  <si>
    <t>Kab. Sijunjung</t>
  </si>
  <si>
    <t>https://drive.google.com/drive/folders/1UKqX3RT8HZlZ9zOd6937j3G364SbPrRL?usp=sharing</t>
  </si>
  <si>
    <t>Kab. Tanah Datar</t>
  </si>
  <si>
    <t>https://drive.google.com/drive/folders/1xLTZumnGeoCuZi7fvOZfh3K118ExGtVQ?usp=drive_link</t>
  </si>
  <si>
    <t>Kab. Agam</t>
  </si>
  <si>
    <t>https://drive.google.com/drive/folders/1jRhg2Yu58EHyoPTe-9mt2D7JTAIBmIM6?usp=sharing</t>
  </si>
  <si>
    <t>Kab. Lima Puluh Kota</t>
  </si>
  <si>
    <t>https://drive.google.com/drive/folders/1O78USFL35thfpl-c7ZzFvnV-N6cHma1m?usp=drive_link</t>
  </si>
  <si>
    <t>Kab. Pasaman</t>
  </si>
  <si>
    <t xml:space="preserve">
https://drive.google.com/drive/u/0/folders/1szzlzb1Bujll1ZZV5a6bJTgC4kqqKzDc</t>
  </si>
  <si>
    <t>Kab. Solok Selatan</t>
  </si>
  <si>
    <r>
      <rPr>
        <b val="0"/>
        <color rgb="FF000000"/>
        <sz val="11.0"/>
      </rPr>
      <t xml:space="preserve">masih menunggu surat penyampaian data dari dinas, data non flpp dari web sikumbang </t>
    </r>
    <r>
      <rPr>
        <b/>
        <color rgb="FF000000"/>
        <sz val="11.0"/>
      </rPr>
      <t xml:space="preserve">  </t>
    </r>
    <r>
      <rPr>
        <b/>
        <color rgb="FF000000"/>
        <sz val="11.0"/>
        <u/>
      </rPr>
      <t>https://drive.google.com/drive/u/0/folders/1POlwOlgwllR9-IXW8f7BTwU8Pajg2RAP</t>
    </r>
  </si>
  <si>
    <t>Kab. Dharmasraya</t>
  </si>
  <si>
    <r>
      <rPr>
        <color rgb="FF000000"/>
        <sz val="11.0"/>
      </rPr>
      <t xml:space="preserve">CSR Bank Nagari 1 unit, CSR Incasi Raya Group 1 unit </t>
    </r>
    <r>
      <rPr>
        <color rgb="FF1155CC"/>
        <sz val="11.0"/>
        <u/>
      </rPr>
      <t>https://drive.google.com/drive/u/0/folders/11UtBILtcocmwQgv585caNFml-h6wZFSs</t>
    </r>
  </si>
  <si>
    <t>Provinsi Riau</t>
  </si>
  <si>
    <t>Kab. Kuantan Singingi</t>
  </si>
  <si>
    <t>44,49</t>
  </si>
  <si>
    <t>38. KAB. Kuantan Singingi</t>
  </si>
  <si>
    <t>Kab. Indragiri Hulu</t>
  </si>
  <si>
    <t>https://drive.google.com/drive/u/0/folders/1q62WzuOD7aYte98dA8yb6fpBiScA093X</t>
  </si>
  <si>
    <t>Kab. Indragiri Hilir</t>
  </si>
  <si>
    <t>https://drive.google.com/drive/folders/1n58UfEteoKga4st8nP5HV83hWs2MVHUF?usp=sharing</t>
  </si>
  <si>
    <t>Kab. Pelalawan</t>
  </si>
  <si>
    <t>Kab. Siak</t>
  </si>
  <si>
    <t>42. KAB. Siak</t>
  </si>
  <si>
    <t>Kab. Kampar</t>
  </si>
  <si>
    <t>https://drive.google.com/drive/folders/1qO2ouPU7XflnBsKccfQ43ouPlF8RKst4?usp=sharing</t>
  </si>
  <si>
    <t>Kab. Rokan Hulu</t>
  </si>
  <si>
    <t>https://drive.google.com/drive/folders/1Wp1uUXWRqVYUov03IZHBS5H6VbKt7Xkf?usp=drive_link</t>
  </si>
  <si>
    <t>Kab. Bengkalis</t>
  </si>
  <si>
    <t>https://drive.google.com/drive/folders/1IiDVkKMXvT7dV8tzuWPtssrj-o5BuOes?usp=sharing</t>
  </si>
  <si>
    <t>Kab. Rokan Hilir</t>
  </si>
  <si>
    <t>https://drive.google.com/drive/folders/13rqwKPBwM2CmhpaRDdBOxmQz8SPsY5OO</t>
  </si>
  <si>
    <t>Provinsi Jambi</t>
  </si>
  <si>
    <t>Kab. Kerinci</t>
  </si>
  <si>
    <t>APBD PROVINSI 31, APBD KAB 5, Link Kab Kerinci</t>
  </si>
  <si>
    <t>Kab. Merangin</t>
  </si>
  <si>
    <t>CSR: BAZNAS , Link Kab. Merangin</t>
  </si>
  <si>
    <t>Kab. Sarolangun</t>
  </si>
  <si>
    <t>CSR: BAZNAS, Link Kab. Sarolangun</t>
  </si>
  <si>
    <t>Kab. Batang Hari</t>
  </si>
  <si>
    <t>Kab. Muara Jambi</t>
  </si>
  <si>
    <t>CSR: BAZNAS https://drive.google.com/drive/folders/1Yro37jYMyFPi0G4EFgWJvzO7hDW37aAF?usp=drive_link</t>
  </si>
  <si>
    <t>Kab. Tanjung Jabung Barat</t>
  </si>
  <si>
    <r>
      <rPr>
        <color rgb="FF000000"/>
        <sz val="11.0"/>
      </rPr>
      <t xml:space="preserve">APBD KABUPATEN    </t>
    </r>
    <r>
      <rPr>
        <color rgb="FF1155CC"/>
        <sz val="11.0"/>
        <u/>
      </rPr>
      <t>https://drive.google.com/drive/folders/1UKO4CrHgM7m1gCfnsXeGtIClXd6pHKpX</t>
    </r>
  </si>
  <si>
    <t>Kab. Tebo</t>
  </si>
  <si>
    <t>49. Kab. Tebo</t>
  </si>
  <si>
    <t>Kab. Bungo</t>
  </si>
  <si>
    <r>
      <rPr>
        <color rgb="FF000000"/>
        <sz val="11.0"/>
      </rPr>
      <t xml:space="preserve">APBD PROVINSI 40  </t>
    </r>
    <r>
      <rPr>
        <color rgb="FF1155CC"/>
        <sz val="11.0"/>
        <u/>
      </rPr>
      <t>https://drive.google.com/drive/folders/1dKWo-F3-20XzhULHpVZZePjWUJocDEoL</t>
    </r>
  </si>
  <si>
    <t>Provinsi Sumatera Selatan</t>
  </si>
  <si>
    <t>Kab. Ogan Komering Ulu</t>
  </si>
  <si>
    <r>
      <rPr>
        <b/>
        <color rgb="FF000000"/>
        <sz val="11.0"/>
      </rPr>
      <t xml:space="preserve">CSR 5 unit dari Bank Sumselbabel, 2 Unit dari REI dan APERSI </t>
    </r>
    <r>
      <rPr>
        <b/>
        <color rgb="FF1155CC"/>
        <sz val="11.0"/>
        <u/>
      </rPr>
      <t>https://drive.google.com/drive/u/3/folders/1RHHTpXb-X1mgt0_1BdPdC0wBzRFUTsYi</t>
    </r>
  </si>
  <si>
    <t>Kab. Ogan Komering Ilir</t>
  </si>
  <si>
    <t>https://sikumbang.tapera.go.id</t>
  </si>
  <si>
    <t>Kab. Muara Enim</t>
  </si>
  <si>
    <t>Kab. Lahat</t>
  </si>
  <si>
    <t>https://drive.google.com/drive/folders/12sabIb1mnCB2gHOC2ZBLIkyEvipOvznA</t>
  </si>
  <si>
    <t>Kab. Musi Rawas</t>
  </si>
  <si>
    <r>
      <rPr>
        <b/>
        <color rgb="FF000000"/>
        <sz val="11.0"/>
        <u/>
      </rPr>
      <t>https://sikumbang.tapera.go.id</t>
    </r>
    <r>
      <rPr>
        <b/>
        <color rgb="FF000000"/>
        <sz val="11.0"/>
      </rPr>
      <t xml:space="preserve"> 58. KAB. Musi Rawas</t>
    </r>
  </si>
  <si>
    <t>Kab. Musi Banyuasin</t>
  </si>
  <si>
    <r>
      <rPr>
        <b/>
        <color rgb="FF000000"/>
        <sz val="11.0"/>
      </rPr>
      <t xml:space="preserve">https://sikumbang.tapera.go.id, Berdasarkan surat Plt. Kepala Dinas Perumahan dan Kawasan Permukiman No. B.800/466/PERKIM-Prmh/2025, tanggal 17 Juni 2025, hal Penyampaian Data Dukung Pendataan Perumahan Wilayah Perdesaan sebanyak 376 Unit pembangunan Baru ,  </t>
    </r>
    <r>
      <rPr>
        <b/>
        <color rgb="FF1155CC"/>
        <sz val="11.0"/>
        <u/>
      </rPr>
      <t>https://drive.google.com/drive/folders/1op-SuX_GrHq7np_RHeVEuZg_FkOy5k2g</t>
    </r>
  </si>
  <si>
    <t>Kab. Banyu Asin</t>
  </si>
  <si>
    <t>Kab. Ogan Komering Ulu Selatan</t>
  </si>
  <si>
    <t>FORM PENDATAAN PENINGKATAN KUALITAS (TTD Kepala Dinas).pdf</t>
  </si>
  <si>
    <t>Kab. Ogan Komering Ulu Timur</t>
  </si>
  <si>
    <t>Kab. Ogan Ilir</t>
  </si>
  <si>
    <t>https://drive.google.com/drive/u/3/folders/1feB-RJR4AUOrafNe7dAI-4dzBhFBQdfb</t>
  </si>
  <si>
    <t>Kab. Empat Lawang</t>
  </si>
  <si>
    <r>
      <rPr>
        <b/>
        <color rgb="FF000000"/>
        <sz val="11.0"/>
      </rPr>
      <t xml:space="preserve">https://sikumbang.tapera.go.id </t>
    </r>
    <r>
      <rPr>
        <b/>
        <color rgb="FF1155CC"/>
        <sz val="11.0"/>
        <u/>
      </rPr>
      <t>https://drive.google.com/drive/folders/1cSSz6_-h1OY4X4QwaVRtTzJla-du5jlJ?usp=sharing</t>
    </r>
  </si>
  <si>
    <t>Kab. Penukal Abad Lematang Ilir</t>
  </si>
  <si>
    <t>https://drive.google.com/drive/u/3/folders/1R5o1T2xRoZwqy8m5UPN19R4d9doF5aj6</t>
  </si>
  <si>
    <t>Kab. Musi Rawas Utara</t>
  </si>
  <si>
    <t>Tanah milik Pemda di Kelurahan Muara Rupit</t>
  </si>
  <si>
    <r>
      <rPr>
        <b/>
        <color rgb="FF1155CC"/>
        <sz val="11.0"/>
        <u/>
      </rPr>
      <t>https://shorturl.at/wslh3</t>
    </r>
    <r>
      <rPr>
        <b/>
        <color rgb="FF000000"/>
        <sz val="11.0"/>
      </rPr>
      <t xml:space="preserve"> </t>
    </r>
  </si>
  <si>
    <t>Provinsi Bengkulu</t>
  </si>
  <si>
    <t>Kab. Bengkulu Selatan</t>
  </si>
  <si>
    <t>Milik Pemerintah Daerah Bengkulu Selatan</t>
  </si>
  <si>
    <r>
      <rPr>
        <color rgb="FF000000"/>
        <sz val="11.0"/>
      </rPr>
      <t xml:space="preserve">FLPP sebanyak 98 unit sumber data REI Prov. Bengkulu 4 Juni 2025
</t>
    </r>
    <r>
      <rPr>
        <color rgb="FF1155CC"/>
        <sz val="11.0"/>
        <u/>
      </rPr>
      <t>https://shorturl.at/N6ozd</t>
    </r>
    <r>
      <rPr>
        <color rgb="FF000000"/>
        <sz val="11.0"/>
      </rPr>
      <t xml:space="preserve"> </t>
    </r>
  </si>
  <si>
    <t>Kab. Rejang Lebong</t>
  </si>
  <si>
    <r>
      <rPr>
        <color rgb="FF1155CC"/>
        <sz val="11.0"/>
        <u/>
      </rPr>
      <t>https://shorturl.at/FIXVH</t>
    </r>
    <r>
      <rPr>
        <color rgb="FF000000"/>
        <sz val="11.0"/>
        <u/>
      </rPr>
      <t xml:space="preserve"> </t>
    </r>
  </si>
  <si>
    <t>Kab. Lebong</t>
  </si>
  <si>
    <r>
      <rPr>
        <color rgb="FF000000"/>
        <sz val="11.0"/>
      </rPr>
      <t xml:space="preserve">FLPP sebanyak 12 unit sumber data dari REI
</t>
    </r>
    <r>
      <rPr>
        <color rgb="FF1155CC"/>
        <sz val="11.0"/>
        <u/>
      </rPr>
      <t>https://shorturl.at/AqRci</t>
    </r>
    <r>
      <rPr>
        <color rgb="FF000000"/>
        <sz val="11.0"/>
      </rPr>
      <t xml:space="preserve"> </t>
    </r>
  </si>
  <si>
    <t>Kab. Kepahiang</t>
  </si>
  <si>
    <r>
      <rPr>
        <color rgb="FF000000"/>
        <sz val="11.0"/>
      </rPr>
      <t xml:space="preserve">Peningkatan Kualitas MCK dari dana DAK Kementerian PU sebanyak 425 unit (dalam proses pengerjaan)
FLPP 95 unit bersumber dari REI Bengkulu
</t>
    </r>
    <r>
      <rPr>
        <color rgb="FF1155CC"/>
        <sz val="11.0"/>
        <u/>
      </rPr>
      <t>https://kemenpkp-my.sharepoint.com/:f:/g/personal/haifa_damarani_pkp_go_id/EqoMeWqmWlBGi4aKM_K5SRQBR82uxtXVpwNEm3JMwIE4wQ?e=JQcfir</t>
    </r>
    <r>
      <rPr>
        <color rgb="FF000000"/>
        <sz val="11.0"/>
      </rPr>
      <t xml:space="preserve"> </t>
    </r>
  </si>
  <si>
    <t>Provinsi Lampung</t>
  </si>
  <si>
    <t>Kab. Lampung Barat</t>
  </si>
  <si>
    <t>Data RTLH</t>
  </si>
  <si>
    <t>Kab. Lampung Tengah</t>
  </si>
  <si>
    <r>
      <rPr>
        <color rgb="FF000000"/>
        <sz val="11.0"/>
      </rPr>
      <t xml:space="preserve">DPD Rei Lampung dan Apersi: </t>
    </r>
    <r>
      <rPr>
        <color rgb="FF1155CC"/>
        <sz val="11.0"/>
        <u/>
      </rPr>
      <t>https://lnk.ink/EvidenDataLamteng</t>
    </r>
    <r>
      <rPr>
        <color rgb="FF000000"/>
        <sz val="11.0"/>
      </rPr>
      <t xml:space="preserve">
Hasil Desk: Baznas 188 unit, Swadaya 23 Unit (Pengajuan PBG)</t>
    </r>
  </si>
  <si>
    <t>Kab. Lampung Utara</t>
  </si>
  <si>
    <r>
      <rPr>
        <color rgb="FF1155CC"/>
        <sz val="11.0"/>
        <u/>
      </rPr>
      <t>https://kemenpkp-my.sharepoint.com/:f:/g/personal/haifa_damarani_pkp_go_id/Ej0vkMEqEadKvHI6_ygIsuEBPS4CT7s8odIGdYj_5_7bfg?e=YWVRHI</t>
    </r>
    <r>
      <rPr>
        <color rgb="FF000000"/>
        <sz val="11.0"/>
      </rPr>
      <t xml:space="preserve"> </t>
    </r>
  </si>
  <si>
    <t>Kab. Way Kanan</t>
  </si>
  <si>
    <r>
      <rPr>
        <b val="0"/>
        <color rgb="FF1155CC"/>
        <sz val="11.0"/>
        <u/>
      </rPr>
      <t>https://kemenpkp-my.sharepoint.com/:f:/g/personal/haifa_damarani_pkp_go_id/El6Ev5X_lBVNtkM--mOvZngB_848V-zWScnL97VOD0vX6g?e=50Ow7t</t>
    </r>
    <r>
      <rPr>
        <b val="0"/>
        <color rgb="FF000000"/>
        <sz val="11.0"/>
      </rPr>
      <t xml:space="preserve"> </t>
    </r>
  </si>
  <si>
    <t>Kab. Tulangbawang</t>
  </si>
  <si>
    <r>
      <rPr>
        <sz val="11.0"/>
      </rPr>
      <t xml:space="preserve">CSR : BAZNAS
</t>
    </r>
    <r>
      <rPr>
        <color rgb="FF1155CC"/>
        <sz val="11.0"/>
        <u/>
      </rPr>
      <t>https://kemenpkp-my.sharepoint.com/:f:/g/personal/haifa_damarani_pkp_go_id/EkRoYLbbnH1FmEcET-QZ_pQBISmDHUUU98t5BZd62mIXyA?e=FZjK3Q</t>
    </r>
  </si>
  <si>
    <t>Kab. Pesawaran</t>
  </si>
  <si>
    <r>
      <rPr>
        <color rgb="FF000000"/>
        <sz val="11.0"/>
      </rPr>
      <t xml:space="preserve">CSR BAZNAS
</t>
    </r>
    <r>
      <rPr>
        <color rgb="FF1155CC"/>
        <sz val="11.0"/>
        <u/>
      </rPr>
      <t>https://kemenpkp-my.sharepoint.com/:f:/g/personal/haifa_damarani_pkp_go_id/EgwH3BFhFvFAhrTnqaCQZ2EBRk4M7d982oyxgw8dajmwGg?e=pfR2ri</t>
    </r>
  </si>
  <si>
    <t>Kab. Pringsewu</t>
  </si>
  <si>
    <r>
      <rPr>
        <sz val="11.0"/>
      </rPr>
      <t xml:space="preserve">CSR BAZNAS
</t>
    </r>
    <r>
      <rPr>
        <color rgb="FF1155CC"/>
        <sz val="11.0"/>
        <u/>
      </rPr>
      <t>https://kemenpkp-my.sharepoint.com/:f:/g/personal/haifa_damarani_pkp_go_id/EqX2mXxoidFHqgNiSoLzq6kBScGZPjVtl1iwHEuYwX0maA?e=Bdad2o</t>
    </r>
  </si>
  <si>
    <t>Kab. Mesuji</t>
  </si>
  <si>
    <t>Milik Pemda</t>
  </si>
  <si>
    <r>
      <rPr>
        <color rgb="FF1155CC"/>
        <sz val="11.0"/>
        <u/>
      </rPr>
      <t>https://kemenpkp-my.sharepoint.com/personal/haifa_damarani_pkp_go_id/_layouts/15/onedrive.aspx?id=%2Fpersonal%2Fhaifa%5Fdamarani%5Fpkp%5Fgo%5Fid%2FDocuments%2FRENTEK%20LAHUNDES%2FKoordinasi%20Pendataan%2FEvidence%20Pendataan%2F13%2E%20Kab%2E%20Mesuji&amp;ga=1</t>
    </r>
    <r>
      <rPr>
        <sz val="11.0"/>
      </rPr>
      <t xml:space="preserve"> 
(Potensi lahan sudah diusulkan oleh Pemda utk bantuan rumah kemensos th 2026)</t>
    </r>
  </si>
  <si>
    <t>Kab. Tulang Bawang Barat</t>
  </si>
  <si>
    <r>
      <rPr>
        <color rgb="FF000000"/>
        <sz val="11.0"/>
      </rPr>
      <t xml:space="preserve">CSR Bank Lampung
</t>
    </r>
    <r>
      <rPr>
        <color rgb="FF1155CC"/>
        <sz val="11.0"/>
      </rPr>
      <t>https://kemenpkp-my.sharepoint.com/:f:/g/personal/haifa_damarani_pkp_go_id/EsnsFRmPa39Juf8cx9ikNFoB9EieLsP8JbYOJA7NyXWddQ?e=ya5iia</t>
    </r>
  </si>
  <si>
    <t>Provinsi Jawa Barat</t>
  </si>
  <si>
    <t>Kab. Bogor</t>
  </si>
  <si>
    <t>https://drive.google.com/drive/folders/1NMjQWlNLDN20Lmzp_v6eblE01k_7U7Yc?usp=drive_link</t>
  </si>
  <si>
    <t>Kab. Sukabumi</t>
  </si>
  <si>
    <t>Kab. Cianjur</t>
  </si>
  <si>
    <t>Kab. Bandung</t>
  </si>
  <si>
    <r>
      <rPr>
        <b/>
        <color rgb="FF000000"/>
        <sz val="11.0"/>
      </rPr>
      <t xml:space="preserve">CSR </t>
    </r>
    <r>
      <rPr>
        <b val="0"/>
        <color rgb="FF000000"/>
        <sz val="11.0"/>
      </rPr>
      <t xml:space="preserve">27 unit bersumber dari Baznas, terealisasi 12 unit. </t>
    </r>
    <r>
      <rPr>
        <b val="0"/>
        <color rgb="FF1155CC"/>
        <sz val="11.0"/>
        <u/>
      </rPr>
      <t>https://drive.google.com/drive/folders/1JOmUa_W0GwJYNuoZsCvL4gE_4qElXxkH?usp=drive_link</t>
    </r>
  </si>
  <si>
    <t>Kab. Garut</t>
  </si>
  <si>
    <t>Kab. Tasikmalaya</t>
  </si>
  <si>
    <r>
      <rPr>
        <b/>
        <color rgb="FF000000"/>
        <sz val="11.0"/>
      </rPr>
      <t xml:space="preserve">CSR </t>
    </r>
    <r>
      <rPr>
        <b val="0"/>
        <color rgb="FF000000"/>
        <sz val="11.0"/>
      </rPr>
      <t xml:space="preserve">17 unit bersumber dari Baznas
</t>
    </r>
    <r>
      <rPr>
        <b val="0"/>
        <color rgb="FF1155CC"/>
        <sz val="11.0"/>
        <u/>
      </rPr>
      <t>https://docs.google.com/spreadsheets/d/1BW61iV6LR8qNisH9n9IvEFH9iVOUZM5N/edit?usp=share_link&amp;ouid=102198927688552069252&amp;rtpof=true&amp;sd=true</t>
    </r>
  </si>
  <si>
    <t>Kab. Ciamis</t>
  </si>
  <si>
    <r>
      <rPr>
        <b/>
        <color rgb="FF000000"/>
        <sz val="11.0"/>
        <u/>
      </rPr>
      <t xml:space="preserve">sedang dalam perencanaan
</t>
    </r>
    <r>
      <rPr>
        <b/>
        <color rgb="FF000000"/>
        <sz val="11.0"/>
        <u/>
      </rPr>
      <t xml:space="preserve">
https://drive.google.com/drive/folders/1_N2tl0EFcZlzFE6mWHqtTmw0I-mLgKtP?usp=sharing</t>
    </r>
  </si>
  <si>
    <t>Kab. Kuningan</t>
  </si>
  <si>
    <t>sedang dalam perencanaan
https://drive.google.com/drive/folders/13glYc27eE1Q_mwpuTiBxqr7LzDZbfNf4?usp=sharing</t>
  </si>
  <si>
    <t>Kab. Majalengka</t>
  </si>
  <si>
    <t>sedang dalam perencanaan
https://drive.google.com/drive/folders/1EZZrOhdnDlklYGJYsUtfjBfdRJGiiDuO?usp=sharing</t>
  </si>
  <si>
    <t>Kab. Sumedang</t>
  </si>
  <si>
    <t>Kab. Subang</t>
  </si>
  <si>
    <t>https://drive.google.com/drive/folders/1QpGRLY341SSGHMAChfeQZCux8y5Z0dy4</t>
  </si>
  <si>
    <t>Kab. Purwakarta</t>
  </si>
  <si>
    <t>Kab. Karawang</t>
  </si>
  <si>
    <r>
      <rPr>
        <rFont val="Arial"/>
        <color rgb="FF000000"/>
        <sz val="11.0"/>
      </rPr>
      <t xml:space="preserve">Peningkatan Kualitas APBD (Rutilahu) </t>
    </r>
    <r>
      <rPr>
        <rFont val="Arial"/>
        <b/>
        <color rgb="FF000000"/>
        <sz val="11.0"/>
      </rPr>
      <t>651 unit</t>
    </r>
    <r>
      <rPr>
        <rFont val="Arial"/>
        <color rgb="FF000000"/>
        <sz val="11.0"/>
      </rPr>
      <t xml:space="preserve"> dengan besaran Rp 46.900.000,-/unit
Pembangunan Baru APBD </t>
    </r>
    <r>
      <rPr>
        <rFont val="Arial"/>
        <b/>
        <color rgb="FF000000"/>
        <sz val="11.0"/>
      </rPr>
      <t xml:space="preserve">23 unit </t>
    </r>
    <r>
      <rPr>
        <rFont val="Arial"/>
        <color rgb="FF000000"/>
        <sz val="11.0"/>
      </rPr>
      <t xml:space="preserve">dalam tahap proses lelang
Rencana CSR sementara </t>
    </r>
    <r>
      <rPr>
        <rFont val="Arial"/>
        <b/>
        <color rgb="FF000000"/>
        <sz val="11.0"/>
      </rPr>
      <t>2 unit</t>
    </r>
    <r>
      <rPr>
        <rFont val="Arial"/>
        <color rgb="FF000000"/>
        <sz val="11.0"/>
      </rPr>
      <t>:
1. PT Pupuk Kujang - 1 unit
2. Perum Peruri - 1 unit</t>
    </r>
  </si>
  <si>
    <t>kekurangan data surat pengantar</t>
  </si>
  <si>
    <t>Kab. Bekasi</t>
  </si>
  <si>
    <r>
      <rPr>
        <rFont val="Arial"/>
        <b/>
        <color rgb="FF000000"/>
        <sz val="11.0"/>
      </rPr>
      <t>36 unit</t>
    </r>
    <r>
      <rPr>
        <rFont val="Arial"/>
        <color rgb="FF000000"/>
        <sz val="11.0"/>
      </rPr>
      <t xml:space="preserve"> renovasi Bansos Rutilahu
</t>
    </r>
    <r>
      <rPr>
        <rFont val="Arial"/>
        <b/>
        <color rgb="FF000000"/>
        <sz val="11.0"/>
      </rPr>
      <t xml:space="preserve">4 unit </t>
    </r>
    <r>
      <rPr>
        <rFont val="Arial"/>
        <color rgb="FF000000"/>
        <sz val="11.0"/>
      </rPr>
      <t xml:space="preserve">Bantuan Rutilahu Rumah Korban Bencana
</t>
    </r>
    <r>
      <rPr>
        <rFont val="Arial"/>
        <b/>
        <color rgb="FF000000"/>
        <sz val="11.0"/>
      </rPr>
      <t xml:space="preserve">16 unit </t>
    </r>
    <r>
      <rPr>
        <rFont val="Arial"/>
        <color rgb="FF000000"/>
        <sz val="11.0"/>
      </rPr>
      <t>pembangunan baru Bantuan Rutilahu Rumah Korban Bencana</t>
    </r>
  </si>
  <si>
    <t>Kab. Bandung Barat</t>
  </si>
  <si>
    <t>45 unit APBD Provinsi ; 265 unit APBD Kabupaten</t>
  </si>
  <si>
    <t>Jawa Tengah</t>
  </si>
  <si>
    <t>Kab. Cilacap</t>
  </si>
  <si>
    <t>CSR dari Baznas Kabupaten, APBD Kabupaten dan Provinsi</t>
  </si>
  <si>
    <t>anomali data CSR Bangun baru karena belum ada data dukung (TBC)</t>
  </si>
  <si>
    <t>Kab. Banyumas</t>
  </si>
  <si>
    <r>
      <rPr>
        <b/>
        <color rgb="FF000000"/>
        <sz val="11.0"/>
        <u/>
      </rPr>
      <t>Realisasi CSR</t>
    </r>
    <r>
      <rPr>
        <color rgb="FF000000"/>
        <sz val="11.0"/>
        <u/>
      </rPr>
      <t xml:space="preserve"> total 294 unit bersumber dari:
1. Yayasan Budda Tzu Chi 25 unit
2. Bank Jateng 23 unit
3. PT Astra 0 unit
4. PT Semen Gresik 247 unit
</t>
    </r>
    <r>
      <rPr>
        <b/>
        <color rgb="FF1155CC"/>
        <sz val="11.0"/>
        <u/>
      </rPr>
      <t xml:space="preserve">Realisasi per 19 Juni : 295 unit 
</t>
    </r>
    <r>
      <rPr>
        <color rgb="FF000000"/>
        <sz val="11.0"/>
      </rPr>
      <t>APBD berasal dari Kabupaten dan Provinsi</t>
    </r>
  </si>
  <si>
    <t>Kab. Purbalingga</t>
  </si>
  <si>
    <t>CSR Bank Jateng dan Baznas</t>
  </si>
  <si>
    <t>Kab. Banjarnegara</t>
  </si>
  <si>
    <t xml:space="preserve"> Sedang melakukan verifikasi &amp; validasi data dg seluruh desa &amp; kelurahan sehingga data direncanakan akan dilaporkan sekitar pertengahan atau akhir bulan Juli</t>
  </si>
  <si>
    <t>update per 23 juni 2025</t>
  </si>
  <si>
    <t>belum ada tindak lanjut dari kadis</t>
  </si>
  <si>
    <t>Kab. Kebumen</t>
  </si>
  <si>
    <t>SHM Pemda</t>
  </si>
  <si>
    <r>
      <rPr>
        <color rgb="FF000000"/>
        <sz val="11.0"/>
      </rPr>
      <t xml:space="preserve">CSR Baznas Kabupaten Kebumen
</t>
    </r>
    <r>
      <rPr>
        <color rgb="FF1155CC"/>
        <sz val="11.0"/>
        <u/>
      </rPr>
      <t>https://drive.google.com/drive/folders/1xSOfLaZ8Ka-e1lrlHHWoc0lZtRgzqKZ4?usp=drive_link</t>
    </r>
    <r>
      <rPr>
        <color rgb="FF000000"/>
        <sz val="11.0"/>
      </rPr>
      <t xml:space="preserve"> </t>
    </r>
  </si>
  <si>
    <t>Kab. Purworejo</t>
  </si>
  <si>
    <r>
      <rPr>
        <b/>
        <color rgb="FF000000"/>
        <sz val="11.0"/>
      </rPr>
      <t xml:space="preserve">APBD Provinsi 645 unit (Rencana 476, Realisasi SK 169 unit)
APBD Kabupaten 71
Baznas Provinsi Jateng
</t>
    </r>
    <r>
      <rPr>
        <b/>
        <color rgb="FF1155CC"/>
        <sz val="11.0"/>
        <u/>
      </rPr>
      <t>https://drive.google.com/drive/folders/1Hl-Vg3zHWV4xiv-C-tolQAi4VDdtqkGQ?usp=drive_link</t>
    </r>
  </si>
  <si>
    <t>update per 11 Juli 2025</t>
  </si>
  <si>
    <t>anomali data : yang dimasukan hanya  perencanaan 2024 dan realisasi 2025</t>
  </si>
  <si>
    <t>Kab. Wonosobo</t>
  </si>
  <si>
    <t>6 Unit CSR Bank Jateng
1 Unit CSR RSUD
5 Unit CSR Baznaz
BMR</t>
  </si>
  <si>
    <t>bekum ada bukti dukung valid</t>
  </si>
  <si>
    <t>Kab. Magelang</t>
  </si>
  <si>
    <t>3 Lahan</t>
  </si>
  <si>
    <t>35 Unit CSR Bank Jateng Prov. Jawa Tengah
5 Unit CSR Bapas Kab. Magelang
14 Unit CSR Baznaz Kab. Magelang
16 Unit CSR Bank Jateng Cab. Mungkid
BMR</t>
  </si>
  <si>
    <t>Kab. Boyolali</t>
  </si>
  <si>
    <t>56 Lahan</t>
  </si>
  <si>
    <r>
      <rPr>
        <rFont val="Arial"/>
        <b/>
        <color rgb="FF000000"/>
        <sz val="11.0"/>
      </rPr>
      <t>Jenis Hak Tanah terdiri dari:</t>
    </r>
    <r>
      <rPr>
        <rFont val="Arial"/>
        <color rgb="FF000000"/>
        <sz val="11.0"/>
      </rPr>
      <t xml:space="preserve">
34 Lahan Tanah Kas Desa,
19 Lahan Tanah Oro - Oro,
3 Lahan Tanah Pemda
</t>
    </r>
    <r>
      <rPr>
        <rFont val="Arial"/>
        <b/>
        <color rgb="FF000000"/>
        <sz val="11.0"/>
      </rPr>
      <t>CSR :</t>
    </r>
    <r>
      <rPr>
        <rFont val="Arial"/>
        <color rgb="FF000000"/>
        <sz val="11.0"/>
      </rPr>
      <t xml:space="preserve">
22 Unit CSR PMI 
80 Unit CSR Baznaz
BMR</t>
    </r>
  </si>
  <si>
    <t>Kab. Klaten</t>
  </si>
  <si>
    <r>
      <rPr>
        <rFont val="Arial"/>
        <b/>
        <color theme="1"/>
        <sz val="11.0"/>
      </rPr>
      <t xml:space="preserve">SK RTLH APBD TA 2025.pdf sk100.3.3.1-141_th_2025 Klaten.pdf sk_100.3.3.1-198_th_2025_Klaten Tahap 2.pdf 06. Surat Undangan - Ka Disperakim Kab. Klaten.pdf BA Desk Rakortek Jatim Kab. Klaten.pdf </t>
    </r>
    <r>
      <rPr>
        <rFont val="Arial"/>
        <b val="0"/>
        <color theme="1"/>
        <sz val="11.0"/>
      </rPr>
      <t>Rencana  CSR Kab. Klaten : 1. RS Sudjarwadi 12 unit (menunggu SK),  2. Baznas Provinsi 25 unit, (sudah cair 3 unit)  3. Polda Jateng 3 unit, Untuk SK APBD Provinsi tahap 2 sebanyak 290 unit sudah bimtek pelaksanaan, Rtlh Kab APBDP ploting 126 unit  menunggu pengesahan APBDP dan siap maju sk</t>
    </r>
  </si>
  <si>
    <t>Kab. Sukoharjo</t>
  </si>
  <si>
    <t xml:space="preserve">Pendataan Kab. Sukoharjo.pdf BA Desk Rakortek Jatim Kab. Sukoharjo.pdf Data TJSLP 2025.xlsx DATA RTLH akhir TAHUN 2024 Kab. Sukoharjo.xlsx17 unit dari CSR Pengembang perumahan </t>
  </si>
  <si>
    <t>Kab. Wonogiri</t>
  </si>
  <si>
    <t>016.I.Thn 2025 SK PB Backlog Th 2025.pdf  DPMD Kab. Wonogiri.pdf DATA PENYELENGGARAAN PERUMAHAN KAB.  WONOGIRI.pdf BA Desk Rakortek Jatim Kab. Wonogiri.pdf Form Pendataan Perumahan Desa &amp; Kabupaten rev1 TA 2025 UPDATE (25 Juli 2025).xlsx DATA BNBA RTLH KAB. WONOGIRI 48 Unit CSR Bank Jateng, 7 Unit CSR PMI, Pembangunan baru 23  Unit &amp; Peningkatan Kualitas 10 unit swadaya sendiri (masih menunggu data dukung dari dinas)</t>
  </si>
  <si>
    <t>Kab. Karanganyar</t>
  </si>
  <si>
    <r>
      <rPr>
        <color rgb="FF000000"/>
        <sz val="11.0"/>
      </rPr>
      <t xml:space="preserve">APBD Kabupaten &amp; APBD Provinsi
</t>
    </r>
    <r>
      <rPr>
        <color rgb="FF1155CC"/>
        <sz val="11.0"/>
        <u/>
      </rPr>
      <t>https://kemenpkp-my.sharepoint.com/personal/haifa_damarani_pkp_go_id/_layouts/15/onedrive.aspx?id=%2Fpersonal%2Fhaifa%5Fdamarani%5Fpkp%5Fgo%5Fid%2FDocuments%2FRENTEK%20LAHUNDES%2FKoordinasi%20Pendataan%2FEvidence%20Pendataan%2F15%2E%20Kab%2E%20Karanganyar&amp;ga=1</t>
    </r>
  </si>
  <si>
    <t>Kab. Sragen</t>
  </si>
  <si>
    <r>
      <rPr>
        <color rgb="FF000000"/>
        <sz val="11.0"/>
      </rPr>
      <t xml:space="preserve">Rincian CSR (status 28 Agustus 2025) :
1. CSR dari Baznas Kabupaten 72 unit,
2. CSR dari Bantuan Keuangan Pemerintah Desa (Bankeupemdes) APBD Provinsi 218 unit,
3. CSR dari Baznas Provinsi 3 unit,
4. CSR lainnya (Korpri - 3 unit, FUD 4 unit, Lazismu 1 unit, dan Mitra Kesejahteraan Rakyat/MATRA 105 unit)
Sumber Data :
1. Metadata FLPP Tapera, 
2. Dinas Perkim Kabupaten Sragen yang diisikan melalui link pendataan mingguan: </t>
    </r>
    <r>
      <rPr>
        <color rgb="FF1155CC"/>
        <sz val="11.0"/>
        <u/>
      </rPr>
      <t>https://lnk.ink/105KABSRAGEN</t>
    </r>
    <r>
      <rPr>
        <color rgb="FF000000"/>
        <sz val="11.0"/>
      </rPr>
      <t xml:space="preserve"> </t>
    </r>
  </si>
  <si>
    <t>sedang cuti melahirkan, belum bisa di konfirmasi</t>
  </si>
  <si>
    <t>Kab. Grobogan</t>
  </si>
  <si>
    <r>
      <rPr>
        <color rgb="FF000000"/>
        <sz val="11.0"/>
      </rPr>
      <t xml:space="preserve">1. Data FLLPP bersumber dari data TAPERA 
</t>
    </r>
    <r>
      <rPr>
        <color rgb="FF1155CC"/>
        <sz val="11.0"/>
        <u/>
      </rPr>
      <t>https://meta.tapera.go.id/public/question/2327d1b3-aab0-4bea-8802-f72764fad569</t>
    </r>
    <r>
      <rPr>
        <color rgb="FF000000"/>
        <sz val="11.0"/>
      </rPr>
      <t xml:space="preserve"> 
2. Data PB dan Renovasi bersumber link pendataan perumahan yang langsung diisi oleh Dinas Kabupaten Grobogan: </t>
    </r>
    <r>
      <rPr>
        <color rgb="FF1155CC"/>
        <sz val="11.0"/>
        <u/>
      </rPr>
      <t>https://docs.google.com/spreadsheets/d/1nhRWHZLfxrVnPWoKRlniUdwyoJHAc7FoJf8-cRF3oUs/edit?usp=sharing</t>
    </r>
  </si>
  <si>
    <t>Kab. Blora</t>
  </si>
  <si>
    <r>
      <rPr>
        <color rgb="FF000000"/>
        <sz val="11.0"/>
      </rPr>
      <t xml:space="preserve">"1. Data FLLPP bersumber dari data TAPERA 
</t>
    </r>
    <r>
      <rPr>
        <color rgb="FF1155CC"/>
        <sz val="11.0"/>
        <u/>
      </rPr>
      <t>https://meta.tapera.go.id/public/question/2327d1b3-aab0-4bea-8802-f72764fad569</t>
    </r>
    <r>
      <rPr>
        <color rgb="FF000000"/>
        <sz val="11.0"/>
      </rPr>
      <t xml:space="preserve">  
2. Data PB dan Renovasi bersumber link pendataan perumahan yang langsung diisi oleh Dinas Kabupaten Blora: </t>
    </r>
    <r>
      <rPr>
        <color rgb="FF1155CC"/>
        <sz val="11.0"/>
        <u/>
      </rPr>
      <t>https://docs.google.com/spreadsheets/d/1nhRWHZLfxrVnPWoKRlniUdwyoJHAc7FoJf8-cRF3oUs/edit?usp=sharing</t>
    </r>
    <r>
      <rPr>
        <color rgb="FF000000"/>
        <sz val="11.0"/>
      </rPr>
      <t xml:space="preserve"> </t>
    </r>
  </si>
  <si>
    <t>Kab. Pati</t>
  </si>
  <si>
    <r>
      <rPr>
        <b val="0"/>
        <color rgb="FF000000"/>
        <sz val="11.0"/>
      </rPr>
      <t xml:space="preserve">Data FLLPP bersumber dari data TAPERA 
</t>
    </r>
    <r>
      <rPr>
        <b val="0"/>
        <color rgb="FF1155CC"/>
        <sz val="11.0"/>
        <u/>
      </rPr>
      <t>https://meta.tapera.go.id/public/question/2327d1b3-aab0-4bea-8802-f72764fad569</t>
    </r>
    <r>
      <rPr>
        <b val="0"/>
        <color rgb="FF000000"/>
        <sz val="11.0"/>
      </rPr>
      <t xml:space="preserve">  
Bukti dukung pendataan:
</t>
    </r>
    <r>
      <rPr>
        <b val="0"/>
        <color rgb="FF1155CC"/>
        <sz val="11.0"/>
        <u/>
      </rPr>
      <t>https://kemenpkp-my.sharepoint.com/:f:/g/personal/muwafiqo_zamzami_pkp_go_id/EmqyNKmN2itFoZlMw4R1uowByE-Prte6lkNochOH0xWUJw?e=mrGAVm</t>
    </r>
  </si>
  <si>
    <t>Kab. Kudus</t>
  </si>
  <si>
    <r>
      <rPr>
        <color rgb="FF000000"/>
        <sz val="11.0"/>
      </rPr>
      <t xml:space="preserve">Sumber CSR (terdapat perubahan data setelah klarifikasi lebih lanjut ke Pemda):
1. PT. Djarum: terbangun 61 unit dari alokasi 200 unit (sudah disepakati desain 45 unit yg akan diperbaiki)
2. PT. HIT/Polytron: terbangun 70 unit dari alokasi 100 unit
3. PT. Nojorono: 10 unit
4. Baznas: 7 unit (tgl 13 jun) + 5 unit (update tgl 19 jun)
</t>
    </r>
    <r>
      <rPr>
        <color rgb="FF1155CC"/>
        <sz val="11.0"/>
        <u/>
      </rPr>
      <t>https://</t>
    </r>
    <r>
      <rPr>
        <color rgb="FF000000"/>
        <sz val="11.0"/>
      </rPr>
      <t xml:space="preserve">Bukti dukung pendataan:
</t>
    </r>
    <r>
      <rPr>
        <color rgb="FF1155CC"/>
        <sz val="11.0"/>
        <u/>
      </rPr>
      <t>drive.google.com/drive/folders/1GZ36O8_Tn5LOx-ufXdGcnrGXPxLx8uMZ?usp=drive_link</t>
    </r>
  </si>
  <si>
    <t>Kab. Demak</t>
  </si>
  <si>
    <r>
      <rPr>
        <color rgb="FF000000"/>
        <sz val="11.0"/>
      </rPr>
      <t xml:space="preserve">1. Data FLLPP bersumber dari data TAPEPARA 
</t>
    </r>
    <r>
      <rPr>
        <color rgb="FF1155CC"/>
        <sz val="11.0"/>
        <u/>
      </rPr>
      <t>https://meta.tapera.go.id/public/question/2327d1b3-aab0-4bea-8802-f72764fad569</t>
    </r>
    <r>
      <rPr>
        <color rgb="FF000000"/>
        <sz val="11.0"/>
      </rPr>
      <t xml:space="preserve"> 
2. Data Renovasi bersumber link pendataan perumahan yang langsung diisi oleh Dinas Kabupaten Demak </t>
    </r>
    <r>
      <rPr>
        <color rgb="FF1155CC"/>
        <sz val="11.0"/>
        <u/>
      </rPr>
      <t>https://docs.google.com/spreadsheets/d/1tRNhPWopO2-V2EDocH_UaA6QEUwsaZ2Q/edit?usp=sharing&amp;ouid=104776764963976069989&amp;rtpof=true&amp;sd=true</t>
    </r>
  </si>
  <si>
    <t>data FLPP per tanggal 10 Juli 2025 sebanyak 1.225
Penambahan unit di pembangunann baru sebanyak 2 unit (APBD)
untuk peningkatan kualitas masih sama dengan minggu lalu</t>
  </si>
  <si>
    <t>Kab. Semarang</t>
  </si>
  <si>
    <t>https://drive.google.com/drive/folders/1MU7ycNLz7C6cglVcsiHcg9fnJyzmL-yi</t>
  </si>
  <si>
    <t>Kab. Temanggung</t>
  </si>
  <si>
    <r>
      <rPr>
        <color rgb="FF000000"/>
        <sz val="11.0"/>
      </rPr>
      <t xml:space="preserve">CSR Djarum Foundation 2025 (15 unit PK)
Data Dukung:
</t>
    </r>
    <r>
      <rPr>
        <color rgb="FF1155CC"/>
        <sz val="11.0"/>
        <u/>
      </rPr>
      <t>https://kemenpkp.sharepoint.com/:f:/s/skemabiayaperumdes/Epgkuz3CWWVHhUoI-5yJg9YBDQ3aotjPKTU7nD1tNwdDWw?e=VchbaN</t>
    </r>
  </si>
  <si>
    <t>bukti dukung surat nanti ditambahkan bu Pelangi</t>
  </si>
  <si>
    <t>Kab. Kendal</t>
  </si>
  <si>
    <r>
      <rPr>
        <color rgb="FF000000"/>
        <sz val="11.0"/>
      </rPr>
      <t xml:space="preserve">CSR: Baznas Kab Kendal dan Bank Jateng
Data Dukung:
</t>
    </r>
    <r>
      <rPr>
        <color rgb="FF1155CC"/>
        <sz val="11.0"/>
        <u/>
      </rPr>
      <t>https://kemenpkp.sharepoint.com/:f:/s/skemabiayaperumdes/EjCobvdXqEVCnPRDaRWtSAwB7Ob7aTXXhfaxfK-Ts9D7vA?e=Gwzklu</t>
    </r>
    <r>
      <rPr>
        <color rgb="FF000000"/>
        <sz val="11.0"/>
      </rPr>
      <t xml:space="preserve">                                                                                                     bukti dukung dari disperkim: </t>
    </r>
    <r>
      <rPr>
        <color rgb="FF1155CC"/>
        <sz val="11.0"/>
        <u/>
      </rPr>
      <t>https://docs.google.com/spreadsheets/d/1S9YJmcKruql-C58bxdOeIDS456njgKAN/edit?usp=share_link&amp;ouid=102477866854178244229&amp;rtpof=true&amp;sd=true</t>
    </r>
    <r>
      <rPr>
        <color rgb="FF000000"/>
        <sz val="11.0"/>
      </rPr>
      <t xml:space="preserve"> </t>
    </r>
  </si>
  <si>
    <r>
      <rPr>
        <rFont val="Bookman Old Style"/>
      </rPr>
      <t xml:space="preserve">bukti dukung dari disperkim: </t>
    </r>
    <r>
      <rPr>
        <rFont val="Bookman Old Style"/>
        <color rgb="FF1155CC"/>
        <u/>
      </rPr>
      <t>https://docs.google.com/spreadsheets/d/1S9YJmcKruql-C58bxdOeIDS456njgKAN/edit?usp=share_link&amp;ouid=102477866854178244229&amp;rtpof=true&amp;sd=true</t>
    </r>
  </si>
  <si>
    <t>Kab. Pekalongan</t>
  </si>
  <si>
    <r>
      <rPr>
        <color rgb="FF000000"/>
        <sz val="11.0"/>
      </rPr>
      <t xml:space="preserve">Data Realisasi  APBD, DAK, APBD Prov, dan Kolaborasi T.A 2024;  APBD 2025 masih dalam tahap verifikasi usulan (Penyusunan SK), CSR 2 Unit dengan rincian 1 Unit Kolaborasi dari Basnaz, Dana Zakat PLN, dan CV. Ardian Jaya Teknik (Produksi RUSPIN) dan 1 Unit Kolaborasi dari Basnaz dan APBD (masih dalam tahap verifikasi lahan). Bukti Dukung berupa SK Pemda : </t>
    </r>
    <r>
      <rPr>
        <color rgb="FF1155CC"/>
        <sz val="11.0"/>
        <u/>
      </rPr>
      <t>https://kemenpkp-my.sharepoint.com/:f:/g/personal/mahardianfarizalr_pkp_go_id/EhfXuxM9AlhJl33bpTmPG9YBZ53g0PcgIEn7Jz-y23GhxA?e=7zdZBo</t>
    </r>
  </si>
  <si>
    <t>bukti pendukung berupa surat SK sdh ada 2024 dan 2025</t>
  </si>
  <si>
    <t>Kab. Pemalang</t>
  </si>
  <si>
    <r>
      <rPr>
        <b val="0"/>
        <color rgb="FF000000"/>
        <sz val="11.0"/>
      </rPr>
      <t xml:space="preserve">Data Dukung : </t>
    </r>
    <r>
      <rPr>
        <b val="0"/>
        <color rgb="FF1155CC"/>
        <sz val="11.0"/>
        <u/>
      </rPr>
      <t>https://sikumbang.tapera.go.id/</t>
    </r>
    <r>
      <rPr>
        <b val="0"/>
        <color rgb="FF000000"/>
        <sz val="11.0"/>
      </rPr>
      <t xml:space="preserve"> 
Bukti Data Dukung dari Dinas Pemalang : 
</t>
    </r>
    <r>
      <rPr>
        <b val="0"/>
        <color rgb="FF1155CC"/>
        <sz val="11.0"/>
        <u/>
      </rPr>
      <t>https://drive.google.com/drive/folders/1FJYGj6Mdu0oavGKEr9jdKGLxXXCvcGia</t>
    </r>
    <r>
      <rPr>
        <b val="0"/>
        <color rgb="FF000000"/>
        <sz val="11.0"/>
      </rPr>
      <t xml:space="preserve"> </t>
    </r>
  </si>
  <si>
    <t>- menunggu bukti dukung dari Pemda berupa tabel yg berisi nama, alamat, foto dan keterangan lainnya
- sedang dimintakan bukti berupa surat terkait RTLH</t>
  </si>
  <si>
    <t>Kab. Tegal</t>
  </si>
  <si>
    <t>Data yang di take out:
-Non FLPP: 496 unit (data SIKUMBANG, masih data kavling)
-PB (APBD): 12 unit (realisasi 2024)
-PK (APBN) : 35 unit (reliasasi 2024)
-PK (APBD):  465 unit proses verifikasi penerima bantuan 2025 (150 unit APBD Provinsi + 315 unit APBD Kab), 16 unit APBD Kab rehab bencana (Desember 2024)
-Perbaikan data pada peningkatan kualitas sebanyak 20 unit melalui dana APBN menjadi dana APBDes (surat penyampaian perbaikan data dari kadis)  
117. KAB. Tegal</t>
  </si>
  <si>
    <t>Kab. Brebes</t>
  </si>
  <si>
    <t>Data yang di take out:
-Non FLPP: 474 kavling komersial, 1 unit saja yang ready stock (Data SIKUMBANG)
- PB (APBN): 67 unit (Data dari  https://bit.ly/datawil1bangdes, Perlu dikonfirmasi apakah data PB tahun 2024 (Okt-Des) atau Rencana 2025) &gt;&gt; Hasil konfirmasi, Data BANGDES salah, belum ada angka unit data PB APBN
-PB (APBD): 598 unit (Rencana TA 2025, masih proses perencanaan/verifikasi)
-PK (APBN) : 333 unit (realisasi 2024)
-PK (APBD) : total rencana 212 unit (rencana TA 2025), yang terealisasi 40 unit
-CSR : 22 unit (Rencana CSR BAZNAS)
99. KAB. Brebes</t>
  </si>
  <si>
    <t>Provinsi DI Yogyakarta</t>
  </si>
  <si>
    <t>Kab. Kulon Progo</t>
  </si>
  <si>
    <t>Data yang di take out:
-FLPP: 192 unit (Data sikumbang, tidak terfilter tahun)
-PB Swadaya: 94 unit (Sumber data: https://bit.ly/datawil1bangdes, Perlu dikonfirmasi apakah data PB tahun 2024 (Okt-Des) atau Realisasi 2025)
-PB (APBD): 11 unit (Rencana APBD TA 2025, masih proses perencanaan/verifikasi)
-PK (APBD): 213 unit (Rencana APBD TA 2025, masih proses perencanaan/verifikasi)
Sumber CSR :
1. Habitat For Humanity Indonesia, sebanyak 117 Unit Rumah Baru
2. Baznas Kab, sebanyak 1 unit PB dan 28 unit PK
3. BPD DIY, sebanyak 2 unit PB
123. KAB. Kulon Progo</t>
  </si>
  <si>
    <t>Kab. Bantul</t>
  </si>
  <si>
    <t>Data yang di take out:
-FLPP: 1.330 unit (Data sikumbang, tidak terfilter tahun)
-Non FLPP: 659 unit (data SIKUMBANG, masih data kavling)
-PB APBD: 20 unit (Rencana TA 2025, 10 unit masih proses perencanaan/verifikasi, rencana pembangunan di akhir bulan juni)
-PK APBD: 128 unit (Rencana APBD TA 2025, masih proses perencanaan/verifikasi)
Sumber CSR
BPD DIY: PB 5 unit PK 3 unit
121. KAB. Bantul</t>
  </si>
  <si>
    <t>Kab. Gunung Kidul</t>
  </si>
  <si>
    <t>Data yang di take out:
-FLPP: 2.487 unit (Data sikumbang, tidak terfilter tahun)
-PB Swadaya: 6 unit (Sumber data: https://bit.ly/datawil1bangdes, Perlu dikonfirmasi apakah data PB tahun 2024 (Okt-Des) atau Realisasi 2025)
-PB (APBD): 11 unit (realisasi okt-des 2024)
-PK (APBN): 279 (realisasi okt-des 2024)
-PK (APBD): 10 unit (realisasi okt-des 2024)
Sumber CSR 
1. Baznas : 12 unit PK
2. Habitat For Humanity Indonesia, dengan rincian :
a. Renovasi sebanyak 16 unit
b. Rumah baru 19 unit
3. BPD DIY : 12 unit PK
122. KAB. Gunungkidul</t>
  </si>
  <si>
    <t>Kab. Sleman</t>
  </si>
  <si>
    <r>
      <rPr>
        <b/>
        <color rgb="FF000000"/>
        <sz val="11.0"/>
      </rPr>
      <t xml:space="preserve">APBD 45 unit bersumber dari dana Keistimewaan, CSR 17 berasal dari BAZNAS, </t>
    </r>
    <r>
      <rPr>
        <b/>
        <color rgb="FF1155CC"/>
        <sz val="11.0"/>
        <u/>
      </rPr>
      <t>https://drive.google.com/drive/folders/1xIkkZjYYjTaeF0o6PxmBJKjADj7QzvJV?usp=drive_link</t>
    </r>
    <r>
      <rPr>
        <b/>
        <color rgb="FF000000"/>
        <sz val="11.0"/>
      </rPr>
      <t xml:space="preserve"> </t>
    </r>
  </si>
  <si>
    <t>Provinsi Jawa Timur</t>
  </si>
  <si>
    <t>Kab. Pacitan</t>
  </si>
  <si>
    <r>
      <rPr>
        <b/>
        <color rgb="FF000000"/>
        <sz val="11.0"/>
      </rPr>
      <t xml:space="preserve">Kab Pacitan  </t>
    </r>
    <r>
      <rPr>
        <b/>
        <color rgb="FF1155CC"/>
        <sz val="11.0"/>
        <u/>
      </rPr>
      <t>https://pendataan3jutarumah.carrd.co/</t>
    </r>
  </si>
  <si>
    <t>Kab. Ponorogo</t>
  </si>
  <si>
    <r>
      <rPr>
        <b/>
        <color rgb="FF000000"/>
        <sz val="11.0"/>
      </rPr>
      <t xml:space="preserve">APBD Kabupaten, </t>
    </r>
    <r>
      <rPr>
        <b/>
        <color rgb="FF1155CC"/>
        <sz val="11.0"/>
        <u/>
      </rPr>
      <t>https://drive.google.com/drive/folders/1M73jmFHjhkZlQGvnERAQsU7dR6nofPvE?usp=drive_link</t>
    </r>
  </si>
  <si>
    <t>Kab. Trenggalek</t>
  </si>
  <si>
    <r>
      <rPr>
        <b/>
        <color rgb="FF000000"/>
        <sz val="11.0"/>
      </rPr>
      <t xml:space="preserve">Data yang disampaikan oleh dinas perumahan kawasan permukiman dan lingkungan hidup Kab.Trenggalek ( </t>
    </r>
    <r>
      <rPr>
        <b/>
        <color rgb="FF1155CC"/>
        <sz val="11.0"/>
        <u/>
      </rPr>
      <t>https://drive.google.com/drive/folders/1fF1EGZzzFyvMhXCPn_LMMOoszx39Hd8H?usp=sharing</t>
    </r>
    <r>
      <rPr>
        <b/>
        <color rgb="FF000000"/>
        <sz val="11.0"/>
      </rPr>
      <t xml:space="preserve"> )</t>
    </r>
  </si>
  <si>
    <t>Kab. Tulungagung</t>
  </si>
  <si>
    <t>SHP : 36 Tanah Pemkab/Pendaftaran SK hak th 2021/SHP : 03 Tanah Pemkab/Sudah pengamanan aset/SHP : 59 Tanah Pemkab/SHP : 01 Tanah Pemkab/SHP : 26 Tanah Pemkab</t>
  </si>
  <si>
    <r>
      <rPr>
        <b/>
        <color rgb="FF000000"/>
        <sz val="11.0"/>
      </rPr>
      <t xml:space="preserve">Data yang disampaikan oleh Dinas Perkim Tulungagung
</t>
    </r>
    <r>
      <rPr>
        <b val="0"/>
        <color rgb="FF1155CC"/>
        <sz val="11.0"/>
        <u/>
      </rPr>
      <t>https://kemenpkp-my.sharepoint.com/:f:/g/personal/haifa_damarani_pkp_go_id/Eqc8CjEKskNFhYc9BcukorkBHJPCoonxowGdnjQ7no5IhA?e=fShv2C</t>
    </r>
    <r>
      <rPr>
        <b val="0"/>
        <color rgb="FF000000"/>
        <sz val="11.0"/>
      </rPr>
      <t xml:space="preserve"> </t>
    </r>
  </si>
  <si>
    <t>Kab. Blitar</t>
  </si>
  <si>
    <r>
      <rPr>
        <b/>
        <sz val="11.0"/>
      </rPr>
      <t xml:space="preserve">dalam perencanaan </t>
    </r>
    <r>
      <rPr>
        <b/>
        <color rgb="FF000000"/>
        <sz val="11.0"/>
      </rPr>
      <t xml:space="preserve">
</t>
    </r>
    <r>
      <rPr>
        <b/>
        <color rgb="FF1155CC"/>
        <sz val="11.0"/>
        <u/>
      </rPr>
      <t>https://shorturl.at/58Yff</t>
    </r>
  </si>
  <si>
    <t>Kab. Kediri</t>
  </si>
  <si>
    <r>
      <rPr>
        <rFont val="Arial"/>
        <b/>
        <color rgb="FF000000"/>
        <sz val="11.0"/>
      </rPr>
      <t xml:space="preserve">CSR (Bank Jatim)
KAB. KEDIRI 2025
</t>
    </r>
    <r>
      <rPr>
        <rFont val="Arial"/>
        <b/>
        <color rgb="FF000000"/>
        <sz val="11.0"/>
      </rPr>
      <t>127. KAB. KEDIRI</t>
    </r>
  </si>
  <si>
    <t>Kab. Malang</t>
  </si>
  <si>
    <t>CSR (Baznas)
Kab. Malang 2025</t>
  </si>
  <si>
    <t>Kab. Lumajang</t>
  </si>
  <si>
    <t>Keputusan Menteri</t>
  </si>
  <si>
    <t>CSR (Baznas)
Form Pendataan Perumahan Desa &amp; Kabupaten rev1 TA 2025 180625.xlsx
79 unit renovasi alokasi DAK</t>
  </si>
  <si>
    <t>Kab. Jember</t>
  </si>
  <si>
    <t>Revisi angka terupdate sebagai berikut: FLPP 632 unit, Non FLPP 477 unit
- Data Jumlah Unit PB FLPP &amp; NON FLPP Berdasarkan Siteplan dan Hasil Desk Pendataan Dinas Perkim Bidang PSU
- Data Jumlah Unit Renovasi berdasarkan data yang disampaikan oleh Dinas Perkim Jember 
Kab. Jember 2025</t>
  </si>
  <si>
    <t>Kab. Bondowoso</t>
  </si>
  <si>
    <t>Kab. Bondowoso 2025</t>
  </si>
  <si>
    <t>Kab. Pasuruan</t>
  </si>
  <si>
    <t>- Data Jumlah Unit PB FLPP &amp; NON FLPP Berdasarkan Siteplan dan Hasil Pendataan Dinas Perkim Bidang PSU (sedang menunggu info valid)
- Data Jumlah Unit Renovasi APBD berdasarkan info dari Disperkim (sedang menunggu data dukung)
- Data Jumlah Unit Renovasi APBDesa berdasarkan info dari DPMD
- CSR bersumber dari BAZNAS (menunggu data dukung)
Link Data :
KAB. PASURUAN 2025</t>
  </si>
  <si>
    <t>Kab. Sidoarjo</t>
  </si>
  <si>
    <t>Hasil Desk Kab Sidoarjo.pdf RTLH BAZNAS Sidoarjo.xlsxCSR dari Baznas</t>
  </si>
  <si>
    <t>Kab. Mojokerto</t>
  </si>
  <si>
    <r>
      <rPr>
        <color rgb="FF000000"/>
        <sz val="11.0"/>
      </rPr>
      <t xml:space="preserve">APBD Prov 23 unit PK, APBD Kab 135 unit PB dan 120 unit PK, CSR Baznas 38 unit PK, CSR PT. BPR Majatama 2 unit PB, CSR Pramuka 4 unit PB, CSR Urunan Pengembang 2 unit PB ( </t>
    </r>
    <r>
      <rPr>
        <color rgb="FF1155CC"/>
        <sz val="11.0"/>
        <u/>
      </rPr>
      <t>https://drive.google.com/drive/folders/15MfS3otxSFzOvNSCymORok7Yv1tzOofZ</t>
    </r>
    <r>
      <rPr>
        <color rgb="FF000000"/>
        <sz val="11.0"/>
      </rPr>
      <t xml:space="preserve"> )</t>
    </r>
  </si>
  <si>
    <t>Kab. Jombang</t>
  </si>
  <si>
    <t>SK BNBA 2025 KAB JOMBANG.pdfhsk bup bansos kedunglumpang 2025 KAB JOMBANG.pdf CSR : BAZNAS</t>
  </si>
  <si>
    <t>Kab. Nganjuk</t>
  </si>
  <si>
    <t>3 CSR dari Baznas + Paguyuban Pengembang Nganjuk (PPN)</t>
  </si>
  <si>
    <t>Kab. Madiun</t>
  </si>
  <si>
    <t>APBN 22 unit PB, APBD 35 unit PK, APBD Desa 61 unit, APBD Kab. 224 unit (menunggu update data dari kabupaten/SK) Form I Pendataan Perumahan Desa &amp; Kabupaten TA 2025_Kab. Madiun.pdf BNBA CSR 2024-2025_14072025.xlsx</t>
  </si>
  <si>
    <t>Kab. Magetan</t>
  </si>
  <si>
    <r>
      <rPr>
        <b/>
        <color rgb="FF000000"/>
        <sz val="11.0"/>
      </rPr>
      <t xml:space="preserve">25 Unit CSR dari Lamtamal V Surabaya </t>
    </r>
    <r>
      <rPr>
        <b/>
        <color rgb="FF1155CC"/>
        <sz val="11.0"/>
        <u/>
      </rPr>
      <t>https://docs.google.com/document/d/1NpwvErjrigUaqNL3eSCVI3YM7Zz7iinj/edit?usp=sharing&amp;ouid=106352974718822420781&amp;rtpof=true&amp;sd=true</t>
    </r>
  </si>
  <si>
    <t>Kab. Ngawi</t>
  </si>
  <si>
    <t>Kab. Bojonegoro</t>
  </si>
  <si>
    <r>
      <rPr>
        <rFont val="Arial"/>
        <color rgb="FF980000"/>
        <sz val="11.0"/>
      </rPr>
      <t xml:space="preserve">[MOHON DISERTAKAN LINK DATA DUKUNG] </t>
    </r>
    <r>
      <rPr>
        <rFont val="Arial"/>
        <color rgb="FF000000"/>
        <sz val="11.0"/>
      </rPr>
      <t>Alokasi rencana kegiatan penerima bantuan sosial peningkatan kualitas atap, lantai dan dinding rumah prasejahtera Tahun Anggaran 2025 sebanyak 578 unit SK RTLH KAB BOJONEGORO TA 2025.pdf SK ALADIN INDUK TAHUN 2025 KAB BOJONEGORO.xlsx</t>
    </r>
  </si>
  <si>
    <t>Kab. Lamongan</t>
  </si>
  <si>
    <t>Desk Pendataan Perumaha 2025.jpeg Bantuan perumahan Lamongan.pdfCSR : BAZNAS</t>
  </si>
  <si>
    <t>Kab. Gresik</t>
  </si>
  <si>
    <t xml:space="preserve"> Alokasi rencana kegiatan penerima bantuan sosial peningkatan kualitas atap, lantai dan dinding rumah prasejahtera Tahun Anggaran 2025, APBN sebanyak 145 unit sedangkan APBD sebanyak 196 unit (menunggu update data dari kabupaten/SK)</t>
  </si>
  <si>
    <t>Provinsi Banten</t>
  </si>
  <si>
    <t>Kab. Lebak</t>
  </si>
  <si>
    <t>- Bantuan Stimulan Perumahan Swadaya Rp1,1 miliar untuk 50 rumah
- PSU kawasan kumuh Rp1,92 miliar untuk 5 lokasi
- Alokasi anggaran untuk Dinas Perkim Kab. Lebak senilai Rp7,6 miliar (Termasuk gaji pegawai)</t>
  </si>
  <si>
    <t>Kab. Tangerang</t>
  </si>
  <si>
    <t>realisasi FLPP (komersil) 50 unit https://drive.google.com/drive/folders/1RA5eTHd_mZxIxeWcvi8dEKwipz1UrdDt</t>
  </si>
  <si>
    <t>Kab. Serang</t>
  </si>
  <si>
    <t>(204 unit dan 12 unit dalam tahap SK belum pelaksanaan) https://docs.google.com/spreadsheets/d/1h2lQaOo6gxy9uHV8Bjq1UDGmhAjwcjgV/edit?gid=1047375049#gid=1047375049</t>
  </si>
  <si>
    <t>Provinsi Bali</t>
  </si>
  <si>
    <t>Kab. Tabanan</t>
  </si>
  <si>
    <t>https://docs.google.com/spreadsheets/d/1t1DD19j2s5ViQBue5WHCAdTSUl1auRoI/edit?usp=sharing&amp;ouid=111921605646580223531&amp;rtpof=true&amp;sd=true</t>
  </si>
  <si>
    <t>Kab. Badung</t>
  </si>
  <si>
    <r>
      <rPr>
        <color rgb="FF000000"/>
        <sz val="11.0"/>
      </rPr>
      <t xml:space="preserve">CSR: Bank BPD Bali </t>
    </r>
    <r>
      <rPr>
        <color rgb="FF1155CC"/>
        <sz val="11.0"/>
        <u/>
      </rPr>
      <t>https://drive.google.com/drive/folders/1hO40TiFAANAcMsgyPaIdvT8NbTNQcEAA?usp=sharing</t>
    </r>
  </si>
  <si>
    <t>Kab. Gianyar</t>
  </si>
  <si>
    <t>https://drive.google.com/drive/folders/1RA5eTHd_mZxIxeWcvi8dEKwipz1UrdDt</t>
  </si>
  <si>
    <t>Kab. Bangli</t>
  </si>
  <si>
    <t>Provinsi Kalimantan Barat</t>
  </si>
  <si>
    <t>Kab. Bengkayang</t>
  </si>
  <si>
    <t>SURAT DUKUNGAN PENDATAAN PERUMAHAN PERDESAAN.pdf</t>
  </si>
  <si>
    <t>Kab. Landak</t>
  </si>
  <si>
    <r>
      <rPr>
        <b/>
        <color rgb="FF000000"/>
        <sz val="11.0"/>
        <u/>
      </rPr>
      <t xml:space="preserve">https://drive.google.com/drive/folders/1_ciP8HJVUQioh9UTXinuIWxhv4jcAEi7?usp=drive_link
</t>
    </r>
    <r>
      <rPr>
        <b/>
        <color rgb="FF000000"/>
        <sz val="11.0"/>
      </rPr>
      <t>Surat Dukungan Pendataan Perumahan Perdesaan-1.pdf</t>
    </r>
  </si>
  <si>
    <t>Kab. Sanggau</t>
  </si>
  <si>
    <t>155. KAB. Sanggau CSR: BAZNAS, ANTAM
Surat Bupati Dukungan Pendataan Perumahan Perdesaan.pdf</t>
  </si>
  <si>
    <t>Kab. Ketapang</t>
  </si>
  <si>
    <t>Kab. Sintang</t>
  </si>
  <si>
    <t>https://kemenpkp-my.sharepoint.com/:f:/g/personal/m_febriansyah_pkp_go_id/En_Rg4cI8OpGiF__KohkbysBaNMxSUa1daDI-m3VB7Krlg?e=b7awx2</t>
  </si>
  <si>
    <t>Kab. Kapuas Hulu</t>
  </si>
  <si>
    <t>FORM...II - GABUNGAN FORM PENDATAAN PERUMAHAN</t>
  </si>
  <si>
    <t>Kab. Sekadau</t>
  </si>
  <si>
    <t>Form Pendataan Perumahan.pdf</t>
  </si>
  <si>
    <t>Kab. Melawi</t>
  </si>
  <si>
    <r>
      <rPr>
        <b/>
        <color rgb="FF000000"/>
        <sz val="11.0"/>
        <u/>
      </rPr>
      <t xml:space="preserve">https://drive.google.com/file/d/1ti5esmYaBuLVGsJ6_6u7dmdQm8is93da/view?usp=drive_link
Pendataan September minggu pertama
https://drive.google.com/file/d/1yZz12FfM2Vs1PYX13RsWFXlR9dfuPkb6/view?usp=sharing
</t>
    </r>
    <r>
      <rPr>
        <b/>
        <color rgb="FF1155CC"/>
        <sz val="11.0"/>
        <u/>
      </rPr>
      <t>https://drive.google.com/file/d/1v_VuKORBDEp7suu4wSysaO7ZJR6DGpl7/view?usp=drive_link</t>
    </r>
  </si>
  <si>
    <t>Provinsi Kalimantan Tengah</t>
  </si>
  <si>
    <t>Kab. Kotawaringin Barat</t>
  </si>
  <si>
    <t>https://docs.google.com/document/d/1D2lEXtwNmueyowHb_en3SlLg_BA5cKZj/edit?usp=drive_link&amp;ouid=109143360475755869220&amp;rtpof=true&amp;sd=true</t>
  </si>
  <si>
    <t>Kab. Kotawaringin Timur</t>
  </si>
  <si>
    <t>1,3</t>
  </si>
  <si>
    <r>
      <rPr>
        <color rgb="FF000000"/>
        <sz val="11.0"/>
      </rPr>
      <t xml:space="preserve">Pelaksanaan Periode Januari - Desember 2025
CSR Desa Mekar Sari
</t>
    </r>
    <r>
      <rPr>
        <color rgb="FF1155CC"/>
        <sz val="11.0"/>
        <u/>
      </rPr>
      <t>https://bit.ly/linkdukunganberkas2025</t>
    </r>
  </si>
  <si>
    <t>Kab. Kapuas</t>
  </si>
  <si>
    <r>
      <rPr>
        <color rgb="FF000000"/>
        <sz val="11.0"/>
      </rPr>
      <t xml:space="preserve">Pelaksanaan Periode Januari - Desember 2025
</t>
    </r>
    <r>
      <rPr>
        <color rgb="FF1155CC"/>
        <sz val="11.0"/>
        <u/>
      </rPr>
      <t>https://bit.ly/linkdukunganberkas2025</t>
    </r>
  </si>
  <si>
    <t>Kab. Barito Selatan</t>
  </si>
  <si>
    <r>
      <rPr>
        <color rgb="FF000000"/>
        <sz val="11.0"/>
      </rPr>
      <t xml:space="preserve">CSR TMMD, 
Pelaksanaan Periode Januari - Desember 2025
</t>
    </r>
    <r>
      <rPr>
        <color rgb="FF1155CC"/>
        <sz val="11.0"/>
        <u/>
      </rPr>
      <t>https://bit.ly/linkdukunganberkas2025</t>
    </r>
  </si>
  <si>
    <t>Kab. Barito Utara</t>
  </si>
  <si>
    <r>
      <rPr>
        <color rgb="FF000000"/>
        <sz val="11.0"/>
      </rPr>
      <t xml:space="preserve">Pelaksanaan Periode Januari - Desember 2025
</t>
    </r>
    <r>
      <rPr>
        <color rgb="FF1155CC"/>
        <sz val="11.0"/>
        <u/>
      </rPr>
      <t>https://bit.ly/linkdukunganberkas2025</t>
    </r>
  </si>
  <si>
    <t>Kab. Sukamara</t>
  </si>
  <si>
    <r>
      <rPr>
        <color rgb="FF000000"/>
        <sz val="11.0"/>
      </rPr>
      <t xml:space="preserve">Pelaksanaan Periode Januari - Desember 2025
</t>
    </r>
    <r>
      <rPr>
        <color rgb="FF1155CC"/>
        <sz val="11.0"/>
        <u/>
      </rPr>
      <t>https://bit.ly/linkdukunganberkas2025</t>
    </r>
  </si>
  <si>
    <t>Kab. Lamandau</t>
  </si>
  <si>
    <r>
      <rPr>
        <color rgb="FF000000"/>
        <sz val="11.0"/>
      </rPr>
      <t xml:space="preserve">Pelaksanaan Periode Januari - Desember 2025
</t>
    </r>
    <r>
      <rPr>
        <color rgb="FF1155CC"/>
        <sz val="11.0"/>
        <u/>
      </rPr>
      <t>https://bit.ly/linkdukunganberkas2025</t>
    </r>
  </si>
  <si>
    <t>Kab. Seruyan</t>
  </si>
  <si>
    <t>https://drive.google.com/drive/folders/1pNIRXiX0htA0JgrdScUqp9cqPuA8AvI6?usp=drive_link</t>
  </si>
  <si>
    <t>Kab. Katingan</t>
  </si>
  <si>
    <t>Kab. Pulang Pisau</t>
  </si>
  <si>
    <r>
      <rPr>
        <b/>
        <color rgb="FF000000"/>
        <sz val="11.0"/>
      </rPr>
      <t xml:space="preserve">-Laporan yang disampaikan langsung dari Dinas Perumahan Rakyat Kaws. Permukiman dan LPertanahan Kab. Pulang Pisau (Tertanda Tangan Kepala Dinas ) Laporan yang disampaikan Tanggal 07 Juli 2025 yaitu : 1. Pembangunan FLLP Oleh Pengembang.  2. Laporan Pembangunan Baru APBD 3 . Laporan Pembangunan Swadaya Sendiri </t>
    </r>
    <r>
      <rPr>
        <b/>
        <color rgb="FF1155CC"/>
        <sz val="11.0"/>
        <u/>
      </rPr>
      <t>https://drive.google.com/drive/folders/1btjL-Za2S1G14Cos7Dn98v3v8PSm_mpl?usp=drive_link</t>
    </r>
  </si>
  <si>
    <t>Kab. Gunung Mas</t>
  </si>
  <si>
    <t>Kab. Barito Timur</t>
  </si>
  <si>
    <t>https://drive.google.com/drive/folders/10Ww8HoS4U_PlWMUj6xM3DVsLa6vGY0zY?usp=sharing</t>
  </si>
  <si>
    <t>Kab. Murung Raya</t>
  </si>
  <si>
    <t>167. KAB. Murung Raya</t>
  </si>
  <si>
    <t>Provinsi Kalimantan Selatan</t>
  </si>
  <si>
    <t>Kab. Banjar</t>
  </si>
  <si>
    <r>
      <rPr>
        <b/>
        <color rgb="FF000000"/>
        <sz val="11.0"/>
      </rPr>
      <t xml:space="preserve">-Laporan yang disampaikan langsung dari Dinas Perumahan Rakyat Kaws. Permukiman dan Lingkungan Hidup Kab. Banjar (Tertanda Tangan Kepala Dinas Akhmad Bayhaqie ST., MT) Laporan yang disampaikan Tanggal 03 Juli 2025 yaitu : 1. Pembangunan FLLP Oleh Pengembang 2. Laporan Peningkatan Kualitas Sumber Dana APBD </t>
    </r>
    <r>
      <rPr>
        <b/>
        <color rgb="FF1155CC"/>
        <sz val="11.0"/>
        <u/>
      </rPr>
      <t>https://drive.google.com/drive/folders/1NgGyJkosEI3jXSqRyZimOYi2xhPuiBfs?usp=drive_link</t>
    </r>
    <r>
      <rPr>
        <b/>
        <color rgb="FF000000"/>
        <sz val="11.0"/>
      </rPr>
      <t xml:space="preserve">
- Pada Kunjungan tanggal 23-25 Juni terdapat 2 Pembangunan Rumah Baru Swadaya/Dana Sendiri (telah dibuat laporan nota dinas beserta dokumentasi ) - UPDATE TERBARU APBD 2025 BNBA: </t>
    </r>
    <r>
      <rPr>
        <b/>
        <color rgb="FF1155CC"/>
        <sz val="11.0"/>
        <u/>
      </rPr>
      <t>https://drive.google.com/drive/folders/1CWNknf4B6y8-4nnbUqq9r1CNaL5m6ZF9?</t>
    </r>
  </si>
  <si>
    <t>update 06/08/2025 sumber hasil rakor balikpapan</t>
  </si>
  <si>
    <t>Kab. Barito Kuala</t>
  </si>
  <si>
    <r>
      <rPr>
        <b/>
        <color rgb="FF000000"/>
        <sz val="11.0"/>
      </rPr>
      <t xml:space="preserve">-Laporan Pengisian Form Pendataan (pembangunan dan Renovasi APBD Kabupaten)yang disampaikan langsung dari Dinas Perumahan Rakyat dan Kawasan Permukiman saat Rakor Balikpapan . Laporan yang disampaikan Tanggal 23 Juli 2025 yaitu : 1. Pembangunan baru Dana Melalui APBD Kabupaten 2. Laporan Peningkatan Kualitas Sumber Dana APBD Kabupaten;
- Perolehan data yang bersumber dari Sikumbang ditahun 2025 terdapat pembangunan baru oleh Pengembang Sebanyak 281 unit (isian 465 seharusnya 281) kenapa unit bertambah terus padahal ngak saya isi di kolom FLPP ???? </t>
    </r>
    <r>
      <rPr>
        <b/>
        <color rgb="FF1155CC"/>
        <sz val="11.0"/>
        <u/>
      </rPr>
      <t>https://drive.google.com/drive/folders/1Go9-9dHxgXquz58unGsp3DClJfKg9yo7?usp=drive_link</t>
    </r>
  </si>
  <si>
    <t>update 31 /07/2025 sumber hasil Rakor  Balikpapan</t>
  </si>
  <si>
    <t>Kab. Tapin</t>
  </si>
  <si>
    <r>
      <rPr>
        <b/>
        <color rgb="FF000000"/>
        <sz val="11.0"/>
      </rPr>
      <t xml:space="preserve">-Laporan seluruhny disampaikan langsung dari Dinas Perumahan, Kawasan Permukiman, dan Pertanahan Kab. Tapin, tanggal laporan 20 Juni 2025
-Perolehan Data yang bersumber dari Aplikasi Sikumbang
</t>
    </r>
    <r>
      <rPr>
        <b/>
        <color rgb="FF1155CC"/>
        <sz val="11.0"/>
        <u/>
      </rPr>
      <t>https://drive.google.com/drive/folders/1Z1Un3NSI-egUVt7gZUVcO_qYi1ohxRX4?usp=drive_link</t>
    </r>
  </si>
  <si>
    <t>Kab. Hulu Sungai Selatan</t>
  </si>
  <si>
    <t>Berdasarkan laporan dari Dinas bertanda tangan Kepala Dinas</t>
  </si>
  <si>
    <t>Kab. Hulu Sungai Tengah</t>
  </si>
  <si>
    <t>Kab. Hulu Sungai Utara</t>
  </si>
  <si>
    <t>https://drive.google.com/drive/folders/1_nlmsKu_NQu5eJ5aWFFcjacCWTnkuKBK</t>
  </si>
  <si>
    <t>Kab. Tabalong</t>
  </si>
  <si>
    <t>PK APBD 170 unit tahap 1 dari total alokasi 400 unit, 20 unit penanganan bantuan PK khusus pasca bencana</t>
  </si>
  <si>
    <t>Kab. Tanah Bumbu</t>
  </si>
  <si>
    <t>Kab. Balangan</t>
  </si>
  <si>
    <r>
      <rPr>
        <b/>
        <color rgb="FF1155CC"/>
        <sz val="11.0"/>
        <u/>
      </rPr>
      <t>https://drive.google.com/drive/folders/1pNlVyad9Xouv4DdeztYSmKDR9VOP3iOi?usp=sharing</t>
    </r>
    <r>
      <rPr>
        <b/>
        <sz val="11.0"/>
      </rPr>
      <t xml:space="preserve">  , </t>
    </r>
    <r>
      <rPr>
        <b/>
        <color rgb="FF1155CC"/>
        <sz val="11.0"/>
        <u/>
      </rPr>
      <t>https://drive.google.com/drive/folders/16gDkyP0pJJXUkYJo-wM1bVqamQIwe0wJ</t>
    </r>
    <r>
      <rPr>
        <b/>
        <sz val="11.0"/>
      </rPr>
      <t xml:space="preserve"> </t>
    </r>
  </si>
  <si>
    <t>Provinsi Kalimantan Timur</t>
  </si>
  <si>
    <t>Kab. Paser</t>
  </si>
  <si>
    <t>Kab. Kutai Barat</t>
  </si>
  <si>
    <t>Kabupaten Kutai Barat</t>
  </si>
  <si>
    <t>Kab. Kutai Kartanegara</t>
  </si>
  <si>
    <t>Kab. Kutai Timur</t>
  </si>
  <si>
    <t>Kab. Berau</t>
  </si>
  <si>
    <t>Rencana alokasi PK 146+46=192 unit sedang dalam proses SK</t>
  </si>
  <si>
    <t>Kab. Mahakam Hulu</t>
  </si>
  <si>
    <r>
      <rPr>
        <color rgb="FF1155CC"/>
        <sz val="11.0"/>
        <u/>
      </rPr>
      <t xml:space="preserve">Kabupaten Mahakam Ulu - Google Drive
</t>
    </r>
    <r>
      <rPr>
        <sz val="11.0"/>
      </rPr>
      <t>Data di dapat dari dinas</t>
    </r>
  </si>
  <si>
    <t>Provinsi Kalimantan Utara</t>
  </si>
  <si>
    <t>Kab. Malinau</t>
  </si>
  <si>
    <t xml:space="preserve">Data dari Dinas Perkim </t>
  </si>
  <si>
    <t>Kab. Tana Tidung</t>
  </si>
  <si>
    <t>6 Lahan yang dimiliki oleh masing-masing masyarakat</t>
  </si>
  <si>
    <t>Kab. Nunukan</t>
  </si>
  <si>
    <t>Hibah terdapat di 6 kecamatan di Kab. Nunukan</t>
  </si>
  <si>
    <r>
      <rPr>
        <color rgb="FF1155CC"/>
        <sz val="11.0"/>
        <u/>
      </rPr>
      <t>https://drive.google.com/drive/folders/1Ck5TdBALxZH9QP-`?usp=drive_link</t>
    </r>
    <r>
      <rPr>
        <color rgb="FF000000"/>
        <sz val="11.0"/>
      </rPr>
      <t xml:space="preserve">                                    Sumber Data : DPRKPP Kab. Nunukan</t>
    </r>
  </si>
  <si>
    <t>Provinsi Sulawesi Tengah</t>
  </si>
  <si>
    <t>Kab. Sigi</t>
  </si>
  <si>
    <t>https://drive.google.com/drive/folders/1o2WgvjpssvYItRu5BW75uGJe7EdYe07H</t>
  </si>
  <si>
    <t>Provinsi Sulawesi Selatan</t>
  </si>
  <si>
    <t>Kab. Soppeng</t>
  </si>
  <si>
    <r>
      <rPr>
        <b/>
        <color rgb="FF1155CC"/>
        <sz val="11.0"/>
        <u/>
      </rPr>
      <t>https://drive.google.com/drive/folders/1aOVbFWqD3DEfjDF5sSzDbiB82NsYfPFr</t>
    </r>
    <r>
      <rPr>
        <b/>
        <sz val="11.0"/>
      </rPr>
      <t xml:space="preserve">
data dari dinas perumahan kabupaten Soppeng</t>
    </r>
  </si>
  <si>
    <t>Kab. Sidenreng Rappang</t>
  </si>
  <si>
    <r>
      <rPr>
        <color rgb="FF000000"/>
        <sz val="11.0"/>
      </rPr>
      <t xml:space="preserve">CSR: Baznas Kabupaten
</t>
    </r>
    <r>
      <rPr>
        <color rgb="FF1155CC"/>
        <sz val="11.0"/>
        <u/>
      </rPr>
      <t>https://drive.google.com/drive/folders/1HdSJnfYyDu2z5ynmfZ2wS_5W6VcmIpha?usp=drive_link</t>
    </r>
  </si>
  <si>
    <t>Kab. Enrekang</t>
  </si>
  <si>
    <r>
      <rPr>
        <color rgb="FF000000"/>
        <sz val="11.0"/>
      </rPr>
      <t xml:space="preserve">APBN: BNPB, CSR: Baznas Kabupaten
</t>
    </r>
    <r>
      <rPr>
        <color rgb="FF1155CC"/>
        <sz val="11.0"/>
        <u/>
      </rPr>
      <t>https://drive.google.com/drive/folders/1HdSJnfYyDu2z5ynmfZ2wS_5W6VcmIpha?usp=drive_link</t>
    </r>
  </si>
  <si>
    <t>Kab. Tana Toraja</t>
  </si>
  <si>
    <r>
      <rPr>
        <color rgb="FF000000"/>
        <sz val="11.0"/>
      </rPr>
      <t xml:space="preserve">14 unit APBD Kab
</t>
    </r>
    <r>
      <rPr>
        <color rgb="FF1155CC"/>
        <sz val="11.0"/>
        <u/>
      </rPr>
      <t>https://drive.google.com/drive/folders/1HdSJnfYyDu2z5ynmfZ2wS_5W6VcmIpha?usp=drive_link</t>
    </r>
  </si>
  <si>
    <t>Kab. Toraja Utara</t>
  </si>
  <si>
    <t>Milik Pemda Kab. Toraja Utara</t>
  </si>
  <si>
    <t>https://drive.google.com/drive/folders/1HdSJnfYyDu2z5ynmfZ2wS_5W6VcmIpha?usp=drive_link</t>
  </si>
  <si>
    <t>Provinsi Sulawesi Tenggara</t>
  </si>
  <si>
    <t>Kab. Konawe</t>
  </si>
  <si>
    <t>Kab. Kolaka Timur</t>
  </si>
  <si>
    <t>Provinsi Gorontalo</t>
  </si>
  <si>
    <t>Kab. Pohuwato</t>
  </si>
  <si>
    <r>
      <rPr>
        <b/>
        <sz val="11.0"/>
      </rPr>
      <t xml:space="preserve">- </t>
    </r>
    <r>
      <rPr>
        <b val="0"/>
        <sz val="11.0"/>
      </rPr>
      <t xml:space="preserve">Dari rekap Kab.1.024 unit, (996 PB/Swadaya) dan FLPP  28 Unit.                                                                                                                                                                 </t>
    </r>
    <r>
      <rPr>
        <b/>
        <sz val="11.0"/>
      </rPr>
      <t xml:space="preserve">- </t>
    </r>
    <r>
      <rPr>
        <b val="0"/>
        <sz val="11.0"/>
      </rPr>
      <t xml:space="preserve">996 unit dari hasil klarifikasi terakhir data tidak valid hasil dari koordinasi dengan Balai dan Kabupaten (mohon untuk dikeluarkan/dihapus) </t>
    </r>
    <r>
      <rPr>
        <b/>
        <sz val="11.0"/>
      </rPr>
      <t xml:space="preserve">           </t>
    </r>
    <r>
      <rPr>
        <b val="0"/>
        <color rgb="FF1155CC"/>
        <sz val="11.0"/>
        <u/>
      </rPr>
      <t>https://drive.google.com/drive/folders/1HdSJnfYyDu2z5ynmfZ2wS_5W6VcmIpha?usp=sharing</t>
    </r>
  </si>
  <si>
    <t>Provinsi Sulawesi Barat</t>
  </si>
  <si>
    <t>Kab. Polewali Mandar</t>
  </si>
  <si>
    <r>
      <rPr>
        <sz val="11.0"/>
      </rPr>
      <t xml:space="preserve">                                                                     </t>
    </r>
    <r>
      <rPr>
        <color rgb="FF1155CC"/>
        <sz val="11.0"/>
        <u/>
      </rPr>
      <t>https://drive.google.com/drive/folders/1HdSJnfYyDu2z5ynmfZ2wS_5W6VcmIpha?usp=sharing</t>
    </r>
  </si>
  <si>
    <t>Kab. Mamasa</t>
  </si>
  <si>
    <r>
      <rPr>
        <color rgb="FF1155CC"/>
        <sz val="11.0"/>
        <u/>
      </rPr>
      <t>https://drive.google.com/drive/folders/1HdSJnfYyDu2z5ynmfZ2wS_5W6VcmIpha?usp=sharing</t>
    </r>
    <r>
      <rPr>
        <color rgb="FF1155CC"/>
        <sz val="11.0"/>
      </rPr>
      <t xml:space="preserve">          </t>
    </r>
    <r>
      <rPr>
        <sz val="11.0"/>
      </rPr>
      <t xml:space="preserve">                  </t>
    </r>
  </si>
  <si>
    <t>Provinsi Papua Barat</t>
  </si>
  <si>
    <t>Kab. Teluk Bintuni</t>
  </si>
  <si>
    <t>Setelah dilakukan klarifikasi terakhir bahwa data kurang valid dikarenakan data-data tersebut masih berupa data usulan baru dan belum ada pembangunan yang dilaksanakan</t>
  </si>
  <si>
    <t>Kab. Pegunungan Arfak</t>
  </si>
  <si>
    <t>Provinsi Papua Barat Daya</t>
  </si>
  <si>
    <t>Kab. Maybrat</t>
  </si>
  <si>
    <t>Provinsi Papua</t>
  </si>
  <si>
    <t>Kab. Keerom</t>
  </si>
  <si>
    <t>14 1</t>
  </si>
  <si>
    <t>https://drive.google.com/file/d/1GNMI9KTSeMNaC7eAR2_kUJDzPC-IKKR-/view?usp=drive_link</t>
  </si>
  <si>
    <t>Kab. Mamberamo Raya</t>
  </si>
  <si>
    <t>Provinsi Papua Selatan</t>
  </si>
  <si>
    <t>Kab. Boven Digoel</t>
  </si>
  <si>
    <t>Kab. Mappi</t>
  </si>
  <si>
    <t>Kab. Asmat</t>
  </si>
  <si>
    <t>Provinsi Papua Tengah</t>
  </si>
  <si>
    <t>Kab. Paniai</t>
  </si>
  <si>
    <t>Kab. Mimika</t>
  </si>
  <si>
    <t xml:space="preserve">sudah </t>
  </si>
  <si>
    <t>Kab. Dogiyai</t>
  </si>
  <si>
    <t>Kab. Intan Jaya</t>
  </si>
  <si>
    <t>Setelah dilakukan koordinasi terakhir bahwa data-data yang diberikan tersebut masih berupa data usulan baru dan belum ada pembangunan yang dilaksanakan</t>
  </si>
  <si>
    <t>Kab. Deiyai</t>
  </si>
  <si>
    <t>Kab. Puncak</t>
  </si>
  <si>
    <t>Kab. Puncak Jaya</t>
  </si>
  <si>
    <t>214. KAB. Puncak Jaya</t>
  </si>
  <si>
    <t>Provinsi Papua Pegunungan</t>
  </si>
  <si>
    <t>Kab. Pegunungan Bintang</t>
  </si>
  <si>
    <t>Kab. Yahukimo</t>
  </si>
  <si>
    <t>Kab. Tolikara</t>
  </si>
  <si>
    <t>Kab. Mamberamo Tengah</t>
  </si>
  <si>
    <r>
      <rPr>
        <b/>
        <color rgb="FF000000"/>
        <sz val="11.0"/>
      </rPr>
      <t xml:space="preserve">-Laporan yang disampaikan langsung dari Dinas Perumahan  Kaws. Permukiman Kab. Mamberamo Tengah saat Rakor di Papua L Tanggal 24 Juli 2025 yaitu :  Laporan Pembangunan Baru Sumber Dana OTSUS  TA.2025
</t>
    </r>
    <r>
      <rPr>
        <b/>
        <color rgb="FF1155CC"/>
        <sz val="11.0"/>
        <u/>
      </rPr>
      <t>https://drive.google.com/drive/folders/1caGqPUPeEm9gTyDdnusn1lNyGMLfS8bg?usp=drive_link</t>
    </r>
  </si>
  <si>
    <t>Kab. Yalimo</t>
  </si>
  <si>
    <r>
      <rPr>
        <b/>
        <color rgb="FF000000"/>
        <sz val="11.0"/>
      </rPr>
      <t xml:space="preserve">-Laporan yang disampaikan langsung dari Dinas Perumahan  Kaws. Permukiman Kab. Yalimo saat Rakor di Papua L Tanggal 24 Juli 2025 yaitu :  Laporan Pembangunan Baru Sumber Dana OTSUS TA.2025 </t>
    </r>
    <r>
      <rPr>
        <b/>
        <color rgb="FF1155CC"/>
        <sz val="11.0"/>
        <u/>
      </rPr>
      <t>https://drive.google.com/drive/folders/1R9L0nOvrmpjuDJHQUx_4s8lpFsZUkbRU?usp=sharing</t>
    </r>
  </si>
  <si>
    <t>Kab. Nduga</t>
  </si>
  <si>
    <t>Kab. Lanny Jaya</t>
  </si>
  <si>
    <t>target penanganan bantuan pembangunan baru untuk 89 unit rumah pasca konflik, APBD menganggarkan bantuan Pembangunan Baru 15 unit rumah sebesar Rp. 7M, 1 unit rumah dengan besaran bantuan Rp. 500.000.000,- di kontraktualkan</t>
  </si>
  <si>
    <t>TOTAL</t>
  </si>
  <si>
    <t>**KONTROL JANGAN DIGANGGU</t>
  </si>
  <si>
    <t>%</t>
  </si>
  <si>
    <t>Nama Kegiatan</t>
  </si>
  <si>
    <t>Penanggung Jawab</t>
  </si>
  <si>
    <t>Target</t>
  </si>
  <si>
    <t>Capaian Unit minggu sebelumnya</t>
  </si>
  <si>
    <t>Capaian Minggu Ini</t>
  </si>
  <si>
    <t>Total Capaian</t>
  </si>
  <si>
    <t>% CAPAIAN UNIT TERHADAP MINGGU SEBELUMNYA</t>
  </si>
  <si>
    <t>% CAPAIAN UNIT TERHADAP TARGET</t>
  </si>
  <si>
    <t>PERANGKINGAN</t>
  </si>
  <si>
    <t>TOTAL CAPAIAN</t>
  </si>
  <si>
    <t>Persen Capaian terhadap Target</t>
  </si>
  <si>
    <t>Negara</t>
  </si>
  <si>
    <t>APBN PKP</t>
  </si>
  <si>
    <t>PAK INDRA</t>
  </si>
  <si>
    <t xml:space="preserve">K/L Lainnya </t>
  </si>
  <si>
    <t>BU DINA</t>
  </si>
  <si>
    <t>PAK BRAM</t>
  </si>
  <si>
    <t>PAK HEBY</t>
  </si>
  <si>
    <t>Sederhana Non FLPP</t>
  </si>
  <si>
    <t>BU WINDA</t>
  </si>
  <si>
    <t>Menegah Mewah</t>
  </si>
  <si>
    <t>PAK WIDI</t>
  </si>
  <si>
    <t>PLT BU CHANDRA</t>
  </si>
  <si>
    <t>CSR/Gotong Royong</t>
  </si>
  <si>
    <t>PAK WISIK</t>
  </si>
  <si>
    <t>NGO</t>
  </si>
  <si>
    <t>PAK TAMBAT</t>
  </si>
  <si>
    <t>Renovasi(unit)</t>
  </si>
  <si>
    <t>Semua Stakeholder</t>
  </si>
  <si>
    <t>BU ANE</t>
  </si>
  <si>
    <t>BU HANDINI</t>
  </si>
  <si>
    <t>Kemensos</t>
  </si>
  <si>
    <t>PAK YUNUS</t>
  </si>
  <si>
    <t>PAK HARDI</t>
  </si>
  <si>
    <t>BU ELIZABETH</t>
  </si>
  <si>
    <t>BU VERLI</t>
  </si>
  <si>
    <t>BU CHANDRA</t>
  </si>
  <si>
    <t>BU RINI</t>
  </si>
  <si>
    <t>BU RATNA</t>
  </si>
  <si>
    <t>TARGET DITJEN PERUMAHAN PERDESAAN</t>
  </si>
  <si>
    <t>PAK YOKE</t>
  </si>
  <si>
    <t>PAK NINO</t>
  </si>
  <si>
    <t>Pengembang (FLPP+ GWM BI+ Mikro Milenial)</t>
  </si>
  <si>
    <t>PAK LILIK</t>
  </si>
  <si>
    <t>Investasi Luar Negeri (Qatar)</t>
  </si>
  <si>
    <t>PAK BASTIN</t>
  </si>
  <si>
    <t>CSR/Gotong Royong (Upaya Eksternal)</t>
  </si>
  <si>
    <t>CSR/ Gotong Royong (CSR external)</t>
  </si>
  <si>
    <t>TOTAL TARGET Upaya External</t>
  </si>
  <si>
    <t>PAK FITRON</t>
  </si>
  <si>
    <t>JUMLAH TOTAL (Ditjen Perumahan Perdesaan+ Upaya Eksternal)</t>
  </si>
  <si>
    <t>PAK PULUNG</t>
  </si>
  <si>
    <t>PAK JULIAN</t>
  </si>
  <si>
    <t>PROGRAM KUALITATF</t>
  </si>
  <si>
    <t>TARGET</t>
  </si>
  <si>
    <t>REALISASI</t>
  </si>
  <si>
    <t>PERSENTASE REALISASI</t>
  </si>
  <si>
    <t>KETERANGAN CAPAIAN</t>
  </si>
  <si>
    <t>Penyediaan katalog prototype perumahan perdesaan dan pendampinganteknis perumahan perdesaan</t>
  </si>
  <si>
    <t>34 Jenis Prototype</t>
  </si>
  <si>
    <t>1.Telah rampung seluruh pengembangan desain pada 34 provinsi di Indonesia, tim Bangdes saat ini melaksanakan rapat pembahasan dengan Pemda (Dinas PKP, Dinas Kebudayaan dan Pariwisata, Dinas Pemberdayaan dan Desa) serta mengundang narsum/penanggap yakni akademisi/praktisi untuk menghimpun masukan terkait penyempurnaan. Draft katalog desain prototipe RLH di Kawasan Perdesaan telah dikirimkan bersurat ke Dirjen dan Menteri (belum ada update dari TU)
2. Prototipe yang telah ditetapkan dalam SK Dirjen akan dipublikasi melalui website dan secara paralel disosialisasikan kepada seluruh Pemda: status: Telah dikoordinasikan TA untuk penyusunan website, yang saat ini diarahkan oleh Dir. Pembangunan untuk direviu permohonan TA nya ke Itjen.</t>
  </si>
  <si>
    <t>Bimbingan teknis pendamping perumahan dan penyediaan lahan untuk BP3KP,Dinas Perkim, PU,dan dinas perizinan kabupaten dalam delineasi perdesaan</t>
  </si>
  <si>
    <t>6 Kali dan 500 Ha lahan
 teridentifikasi di 221 kabupaten</t>
  </si>
  <si>
    <t>3Kali, 153,24 ha</t>
  </si>
  <si>
    <t>Sosiailisasi kebijakan dan pembiayaan pembangunan perumahan ke pemda, pengembang perumahan, dan dunia usaha</t>
  </si>
  <si>
    <t>12 Kali</t>
  </si>
  <si>
    <t>14 Kali</t>
  </si>
  <si>
    <t>1.Tanggal 10 Maret 2025 Ditjen Perumdes melaksanakan asistensi Pemda terkait penerbitan Perkada PBG dan BPHTB bersama dengan Ditjen Keuda Kemendagri:
 2.Tanggal 17 Maret 2025 Ditjen Perumdes mewakili Menteri PKPsebagai Narasumber dalam Raker Penyelanggaraan Pemda diKemendagri; 3.Tanggal 10 April2025 Ditjen Perumdes mensosialisasikan percepatan pembentukan Perkada PBG dan BPHTB bersama dengan Ditjen Otonomi Daerah Kemendagri dalam kegiatan Rakor Pemda;
 4.Telah dilaksanakan rapat koordinasi teknis perumahan perdesaan dengan mengundang Gubernur, Bupati dan Kepala Dinas Perumahan Permukiman lingkup Delineasi Perdesaan (30 Gubernur,dan 221 Bupati dan 221 Kepala Dinas Perumahan Perdesaan) pada tanggal 29 April 2025;
 5.Tanggal 2 Juni 2025 Ditjen Perumdes PKP dan Ditjen Bangda Kemendagri mengirimkan Surat Edaran Percepatan Penerbitan Perkada PBG dan BPHTB.
6. Tanggal 12 juni 2025 Dit SS Perumdes sosialisasi Kebijakan Pendataan Perumahan Perdesaan pada 8 Kabupaten di Sumatera Utara
7. Tanggal 11-13 Juni 2025 Dit. Pembiayaan melakukan sosialisasi Kebijakan Pendataan Perumahan Perdesaan Ke Provinsi Kalimantan Barat
8. Tanggal 11-13 Juni 2025 Dit. Pembangunan melakukan sosialisasi Kebijakan Pendataan Perumahan Perdesaan ke Provinsi Jawa Barat
9. Tanggal 10-12 Juni 2025 Dit. Peningkatan Kualitas sosialisasi Kebijakan Pendataan Perumahan Perdesaan ke Provinsi Aceh
10. Tanggal 11-13 Juni 2025 Dit. Penyediaan Lahan sosialisasi Kebijakan Pendataan Perumahan Perdesaan ke Provinsi Lampung
11. Tanggal 11-13 Juni 2025 Dit. Penyediaan Pembangunan sosialisasi Kebijakan Pendataan Perumahan Perdesaan ke Provinsi Jambi
12. Tanggal 17-18 Juni 2025 Dit. Pembangunan sosialisasi Kebijakan Pendataan Perumahan Perdesaan ke Provinsi TanggSulawesi Selatan dan Sulawesi Tengah
13. Tanggal 18-20 Juni 2025 Dit. Peningkatan Kualitas sosialisasi Kebijakan Pendataan Perumahan Perdesaan ke Provinsi Jawa Tengah dan Jawa Timur
14. Tanggal 19 Juni 2025 Dit. SS sosialisasi Kebijakan Pendataan Perumahan Perdesaan ke Provinsi Sumatera Selatan</t>
  </si>
  <si>
    <t>Monitoring dan evaluasi pelaksanaan implementasi PBG dan BPHTB gratis</t>
  </si>
  <si>
    <t>9 Kali</t>
  </si>
  <si>
    <t>1. Tanggal 10 Maret 2025 Ditjen Perumdes melaksanakan asistensi Pemda terkait penerbitan Perkada PBG dan BPHTB bersama dengan Ditjen
 Keuda Kemendagri;
 2. Tanggal 17 Maret 2025 Ditjen Perumdes mewakili Menteri PKP sebagai Narasumber dalam Raker Penyelanggaraan Pemda diKemendagri; Tanggal 10 April 2025 Ditjen Perumahan Perdesaan  mensosialisasikan percepatan Perkada PBG dan BPHTB bersama dengan Ditjen Otonomi Daerah Kemendagri dalam kegiatan Rakor Pemda;
 3. Tanggal 29 April2025 Ditjen Perumdes mengadakan Rakortek bersama dengan para Stakeholder, dengan capaian hasil:
 4. Tanggal 2 Juni2025 Ditjen Perumdes PKP dan Ditjen Bangda Kemendagri mengirimkan Surat Edaran Percepatan Penerbitan Perkada PBG dan BPHTB
 a.Telah Ditetapkan 499 Perkada tentang Pembebasan BPHTB, dan masih terdapat sebanyak 10 Kab/Kota yang belum menetapkan Perkadanya
 b.Telah Ditetapkan 490 Perkada tentang Pembebasan PBG, dan masih terdapat sebanyak 10 Kab/Kota yang belum menetapkan Perkadanya.
5. Tanggal 12 juni 2025 Dit SS Perumdes sosialisasi Kebijakan SKB 3 Menteri pada 8 Kabupaten di Sumatera Utara
6. Tanggal 11-13 Juni 2025 Dit. Pembiayaan melakukan sosialisasi Kebijakan SKB 3 Menteri Ke Provinsi Kalimantan Barat
7. Tanggal 11-13 Juni 2025 Dit. Pembangunan melakukan sosialisasi Kebijakan SKB 3 Menteri ke Provinsi Jawa Barat
8. Tanggal 10-12 Juni 2025 Dit. Peningkatan Kualitas melakukan sosialisasi SKB 3 Menteri ke Provinsi Aceh
10. Tanggal 11-13 Juni 2025 Dit. Penyediaan Lahan sosialisasi SKB 3 Menteri ke Provinsi Lampung
11. Tanggal 11-13 Juni 2025 Dit. Penyediaan Pembangunan sosialisasi SKB 3 Menteri ke Provinsi Jambi
12.  Tanggal 17-18 Juni 2025 Dit. Pembangunan sosialisasi Kebijakan Pendataan Perumahan Perdesaan ke Provinsi Sulawesi Selatan dan Sulawesi Tengah
13. Tanggal 18-20 Juni 2025 Dit. Peningkatan Kualitas sosialisasi Kebijakan Pendataan Perumahan Perdesaan ke Provinsi Jawa Tengah dan Jawa Timur
14. Tanggal 19 Juni 2025 Dit. SS sosialisasi Kebijakan Pendataan Perumahan Perdesaan ke Provinsi Sumatera Selatan</t>
  </si>
  <si>
    <t>Fasitasi sertifikasi profesi arsitek, klinik arsitek gratis berbasis website, dan layanan informasi Ditjen Perumahan Perdesaan</t>
  </si>
  <si>
    <t>4 Orang, 1 Website, 3 akun Medsos, dan 10.000 Konsumen</t>
  </si>
  <si>
    <t>1 Draft Website</t>
  </si>
  <si>
    <t>Telah diselesaikan draf website sebagai pendukung klinik arsitek gratis bagi masyarakat.</t>
  </si>
  <si>
    <t>Pembahasan dan pengusulan Rellisi UU 23/2014 tentang pemerintahan daerah dan penyusunan pedum APBD dan Juknis RKPD</t>
  </si>
  <si>
    <t>3 Kali dan 2 Dokumen</t>
  </si>
  <si>
    <t>1 Kali, 1 Dokumen</t>
  </si>
  <si>
    <t>Pada tanggal 16 april 2025 telah dilakukan pembahasan terkait dengan Perubahan UU Nomor 23/2014 tentang Pemerintah Daerah Lintas KL dengan Kesimpulan Perubahannya meliputi Substansi Evaluasi Pelaksanaan Desentralisasi dan Otonomi Daerah, dan telah disampaikan dokumen usulan perubahan kepada Setjen PKP dengan tembusan Kemendagri.</t>
  </si>
  <si>
    <t>Penyusunan MoU dan PKS dengan stakholder terkait dalam
 rangka pembangunan perumahan di perdesaan</t>
  </si>
  <si>
    <t>10 Dokumen</t>
  </si>
  <si>
    <t>10 Draf Dokumen</t>
  </si>
  <si>
    <t>1.Telah Terbit MoU dan BAST bersama dengan BPS terkait dengan Guna Pakai DTSEN
 2.Draft konsep MoU dan PKS bersama dengan BP2M
 3. Draft konsep MoU dan PKS bersama dengan Kementan 4.Draft konsep MoU dan PKS bersama dengan Kemen LH 5.Draft konsep MoU dan PKS bersama dengan Kemensos
 6. Draft konsep MoU dan PKS bersama dengan Kemendes 7.Draft konsep MoU dan PKS bersama dengan KemenkoPM 8.Draft konsep MoU dan PKS bersama dengan Kemendukbangga
 9.Draft Konsep MoU dan PKS bersama dengan Habitat for Humanity PKS 10.Draft Konsep MoU dan PKS bersama dengan Baznas PKS</t>
  </si>
  <si>
    <t>Capaian Unit (26/6/2025)</t>
  </si>
  <si>
    <t>Capaian Unit (4-7-2025)</t>
  </si>
  <si>
    <t>FLPP 71.251</t>
  </si>
  <si>
    <t>Minggu ke-5 Juli (28-01 Agustus 2025)</t>
  </si>
  <si>
    <t>status: 8 Agustus 2025</t>
  </si>
  <si>
    <t>FLPP+PB</t>
  </si>
  <si>
    <t>PB</t>
  </si>
  <si>
    <t>PK</t>
  </si>
  <si>
    <t>28/08/25</t>
  </si>
  <si>
    <t>-4/-9/25</t>
  </si>
  <si>
    <t>18/9</t>
  </si>
  <si>
    <t>26/9</t>
  </si>
  <si>
    <t>16/10</t>
  </si>
  <si>
    <t>23/10</t>
  </si>
  <si>
    <t>30/10</t>
  </si>
  <si>
    <t>13/11</t>
  </si>
  <si>
    <t>20/11</t>
  </si>
  <si>
    <t>27/11</t>
  </si>
  <si>
    <t>DETAIL KPI</t>
  </si>
  <si>
    <t>JENIS PROGRAM DAN SUMBER DANA</t>
  </si>
  <si>
    <t>CAPAIAN UNIT  25-7-2025</t>
  </si>
  <si>
    <t>CAPAIAN UNIT 1-8-2025</t>
  </si>
  <si>
    <t>PERSENTASE TERHADAP TARGET</t>
  </si>
  <si>
    <t>CAPAIAN</t>
  </si>
  <si>
    <t>PEMBANGUNAN BARU</t>
  </si>
  <si>
    <t>NEGARA</t>
  </si>
  <si>
    <t>ANGGARAN PKP</t>
  </si>
  <si>
    <t>FLPP</t>
  </si>
  <si>
    <t>1. Kab. Lumajang : 9 unit Sumber : DAK PPTK
2. Kab. Madiun : 22 Unit , Sumber : Dinas Perkim Kab. Madiun
3. Kab. Enrekang: 36 unit Sumber : BNPB</t>
  </si>
  <si>
    <t>PROV</t>
  </si>
  <si>
    <t>KABUPATEN</t>
  </si>
  <si>
    <t>DESA</t>
  </si>
  <si>
    <t>1. Kab. Lamongan : 1 unit
2. Kab.Kapuas : 2 unit
3. Kab. Barito Selatan : 9 unit
4. Kab. Tapin : 3 unit
5. Kab. Balangan : 2 unit
6. Kab. Tana Tidung : 59 unit</t>
  </si>
  <si>
    <t>DESA(APBDESA)</t>
  </si>
  <si>
    <t>PENGEMBANG</t>
  </si>
  <si>
    <t>SEDERHANA (SETIPE FLPP)</t>
  </si>
  <si>
    <t>SEDERHANA NON FLPP</t>
  </si>
  <si>
    <t>MENEGAH MEWAH</t>
  </si>
  <si>
    <t>LEMBAGA LAIN</t>
  </si>
  <si>
    <t>CSR+CSR UPAYA EXTERNAL</t>
  </si>
  <si>
    <t>LSM</t>
  </si>
  <si>
    <t>SWADAYA MASYARAKAT</t>
  </si>
  <si>
    <t>INVESTASI LUAR NEGERI</t>
  </si>
  <si>
    <t>RENOVASI/ PENINGKATAN KUALITAS</t>
  </si>
  <si>
    <t>RENOVASI/PENINGKATAN KUALITAS</t>
  </si>
  <si>
    <t>ANGGARAN PKP(BSPS)</t>
  </si>
  <si>
    <t>ANGGARAN KEMENSOS</t>
  </si>
  <si>
    <t>K/L LAINNYA</t>
  </si>
  <si>
    <t>1. Kab. Tegal: 20 unit, Sumber : Dana Desa Kemendes
2. Kab. Trenggalek : 25 Unit , Sumber : Insentif Fiskal (Kemenkeu)
3. Kab. Lumajang : 79 unit, Sumber : DAK PPTK
4. Kab. Madiun : 35 unit , Sumber : Dinas Perkim Kab. Madiun
5. KAb. Enrekang; 5 unit , Sumber: BNPB
6. Kab. Kepahiang; 425 Unit, Sumber : DAK Kementerian PU</t>
  </si>
  <si>
    <t>APBD PROV</t>
  </si>
  <si>
    <t>APBD KABUPATEN</t>
  </si>
  <si>
    <t>TOTAL TARGET</t>
  </si>
  <si>
    <t>TOTAL PEMBANGUNAN BARU</t>
  </si>
  <si>
    <t>TOTAL RENOVASI / PENINGKATAN KUALITAS</t>
  </si>
  <si>
    <t>CAPAIAN UNIT  20/06/2025)</t>
  </si>
  <si>
    <t>CAPAIAN UNIT  (26/06/2025)</t>
  </si>
  <si>
    <t>CAPAIAN UNIT  (4/7/2025)</t>
  </si>
  <si>
    <t>SEDERHANAN (SETIPE FLPP)</t>
  </si>
  <si>
    <t>1.518.200</t>
  </si>
  <si>
    <t>CAPAIAN UNIT  (27/06/2025)</t>
  </si>
  <si>
    <t xml:space="preserve">1. Kab. Tegal: 20 unit, Sumber : Dana Desa Kemendes
2. Kab. Trenggalek : 25 Unit , Sumber : Insentif Fiskal (Kemenkeu)
3. Kab. Lumajang : 79 unit, Sumber : DAK PPTK
4. Kab. Madiun : 35 unit , Sumber : Dinas Perkim Kab. Madiun
5. KAb. Enrekang; 5 unit , Sumber: BNPB
</t>
  </si>
  <si>
    <t>CAPAIAN UNIT  11-7-2025</t>
  </si>
  <si>
    <t>CAPAIAN UNIT  16-7-2025</t>
  </si>
  <si>
    <t>CAPAIAN UNIT  18-7-2025</t>
  </si>
  <si>
    <t>28-01 AGUSTUS</t>
  </si>
  <si>
    <t>04-08 Agustus</t>
  </si>
  <si>
    <t>CAPAIAN UNIT  1-8-2025</t>
  </si>
  <si>
    <t>CAPAIAN UNIT 8-8-2025</t>
  </si>
  <si>
    <t>15 Agustus</t>
  </si>
  <si>
    <t>CAPAIAN UNIT  11-8-2025</t>
  </si>
  <si>
    <t>CAPAIAN UNIT 15-8-2025</t>
  </si>
  <si>
    <t>TARGET KPI PERDESAAN</t>
  </si>
  <si>
    <t>Jenis Program dan Sumber Dana</t>
  </si>
  <si>
    <t>Peningkatan Kualitas</t>
  </si>
  <si>
    <t>Target 2025</t>
  </si>
  <si>
    <t>Realisasi</t>
  </si>
  <si>
    <t>Persentase Realisasi</t>
  </si>
  <si>
    <t>A.</t>
  </si>
  <si>
    <t>1.</t>
  </si>
  <si>
    <t>Anggaran PKP</t>
  </si>
  <si>
    <t>2.</t>
  </si>
  <si>
    <t>B.</t>
  </si>
  <si>
    <t>Kabupaten/Kota</t>
  </si>
  <si>
    <t>C.</t>
  </si>
  <si>
    <t>APBDes</t>
  </si>
  <si>
    <t>D.</t>
  </si>
  <si>
    <t>Swadaya</t>
  </si>
  <si>
    <t>E.</t>
  </si>
  <si>
    <t>Pihak Eksternal</t>
  </si>
  <si>
    <t>Perusahaan/Dunia Usaha</t>
  </si>
  <si>
    <t>CSR INPUT MANUAL</t>
  </si>
  <si>
    <t>NGO/LSM</t>
  </si>
  <si>
    <t>3.</t>
  </si>
  <si>
    <t>Pribadi</t>
  </si>
  <si>
    <t>F.</t>
  </si>
  <si>
    <t>Pengembang</t>
  </si>
  <si>
    <t>Non-FLPP</t>
  </si>
  <si>
    <t>Mewah</t>
  </si>
  <si>
    <t>Menengah(Investasi)</t>
  </si>
  <si>
    <t>Sederhana</t>
  </si>
  <si>
    <t>Total</t>
  </si>
  <si>
    <t>Grand Total Target</t>
  </si>
  <si>
    <t>Grand Total Realisasi</t>
  </si>
  <si>
    <t>Grand Total Persentase Realisasi</t>
  </si>
  <si>
    <t>TARGET KPI PERDESAAN PER PROVINSI</t>
  </si>
  <si>
    <t>Persentase Realisasi Terhadap Target Keseluruhan</t>
  </si>
  <si>
    <t>Aceh</t>
  </si>
  <si>
    <t>Sumatera Utara</t>
  </si>
  <si>
    <t>Sumatera Barat</t>
  </si>
  <si>
    <t>Riau</t>
  </si>
  <si>
    <t>Jambi</t>
  </si>
  <si>
    <t>Sumatera Selatan</t>
  </si>
  <si>
    <t>Bengkulu</t>
  </si>
  <si>
    <t>Lampung</t>
  </si>
  <si>
    <t>Jawa Barat</t>
  </si>
  <si>
    <t>DI Yogyakarta</t>
  </si>
  <si>
    <t>Jawa Timur</t>
  </si>
  <si>
    <t>Banten</t>
  </si>
  <si>
    <t>Bali</t>
  </si>
  <si>
    <t>Kalimantan Barat</t>
  </si>
  <si>
    <t>Kalimantan Tengah</t>
  </si>
  <si>
    <t>Kalimantan Selatan</t>
  </si>
  <si>
    <t>Kalimantan Timur</t>
  </si>
  <si>
    <t>Kalimantan Utara</t>
  </si>
  <si>
    <t>Sulawesi Tengah</t>
  </si>
  <si>
    <t>Sulawesi Selatan</t>
  </si>
  <si>
    <t>Sulawesi Tenggara</t>
  </si>
  <si>
    <t>Gorontalo</t>
  </si>
  <si>
    <t>Sulawesi Barat</t>
  </si>
  <si>
    <t>Papua Barat</t>
  </si>
  <si>
    <t>Papua Barat Daya</t>
  </si>
  <si>
    <t>Papua</t>
  </si>
  <si>
    <t>Papua Selatan</t>
  </si>
  <si>
    <t>Papua Tengah</t>
  </si>
  <si>
    <t>Papua Pegunungan</t>
  </si>
  <si>
    <t>PROVINSI</t>
  </si>
  <si>
    <t>KAB/ KOTA</t>
  </si>
  <si>
    <t>PENANGGUNGJAWAB</t>
  </si>
  <si>
    <t>PIC</t>
  </si>
  <si>
    <t>Renovasi / Peningkattan Kualitas</t>
  </si>
  <si>
    <t>Pembangunan Baru - Upaya Eksternal</t>
  </si>
  <si>
    <t>Gotong Royong</t>
  </si>
  <si>
    <t>Pengembang ( FLPP, DUKUNGAN BI</t>
  </si>
  <si>
    <t>Gotong Royong ( CSR EKSTERNAL )</t>
  </si>
  <si>
    <t>Anggaran Non PKP</t>
  </si>
  <si>
    <t>Menengah Mewah</t>
  </si>
  <si>
    <t>Swadaya Maysarakat</t>
  </si>
  <si>
    <t>Swadaya Masyarakat</t>
  </si>
  <si>
    <t>Upaya Kualitatif</t>
  </si>
  <si>
    <t>Pelonggaran GWM BI</t>
  </si>
  <si>
    <t>Tambahan MIKRO/MILENIAL</t>
  </si>
  <si>
    <t>Rumah susun</t>
  </si>
  <si>
    <t>Rumah Khusus</t>
  </si>
  <si>
    <t>BSPS</t>
  </si>
  <si>
    <t>RTLH Kemensos</t>
  </si>
  <si>
    <t>Yoke Radius Akbar, S.T,M.Si</t>
  </si>
  <si>
    <t>Heru Santoso S.E., M.S.E., M.Ec.</t>
  </si>
  <si>
    <t>Fasilitas Sertifikasi Profesi Arsitek, Klini Arsitek Gratis Berbasis Website, dan layanan informasi Ditjen Perdesaan</t>
  </si>
  <si>
    <t>Penyediaan Katalog Prototipe Perumahan Perdesaan dan Pedampingan Teknis Perumahan Perdesaan</t>
  </si>
  <si>
    <t>Bimbingan Teknis Pendampingan Perumahan Dan Penyediaan Lahan Untuk BPK3KP, Dinas Perkim, PU, Dan Dinas Perizinan Kabupaten dalam Delinesi Perdesaan</t>
  </si>
  <si>
    <t>Sosialisasi Kebijakan dan Pembiayaan Pembangunan Perumahan ke Pemda, Pengembangan Perumahan dan Dunia Usaha</t>
  </si>
  <si>
    <t>Monitoring Pelaksanaan Implementasi PBG dan BPHTB Gratis</t>
  </si>
  <si>
    <t>Pembahasan Dan Pengusulan Revisi UU 23/2014 Tentang Pemerintahan Daerah, Penyusunan Pedum APBD Dan Juknis RKPD</t>
  </si>
  <si>
    <t>Penyusunan MOU dan PKS dengan Stakeholder Terkait Dalam Rangka Pembangunan Perumahan di Perdesaan</t>
  </si>
  <si>
    <t>Mai Boy Gusrial, S.T.,M.T</t>
  </si>
  <si>
    <t>Septi Kurnia Hayati Romah, S.T</t>
  </si>
  <si>
    <t>Widodo, S.T.</t>
  </si>
  <si>
    <t>Anugerah Cipta Pramudia, S.T.</t>
  </si>
  <si>
    <t>Hendra Rumara, S.E</t>
  </si>
  <si>
    <t>Bastin Yungga Angguniko, S.T.,M.M</t>
  </si>
  <si>
    <t>Linda Haryanti, S.T.,M.Si</t>
  </si>
  <si>
    <t>Rizaldi Andi Atjo, S.T.,M.T</t>
  </si>
  <si>
    <t>Trias Puspita Anggarsari, S.T.</t>
  </si>
  <si>
    <t>Tiffany Elshandy, S.T.</t>
  </si>
  <si>
    <t>Diva Anidya Rahmawati Pratiwi S.Ars</t>
  </si>
  <si>
    <t>Purdyah Ayu Kharisma Putri, S.T</t>
  </si>
  <si>
    <t>Wildan Aldy Januar Putra Pratama, S.T</t>
  </si>
  <si>
    <t>Ir. Tambat Yulis, M.M</t>
  </si>
  <si>
    <t>Iwan Kusuma Setiawan, S.T.</t>
  </si>
  <si>
    <t>Lita Dinati, S.Ars</t>
  </si>
  <si>
    <t>Winona Sheila Firdausya, S.Ars</t>
  </si>
  <si>
    <t>Elfa Dwi Putra Cassana</t>
  </si>
  <si>
    <t>Mutia Wahyuningsih, S.E</t>
  </si>
  <si>
    <t>Wisik Satrio Pratomo S.T.,M.T</t>
  </si>
  <si>
    <t>Resya Wulanningsih, S.T., M.Ars.</t>
  </si>
  <si>
    <t>Danny Setyaelvina Meyshita S.Ars</t>
  </si>
  <si>
    <t>Ariq Amrizal Haqy, S.T ( PIC Masih Bertugas Di IKN )</t>
  </si>
  <si>
    <t>Intan Fitya, S.T.</t>
  </si>
  <si>
    <t>Gita Prandita Sari, S.P.W.K</t>
  </si>
  <si>
    <t>Robi Binur, A.Md.</t>
  </si>
  <si>
    <t>Andrian Irwansyah, SE, M.Si</t>
  </si>
  <si>
    <t>Pulung Tumangger, S.STP.,M.Tr.IP</t>
  </si>
  <si>
    <t>Devina, S.T</t>
  </si>
  <si>
    <t>Robby Wibioso Permana Putra ( Masih Bertugas Di IKN )</t>
  </si>
  <si>
    <t>Satria Yudhatama Wisnuadji, S.T</t>
  </si>
  <si>
    <t>Rusdi Yulianto, S.T</t>
  </si>
  <si>
    <t>Deddi Setyawan, S.E</t>
  </si>
  <si>
    <t>Lilik Listyanto Adiarso, S.T.,M.T.</t>
  </si>
  <si>
    <t>Mariani, S.,T.,M.T</t>
  </si>
  <si>
    <t>Rustomo S, ST.</t>
  </si>
  <si>
    <t>Hasrizal Hb, S.T., M.T</t>
  </si>
  <si>
    <t>Purwadi Ari Minanto S.T., M.Ars</t>
  </si>
  <si>
    <t>Haifa Nisa Damarani, S.Ars</t>
  </si>
  <si>
    <t>Hardi Prasetia Risman, S.H.M.H</t>
  </si>
  <si>
    <t>Oki Riyartono, S.T</t>
  </si>
  <si>
    <t>Syahid Muhammad Ridha S.Ars</t>
  </si>
  <si>
    <t>Popy Afriyanti S.T., M.P.W.K</t>
  </si>
  <si>
    <t>Ferry Mursyidan Mansyur, S.T</t>
  </si>
  <si>
    <t>Nisurali Intaro Gan-Go Tarigan, S.Kom</t>
  </si>
  <si>
    <t>Nino Heri Setyoadi, S.Sos.,M.Sc</t>
  </si>
  <si>
    <t>Nursal S.T., M.T.</t>
  </si>
  <si>
    <t>Sumarno AMD, ST</t>
  </si>
  <si>
    <t>Muchammad Nur Ikhsan, S.Ars</t>
  </si>
  <si>
    <t>Ega Abdi Satrio, S.Ars</t>
  </si>
  <si>
    <t>Bramantyo, S.T.,M.P.W.K.</t>
  </si>
  <si>
    <t>Dhea Adhi Noor, S.T.</t>
  </si>
  <si>
    <t>Erlina Romdloni, S.Ars</t>
  </si>
  <si>
    <t>Umrah Umar Mucitra, S.T.</t>
  </si>
  <si>
    <t>Prayudi Anggia, S.E.</t>
  </si>
  <si>
    <t>Dina Nuzulia, ST., M.Eng</t>
  </si>
  <si>
    <t>Nadia Permatasari, S.Ars.</t>
  </si>
  <si>
    <t>Provinsi Jawa Tengah</t>
  </si>
  <si>
    <t>Dinny Dyah Puspita, S.Ars</t>
  </si>
  <si>
    <t>Rahayu Dewi Larasati, S.Ars</t>
  </si>
  <si>
    <t>Bhara Marangga Ramadissa, S.Ars.</t>
  </si>
  <si>
    <t>Hadiwijaya, S.A.B</t>
  </si>
  <si>
    <t>Musa, S.E</t>
  </si>
  <si>
    <t>Elias Wijaya Panggabean, S.T,M.T</t>
  </si>
  <si>
    <t>Desti Ayu Setia Hidayati S.T., M.Ars</t>
  </si>
  <si>
    <t>Wulan Nurindah Sari S.Ars, MURP, M.Eng</t>
  </si>
  <si>
    <t>Diana Carolyne, S.T</t>
  </si>
  <si>
    <t>Dimaz Pradana Putra, S.T</t>
  </si>
  <si>
    <t>Sandhika Adlisia Puspa Harani S.T</t>
  </si>
  <si>
    <t>Romanda Febra Yunita, S.T</t>
  </si>
  <si>
    <t>Handini Lestari, S.E.,M.M</t>
  </si>
  <si>
    <t>Fredlie Simanjuntak S.T., M.Sc</t>
  </si>
  <si>
    <t>Pelangi Fitri S.Ars</t>
  </si>
  <si>
    <t>Yuni Muntafiah, S.T</t>
  </si>
  <si>
    <t>Farizal Rizky Mahardian, S.T.</t>
  </si>
  <si>
    <t>Fourancy Noveria, S.Pd, M.M</t>
  </si>
  <si>
    <t>Chandra Dewi Soewoko ST.,M.T</t>
  </si>
  <si>
    <t>Puspa Yunita MURP, MIDS</t>
  </si>
  <si>
    <r>
      <rPr>
        <rFont val="&quot;Bookman Old Style&quot;, serif"/>
        <color rgb="FF000000"/>
        <sz val="14.0"/>
      </rPr>
      <t xml:space="preserve">Wiscana Astri Prabaswari, </t>
    </r>
    <r>
      <rPr>
        <rFont val="&quot;Bookman Old Style&quot;, serif"/>
        <color rgb="FF1155CC"/>
        <sz val="14.0"/>
        <u/>
      </rPr>
      <t>S.Si</t>
    </r>
    <r>
      <rPr>
        <rFont val="&quot;Bookman Old Style&quot;, serif"/>
        <color rgb="FF000000"/>
        <sz val="14.0"/>
      </rPr>
      <t>. M.Eng., M.URP.</t>
    </r>
  </si>
  <si>
    <t>Sthepanie Febrianti Hidayat, S.T</t>
  </si>
  <si>
    <t>Aisyah Adzkia Yuliwarto S.T</t>
  </si>
  <si>
    <t>Andika Pradana Putra, S.T</t>
  </si>
  <si>
    <t>Fitron Fajrurizkie, S.STP</t>
  </si>
  <si>
    <t>Yusuf Saputra, S.E</t>
  </si>
  <si>
    <t>Metta Dwi Pravitasari, S.E</t>
  </si>
  <si>
    <t>Gasiyah, S.Kom</t>
  </si>
  <si>
    <t>Ratna Wahyu Purbasari, S.T.,M.Si</t>
  </si>
  <si>
    <t>Sendy Prasetya, S.E.</t>
  </si>
  <si>
    <t>Bulan Hasto Tri Nurcahyo, SE</t>
  </si>
  <si>
    <t>Afdry Glenny Ey, A. Md</t>
  </si>
  <si>
    <t>Heby Rakasiwi, S.T.,M.T</t>
  </si>
  <si>
    <t>Zulman Haridan ST, MPWK</t>
  </si>
  <si>
    <t>Ir. Sutji Mintarti, M.T.</t>
  </si>
  <si>
    <t>Puri Rohmawati, S.T</t>
  </si>
  <si>
    <t>Naomi Dian Cahyaningsih, S.Ars</t>
  </si>
  <si>
    <t>Ardiansyah, S.E.</t>
  </si>
  <si>
    <t>Kahfy Darmansyah, A.Md.</t>
  </si>
  <si>
    <t>Indra Nugraha, S.AP.,M.AP</t>
  </si>
  <si>
    <t>Tian Susilowati S.E.</t>
  </si>
  <si>
    <t>Andrea Pratama Yanuar Trikusuma Endismoyo, S.T.</t>
  </si>
  <si>
    <t>Iwan Gunawan</t>
  </si>
  <si>
    <t>Teguh Triyono</t>
  </si>
  <si>
    <t>Nika Syariana, S. Sos</t>
  </si>
  <si>
    <t>Erwin Wahyudinata, S.Kom</t>
  </si>
  <si>
    <t xml:space="preserve">4.480.000.000 
</t>
  </si>
  <si>
    <t>Fabian Yunianto, A.Md</t>
  </si>
  <si>
    <t>Rizka Arum Wulan, S.E</t>
  </si>
  <si>
    <t>Risca Permata Sari, S.E</t>
  </si>
  <si>
    <t>Eli Ariyanti, S.Kom</t>
  </si>
  <si>
    <t>Arry Septiana, S.A.P</t>
  </si>
  <si>
    <t>Widiyanto Nugroho, S.Kom.,S.H.,M.H</t>
  </si>
  <si>
    <t>Istiqomah Dwi Setianingrum, S.H</t>
  </si>
  <si>
    <t>Harry Nugraha</t>
  </si>
  <si>
    <t>Rizqih Zatmiko, S.Ds</t>
  </si>
  <si>
    <t>Rifky Bimantoro A., S.I.Kom</t>
  </si>
  <si>
    <t>Siti Khadijah Kusumawati, SH, M.Kn</t>
  </si>
  <si>
    <t>Rizko Saubari, S.H</t>
  </si>
  <si>
    <t>Muhammad Yunus, S.T</t>
  </si>
  <si>
    <t>Annisa Purnama Dewi, S.Ars</t>
  </si>
  <si>
    <t>Ginanjar Faza Maldhika, S.T</t>
  </si>
  <si>
    <r>
      <rPr>
        <rFont val="&quot;Bookman Old Style&quot;, serif"/>
        <color rgb="FF000000"/>
        <sz val="14.0"/>
      </rPr>
      <t>Amalia Nurul Hidayah, S.Psi.,</t>
    </r>
    <r>
      <rPr>
        <rFont val="&quot;Bookman Old Style&quot;, serif"/>
        <color rgb="FF1155CC"/>
        <sz val="14.0"/>
        <u/>
      </rPr>
      <t>M.Si</t>
    </r>
    <r>
      <rPr>
        <rFont val="&quot;Bookman Old Style&quot;, serif"/>
        <color rgb="FF000000"/>
        <sz val="14.0"/>
      </rPr>
      <t>.</t>
    </r>
  </si>
  <si>
    <t>Riswanto,S.A.P.</t>
  </si>
  <si>
    <t>Indah Putri Hariani, S.E.</t>
  </si>
  <si>
    <t>Priyo Utomo Usmar La Auza, S.Ars</t>
  </si>
  <si>
    <t>Dewi Wulandari, S.T</t>
  </si>
  <si>
    <t>Julian Fernando Nainggolan, S.E,M.B.A</t>
  </si>
  <si>
    <t>Soemin Kase. S.T.,M.Si ( PIC Pindah Ke NTT )</t>
  </si>
  <si>
    <t>Bent Brando, SH</t>
  </si>
  <si>
    <t>Krisna Mega Rizki, S.T</t>
  </si>
  <si>
    <t>Budi Hermawan, S.Kom</t>
  </si>
  <si>
    <t>Faizal Febriyanto, ST</t>
  </si>
  <si>
    <t>Ika Novyaningrum, S.H</t>
  </si>
  <si>
    <t>Winda Cattleya, SIP.M.Si</t>
  </si>
  <si>
    <t>Yusnini Amelia S.Sos</t>
  </si>
  <si>
    <t>Nilam Widuri Prabani, S.T</t>
  </si>
  <si>
    <t>Muhammad Sangaji, S.E</t>
  </si>
  <si>
    <t>Martdiyan Puspita Dewi, S.Sos,M.Si</t>
  </si>
  <si>
    <t>Atik Ernawati, S.Pd</t>
  </si>
  <si>
    <t>Juli Hartini, S.AP</t>
  </si>
  <si>
    <t>Friest Panangian Sianturi, SM</t>
  </si>
  <si>
    <t>Mira Agrelina, S.Kom</t>
  </si>
  <si>
    <t>Asih Dwiningtias, S.E</t>
  </si>
  <si>
    <t>Ahmad Kurtubi</t>
  </si>
  <si>
    <t>Kab. Sidenreg Rappang</t>
  </si>
  <si>
    <t>Verlianti, S.I.A</t>
  </si>
  <si>
    <t>Dahrinal S.E.</t>
  </si>
  <si>
    <t>Adhi Satrio Utomo S., S.Kom</t>
  </si>
  <si>
    <t>Robiansah, S.A.P</t>
  </si>
  <si>
    <t>Ane Sopina Dina Suryani, M.AP</t>
  </si>
  <si>
    <t>Sahri</t>
  </si>
  <si>
    <t>M Febriansyah Dalimunthe, S.Kom</t>
  </si>
  <si>
    <t>Rizki Aryono, S.E</t>
  </si>
  <si>
    <t>Elizabeth L.A Hutapea, S.T.,M.T</t>
  </si>
  <si>
    <t>Amalia Nurul Hidayah, S.Psi, M.Si</t>
  </si>
  <si>
    <t>Riswanto, S.A.P</t>
  </si>
  <si>
    <t>Indah Putri Harlani, S.E</t>
  </si>
  <si>
    <t>Rini Dyah Mawarty,S.T.,M.T</t>
  </si>
  <si>
    <t>Ir. Raden Johny Fajar Sofyan Subrata M.A</t>
  </si>
  <si>
    <t>Kab. Pengunanan Arfak</t>
  </si>
  <si>
    <t>Rino Sinurat, S.T., M.Si.</t>
  </si>
  <si>
    <t>Maria Handayani Setyaningrum, ST, MT.</t>
  </si>
  <si>
    <t>Ahndya Chita Sekar Anggriti Elisabeth, S.T</t>
  </si>
  <si>
    <t>Raden Roro Kiara Daffa Adzanin, S.Ars</t>
  </si>
  <si>
    <t>Adhika Santyabudi, S.Kom</t>
  </si>
  <si>
    <t>Kab. Panilai</t>
  </si>
  <si>
    <t>Soemin Kase. S.T.,M.Si ( PIC Mutasi Ke NTT )</t>
  </si>
  <si>
    <t>PENANGGUNG JAWAB</t>
  </si>
  <si>
    <t>No. Kontak</t>
  </si>
  <si>
    <t>PJ Chat (Tim PE)</t>
  </si>
  <si>
    <t>Pembagian Chat</t>
  </si>
  <si>
    <t>Keterangan</t>
  </si>
  <si>
    <t>UPDATE DATA REKAP</t>
  </si>
  <si>
    <t>14-7</t>
  </si>
  <si>
    <t>17-07</t>
  </si>
  <si>
    <t>24-07</t>
  </si>
  <si>
    <t>Total di rekap</t>
  </si>
  <si>
    <t>Total di bukti</t>
  </si>
  <si>
    <t>Mas Rusdi</t>
  </si>
  <si>
    <t>Zahara</t>
  </si>
  <si>
    <t>Bukti berupa Surat Dinas dan file excel form pendataan, Angka didapat dari Surat Dinas masih berupa perencanaan</t>
  </si>
  <si>
    <t>Update verifikasi pada 15/07/2025  Data PB : 11 unit APBD (Rekap Sesuai Bukti)   Data PK : 48 unit APBD (Rekap Sesuai Bukti) Belum termasuk FLPP</t>
  </si>
  <si>
    <t>Bukti berupa file pdf form pendataan, Angka didapat dari penggabungan data didalam tiap form</t>
  </si>
  <si>
    <t>Update verifikasi pada 15/07/2025  Data PB : 28 unit Swadaya (Tidak Sesuai Bukti)Angka Rekap 12 unit Swadaya   Data PK : 17 unit Swadaya (Rekap Sesuai Bukti) Belum termasuk FLPP</t>
  </si>
  <si>
    <t>Bukti berupa Surat Dinas dan file excel form pendataan, Angka didapat dari Surat Dinas masih berupa perencanaan dan hanya menyebut jumlah pembangunan baru, untuk rehabilitasi RTLH hanya menyebutkan besaran anggaran</t>
  </si>
  <si>
    <t>Update verifikasi pada 15/07/2025  Data PB : 15 unit APBD(Rekap Sesuai Bukti)   Data PK : 36 unit APBD (Rekap Sesuai Bukti) Belum termasuk FLPP Form Pendataan PB PK belum ditandangani</t>
  </si>
  <si>
    <t>Nabila</t>
  </si>
  <si>
    <t>- Belum termasuk FLPP
 - Update bukti pada data PB
 3 Swadaya (tabel rekap: 1)
 43 CSR (tabel rekap: 18)
 5 APBDesa (tabel rekap: 0)
 - Update bukti pada data PK
 34 APBDesa (tabel rekap: 31)
 36 CSR (tabel rekap: 15) 
 - 28 Unit di Desa Dayah Blang tercentang sebagai PB dan PK dengan APBDesa, namun pada nama file tertulis PK
 - Luasan lahan 2400 m2 = 0,24 Ha</t>
  </si>
  <si>
    <t>belum ada</t>
  </si>
  <si>
    <t>Sudah sesuai dengan bukti yang dilampirkan: 33 Unit CSR (belum termasuk FLPP)</t>
  </si>
  <si>
    <t>4 unit masih dalam proses pengajuan pembangunan rumah baru 
 (Belum termasuk FLPP)</t>
  </si>
  <si>
    <t>Update 15 Juli: Surat dukungan pemda untuk PK 40 Unit (Rencana TA 2025)</t>
  </si>
  <si>
    <t>Hans</t>
  </si>
  <si>
    <t>Bukti tambahan berbentuk .xls dan form pendataan berbentuk pdf</t>
  </si>
  <si>
    <t>Form Kp. Bengkelang belum ditanda tangani</t>
  </si>
  <si>
    <t>Menunggu data dari dinas</t>
  </si>
  <si>
    <t>Belum terdapat bukti dukung untuk data dari daerah</t>
  </si>
  <si>
    <t>Surat balasan dari Dinas Kawasan dan Permukiman</t>
  </si>
  <si>
    <t>Sudah sesuai dengan bukti yang dilampirkan</t>
  </si>
  <si>
    <t>Bukti tambahan berupa surat Dukungan Pendataan Perumahan Wilayah Perdesaan dari Bupati Toba dan data FLPP Kab. Toba</t>
  </si>
  <si>
    <t>Data FLPP</t>
  </si>
  <si>
    <t>Data potensi lahan 3 ha</t>
  </si>
  <si>
    <t>Bukti Tambahan Berbentuk .xls</t>
  </si>
  <si>
    <t>Form Desa Bandar Selamat belum ditanda tangani</t>
  </si>
  <si>
    <t>Dapat Surat balasan dari Kab. Dairi</t>
  </si>
  <si>
    <t>Update 17 Juli 2025
 Sedang proses pengumpulan data</t>
  </si>
  <si>
    <t>deli serdang kabidnya menginfokan minggu depan data2</t>
  </si>
  <si>
    <t>Surat Balasan dari Bupati Langkat sudah tersedia dan Form Pendataan RTLH sudah tersedia</t>
  </si>
  <si>
    <t>Data rekap tidak sesuai dengan form 
 - 250 PK APBD
 - 4 PB APBDesa
 - 10 PB swadaya
 - 6 PK Swadaya
 - 6 PK CSR</t>
  </si>
  <si>
    <t>Surat Balasan dari masing-masing desa sudah tersedia termasuk form pendataannya</t>
  </si>
  <si>
    <t>Data rekap tidak sesuai dengan form 
 - 120 PB Swadaya
 - 72 PK Swadaya</t>
  </si>
  <si>
    <t>Dokumen Pendukung di PC Kantor, secepatnya akan di upload karena PIC sedang tidak di kantor</t>
  </si>
  <si>
    <t>Form pendataan belum ditanda tangani</t>
  </si>
  <si>
    <t>beum ada bukti dukung valid</t>
  </si>
  <si>
    <t>Sudah sesuai dengan bukti yang dilampirkan (Belum termasuk FLPP)
 pada bukti rekap Desa Sialang Buah Kec. Teluk Mengkudu, keterangan nama K/L seperti PUPR (6 Unit) dan Perkim (15 Unit), serta Partai (1 Unit) masuk dalam pembiayaan PK swadaya, sekiranya perlu konfirmasi ulang)</t>
  </si>
  <si>
    <t>Update 16 Juli 2025
 Kec. Pegajahan
 - Data pada Desa Bingkat belum tercatat apakah kegiatan termasuk pembangunan baru atau peningkatan kualitas
 - Desa Pegajahan: 11 unit PB APBDesa
 - Desa Pondok Tengah terdapat 2 unit CSR namun tercentang pada dua kegiatan PB dan PK
 Kec. Sei Rampah
 - Desa Simpang Empat: 4 unit PK CSR (BAZNAS)
 - Desa Cempedak Lobang: 1 unit PB CSR Non Kementerian
 - Desa Pergulaan: 3 unit PK swadaya
 - Desa Firdaus: 8 unit PK CSR (BAZNAS)
 - Desa Sei Rampah: 15 unit PB CSR (7 Kemensos, 1 BAZNAS, 7 Perkim Prov 2024)
 - Desa Sei Parit terdapat nama warga tanpa program yg tercatat
 - Desa Pematang Ganjang: 1 unit PB APBDesa, 1 unit PK CSR (yayasan)</t>
  </si>
  <si>
    <t>Bukti dukung berupa file excel dan pdf form pendataan, excel data RTLH, dan surat dukungan dari Dinas Perkim</t>
  </si>
  <si>
    <t>Pemda masih belum kirim data</t>
  </si>
  <si>
    <t>Total ada 179 data
 -95 data FLPP ditarik dari Sikumbang,
 -65 sedang menunggu SK Penerima bantuan (APBD) yang sedang disusun (max akhir Agustus),
 -19 data dari PB dan PK yang sudah ada bukti dukung berupa SK Pemdes</t>
  </si>
  <si>
    <t>Update 17 Juli 2025
 Sedang dalam rembug tahap 2</t>
  </si>
  <si>
    <r>
      <rPr>
        <rFont val="&quot;Bookman Old Style&quot;, serif"/>
        <color rgb="FF1155CC"/>
        <sz val="12.0"/>
        <u/>
      </rPr>
      <t>https://wa.me/6285258839471</t>
    </r>
  </si>
  <si>
    <t>Subdirektorat Keterpaduan, Kemitraan dan Kelembagaan Perumahan Pedesaan SS</t>
  </si>
  <si>
    <t>Data rekap tidak sesuai dengan form</t>
  </si>
  <si>
    <t>Belum terdapat bukti dukung</t>
  </si>
  <si>
    <t>Form pendataan kabupaten berbentuk pdf dan .xls</t>
  </si>
  <si>
    <t>Surat dukungan dari DInas Perkim</t>
  </si>
  <si>
    <t>Belum terdapat bukti dukung PK dan PB dari daerah</t>
  </si>
  <si>
    <t>PIC belum merespon</t>
  </si>
  <si>
    <t>belum melampirkan link bukti dukung</t>
  </si>
  <si>
    <t>belum ada bukti dukung valid</t>
  </si>
  <si>
    <t>Belum terdapat bukti dukung form dari daerah</t>
  </si>
  <si>
    <t>Belum ada validasi form II dan III</t>
  </si>
  <si>
    <r>
      <rPr>
        <rFont val="&quot;Bookman Old Style&quot;, serif"/>
        <color rgb="FF1155CC"/>
        <sz val="12.0"/>
        <u/>
      </rPr>
      <t>https://wa.me/628179123781</t>
    </r>
  </si>
  <si>
    <t>Subdirektorat Wilayah I Bangdes</t>
  </si>
  <si>
    <t>Data dukung belum terupdate pada sheet
 Data PB:
 92 APBN | 70 APBD Prov + 2 APBD Kab | 1 CSR BAZNAS
 Data PK
 12 APBN | 149 APBD Prov + 54 APBD Kab | 1 CSR</t>
  </si>
  <si>
    <t>- Bukti sesuai namun terdapat perbedaan data di rekap halaman 2 dan 3 (gap 1 unit di PB swadaya, 1 di PK Swadaya, 2 di PK CSR)
 - Belum terdapat bukti dokumen surat dukungan dari daerah (namun tercatat pada paparan perkembangan pendataan)
 - Belum termasuk FLPP</t>
  </si>
  <si>
    <t>Baru terdapat surat dukungan dari pemda setempat (masih dalam proses pendataan)</t>
  </si>
  <si>
    <t>- Belum termasuk FLPP
 - Update bukti pada data PB
 16 Swadaya (tabel rekap: 0)
 - Update bukti pada data PK
 2 APBDesa (tabel rekap: 0)
 0 APBD (tabel rekap: 92)
 0 CSR (tabel rekap: 11)
 4 Swadaya (tabel rekap: 0)
 - Data Perumahan Komersil belum diketahui sumber pendanaan</t>
  </si>
  <si>
    <t>- Bukti yang ada masih berupa pendataan rumah komersil
 - Belum terdapat surat dukungan dari daerah</t>
  </si>
  <si>
    <t>Belum terdapat bukti dukung serta surat dukungan</t>
  </si>
  <si>
    <t>- Belum termasuk FLPP
 - Bukti lampiran (Form I) sesuai namun kurang dokumen berupa surat dukungan dari daerah</t>
  </si>
  <si>
    <t>Bukti lampiran (Form I) PK APBD dengan total 80 unit. Pada tabel rekap mingguan terisi 85 unit
 Belum termasuk FLPP</t>
  </si>
  <si>
    <t>Bukti lampiran (Form I) terisi PB Swadaya 4 unit. Pada rekap mingguan terisi 28 unit PB Swadaya dan 40 unit PK APBD namun belum ada bukti dukung,
 Belum terdapat surat dukungan</t>
  </si>
  <si>
    <t>Bukti berupa file excel dan pdf form pendataan. Angka didapat dari file pds pendataan</t>
  </si>
  <si>
    <r>
      <rPr>
        <rFont val="&quot;Bookman Old Style&quot;, serif"/>
        <color rgb="FF1155CC"/>
        <sz val="12.0"/>
        <u/>
      </rPr>
      <t>https://wa.me/6287738788667</t>
    </r>
  </si>
  <si>
    <t>Subdirektorat Strategi, Program, dan Anggaran</t>
  </si>
  <si>
    <t>Ariq Amrizal Haqy, S.T saat ini di handle Bu Danny</t>
  </si>
  <si>
    <t>PIC sudah di respon belum ada perkembangan pada data pendukung</t>
  </si>
  <si>
    <t>Intan Fitya, S.T.
 Teknik Tata Bangunan dan Perumahan Ahli Pertama</t>
  </si>
  <si>
    <t>Belum terdapat bukti dukung serta surat dukungan untuk data dari daerah</t>
  </si>
  <si>
    <r>
      <rPr>
        <rFont val="&quot;Bookman Old Style&quot;, serif"/>
        <color rgb="FF1155CC"/>
        <sz val="12.0"/>
        <u/>
      </rPr>
      <t xml:space="preserve">Robi Binur, </t>
    </r>
    <r>
      <rPr>
        <rFont val="&quot;Bookman Old Style&quot;, serif"/>
        <color rgb="FF1155CC"/>
        <sz val="12.0"/>
        <u/>
      </rPr>
      <t>A.Md</t>
    </r>
  </si>
  <si>
    <t>Belum ada dokumen</t>
  </si>
  <si>
    <t>Data rekap potensi lahan tidak sesuai dengan form</t>
  </si>
  <si>
    <r>
      <rPr>
        <rFont val="&quot;Bookman Old Style&quot;, serif"/>
        <color rgb="FF1155CC"/>
        <sz val="12.0"/>
        <u/>
      </rPr>
      <t xml:space="preserve">Pulung Tumangger, S.STP., </t>
    </r>
    <r>
      <rPr>
        <rFont val="&quot;Bookman Old Style&quot;, serif"/>
        <color rgb="FF1155CC"/>
        <sz val="12.0"/>
        <u/>
      </rPr>
      <t>M.Tr</t>
    </r>
    <r>
      <rPr>
        <rFont val="&quot;Bookman Old Style&quot;, serif"/>
        <color rgb="FF1155CC"/>
        <sz val="12.0"/>
        <u/>
      </rPr>
      <t>.IP</t>
    </r>
  </si>
  <si>
    <t>Devina, S.T.</t>
  </si>
  <si>
    <t>Form pendataan kabupaten berbentuk pdf</t>
  </si>
  <si>
    <t>1 Sudah Selesai
 1 Masih Berjalan</t>
  </si>
  <si>
    <t>Update verifikasi pada 15/07/2025  Data PB : -    Data PK : 4 unit APBD; 4 unit CSR (Rekap Sesuai Bukti) Belum termasuk FLPP</t>
  </si>
  <si>
    <t>Robby Wibioso Permana Putra
 saat ini dihandle Bu Devina</t>
  </si>
  <si>
    <t>PIC tidak mempunyai data apapun karena nomer CP yang dimiliki tidak aktif</t>
  </si>
  <si>
    <r>
      <rPr>
        <rFont val="&quot;Bookman Old Style&quot;, serif"/>
        <color rgb="FF1155CC"/>
        <sz val="12.0"/>
        <u/>
      </rPr>
      <t>https://wa.me/6282168370520</t>
    </r>
  </si>
  <si>
    <t>Subdirektorat Pemantauan dan Evaluasi SS</t>
  </si>
  <si>
    <t>83 (RENCANA)</t>
  </si>
  <si>
    <t>Update verifikasi pada 15/07/2025  Data PB : 18 unit APBD (Rekap Sesuai Bukti)     Data PK : 1 unit APBD (Rekap Sesuai Bukti) Belum termasuk FLPP</t>
  </si>
  <si>
    <r>
      <rPr>
        <rFont val="&quot;Bookman Old Style&quot;, serif"/>
        <color rgb="FF1155CC"/>
        <sz val="12.0"/>
        <u/>
      </rPr>
      <t>https://wa.me/6281211267171</t>
    </r>
  </si>
  <si>
    <t>Bukti dukung tidak sesuai  Terdapat data PB PK tanpa keterangan sumber dana dari 2 desa (11+9) dan data RTLH total 382 unit</t>
  </si>
  <si>
    <t>Pemda masih belum kirim data karena masih proses ttd kadis</t>
  </si>
  <si>
    <t>Update verifikasi pada 15/07/2025  Data PB : 150 unit APBD (Rekap Sesuai Bukti)     Data PK : - (Rekap Sesuai Bukti) Data Tapera : 9 unit FLPP (Rekap Sesuai Bukti)</t>
  </si>
  <si>
    <t>Rustomo S., S.T</t>
  </si>
  <si>
    <t>Sumber data dari REI Bengkulu</t>
  </si>
  <si>
    <t>Update verifikasi pada 15/07/2025  Data PB : 8 unit Swadaya (Rekap Sesuai Bukti)     Data PK : 9 unit Swadaya (Rekap Sesuai Bukti) Data DPD REI BENGKULU : 98 unit FLPP (Rekap Sesuai Bukti) Data Non FLPP/komersil 7 unit  (Rekap Sesuai Bukti)</t>
  </si>
  <si>
    <t>Hasrizal Hb, S.T, M.T</t>
  </si>
  <si>
    <t>0812-8469-8548</t>
  </si>
  <si>
    <t>Update verifikasi pada 15/07/2025  Data PB : 51 unit Swadaya (Rekap Sesuai Bukti)     Data PK : 143 unit APBD (Rekap Sesuai Bukti) Data DPD REI BENGKULU : 98 unit FLPP (Rekap Sesuai Bukti) Data Non FLPP/komersil 7 unit  (Rekap Sesuai Bukti)</t>
  </si>
  <si>
    <t>Purwadi Ari Minanto, S.T., M.Ars.</t>
  </si>
  <si>
    <t>Bukti sesuai
 Belum terdapat surat dukungan dari pemerintah daerah berupa arahan pendataan kepada Desa/Kelurahan (namun sudah ada surat balasan dukungan, akan dikonfirmasi terlebih dahulu ke tim)
 Lahan: 7.3359</t>
  </si>
  <si>
    <t>Haifa Nisa Damarani, S.Ars.</t>
  </si>
  <si>
    <t>Bukti sesuai
 Belum terdapat surat dukungan dari pemerintah daerah berupa arahan pendataan kepada Desa/Kelurahan (dukungan yang sudah ada dari DPD REI)</t>
  </si>
  <si>
    <t>dara dari BPD REI Lampung</t>
  </si>
  <si>
    <t>- Perbedaan data realisasi rumah FLPP dan Non FLPP berdasarkan 2 surat yang diterima dari DPD REI dan APERSI:
 DPD REI: FLPP 70 Unit; Non FLPP 30 Unit
 DPD APERSI: FLPP 99 Unit; Rumah Menengah Mewah 10 Unit
 - Pendataan perumahan selain oleh pengembang masih berupa file excel dan belum ditandatangani pihak terkait
 - Belum terdapat surat dukungan dari pemerintah daerah berupa arahan pendataan kepada Desa/Kelurahan (dukungan yang sudah ada dari DPD REI dan APERSI)</t>
  </si>
  <si>
    <t>Popy Afrianti, S.T., M.PWK.</t>
  </si>
  <si>
    <t>- Bukti dukung yang valid berupa realisasi FLPP (37 unit) dan non FLPP (5 unit) serta PK APBD 30 Unit
 - Data PK Swadaya masih berupa file xlsx (belum tervalidasi)
 - Data PB dengan APBD di file xlsx sama dengan data PB dengan APBD melalui TMMD (file 'Data Pembangunan Perumahan Lampura' namun belum ditandatangani)
 - Bukti dukung kurang 3 unit (PB pendanaan K/L Lainnya)</t>
  </si>
  <si>
    <t>Belum terdapat bukti dukung dan surat dukungan untuk data dari daerah</t>
  </si>
  <si>
    <t>Hanya terdapat 1 bukti dukung: 1 unit PB dengan APBDesa</t>
  </si>
  <si>
    <t>Nino Heri Setyoadi, S.Sos., M.Sc.</t>
  </si>
  <si>
    <t>Nursal, S.T., M.T</t>
  </si>
  <si>
    <t>0812-2003-2297</t>
  </si>
  <si>
    <t>Update verifikasi pada 15/07/2025  Data PB : PB Swadaya 3; PB APBD 10 unit(Rekap Sesuai Bukti) kecuali data PB CSR 6 unit tidak sesuai (Angka dalam bukti dukung dari Pemdes total 13 unit)     Data PK : 104 unit APBD; PK CSR 50 (Rekap Sesuai Bukti) Data DPD REI/DPD ASPERSI/FORM PENDATAAN : 451 unit FLPP (Rekap Sesuai Bukti) Data Non FLPP/komersil 228 unit  (Rekap Tidak Sesuai Bukti)  angka dalam bukti DPD REI/ASPERSI/FORM total 352 unit)</t>
  </si>
  <si>
    <t>Mas Deddi</t>
  </si>
  <si>
    <t>Update verifikasi pada 15/07/2025  Data PB : - (Rekap Sesuai Bukti)     Data PK : 80 unit APBD (Rekap Sesuai Bukti namun format data berbeda)  Data DPD REI/DPD ASPERSI : 30 unit FLPP (Rekap Sesuai Bukti) Data Non FLPP/komersil 20 unit  (Rekap Sesuai Bukti DPD REI/DPD ASPERSI)</t>
  </si>
  <si>
    <t>0813-3639-1810</t>
  </si>
  <si>
    <t>Update verifikasi pada 15/07/2025  Data PB : 15 unit APBD (Rekap Sesuai Bukti)     Data PK : 26 unit APBD; 18 unit APBDes (Rekap Sesuai Bukti) Data DPD REI/DPD ASPERSI : - unit FLPP (Rekap Sesuai Bukti) Data Non FLPP/komersil - unit  (Rekap Sesuai Bukti DPD REI/DPD ASPERSI)</t>
  </si>
  <si>
    <t>Egi Abdi Satrio, S.Ars</t>
  </si>
  <si>
    <t>Update verifikasi pada 15/07/2025  Data PB : 21 unit Swadaya (Rekap Sesuai Bukti)     Data PK : 20 unit APBD; 2 unit CSR (Rekap Sesuai Bukti) Data Tapera : 5 unit FLPP (Rekap Sesuai Bukti)</t>
  </si>
  <si>
    <t>Andhika Herlambang</t>
  </si>
  <si>
    <t>Bukti dukung berupa form pendataan kabupaten</t>
  </si>
  <si>
    <t>Data sudah sesuai dengan yang ada di bukti yang dilampirkan APBD Provinsi 523 unit Pembangunan Baru, APBD Kab. 456 unit Renovasi</t>
  </si>
  <si>
    <t>Data sudah sesuai dengan yang ada di bukti yang dilampirkan APBD Kabupaten 16 unit Pembangunan Baru, APBD Provinsi 145 unit, APBD Kabupaten 761 unit, dan APBDesa 253 unit Renovasi. Data belum sesuai dengan yang ada di bukti yang dilampirkan APBN 95 unit Renovasi (belum diinput)</t>
  </si>
  <si>
    <t>PIC sedang tugas belajar dan sedang proses penggantian PIC</t>
  </si>
  <si>
    <t>Belum melampirkan data pendukung</t>
  </si>
  <si>
    <t>DONE</t>
  </si>
  <si>
    <t>Data sudah sesuai dengan yang ada di bukti dukung APBD Kabupaten 341, CSR 27 (12 realisasi), dan APBDesa 1620 (Belum diinput) unit Renovasi</t>
  </si>
  <si>
    <t>Data belum sesuai dengan bukti dukung (Unit Renovasi APBD Kabupaten 40 Unit belum diinput)</t>
  </si>
  <si>
    <t>Data pendukung belum lengkap</t>
  </si>
  <si>
    <t>Sedang dalam perencanaan</t>
  </si>
  <si>
    <t>Data yang diinput berbeda dengan data pendukung, hanya APBDesa yang sesuai yaitu 1 Unit Renovasi</t>
  </si>
  <si>
    <t>Data sudah sesuai dengan yang ada di bukti dukung APBD Provinsi 84 unit dan APBD Kabupaten 139 unit Renovasi</t>
  </si>
  <si>
    <t>Data sudah sesuai dengan yang ada di bukti dukung APBD Provinsi 90 unit dan APBD Kabupaten 35 unit Renovasi</t>
  </si>
  <si>
    <t>Belum ada data bukti</t>
  </si>
  <si>
    <t>Data belum sesuai dengan bukti dukung (Unit Renovasi APBD Kabupaten 26 unit dan APBDesa 463 unit belum diinput)</t>
  </si>
  <si>
    <t>Data belum sesuai dengan bukti dukung (Unit Pembangunan Baru APBD Kabupaten 3 unit, serta Unit Renovasi APBD Kabupaten 315 unit dan APBN 10 unit belum diinput)</t>
  </si>
  <si>
    <t>Saat ini masih dalam tahap pengumpulan data. Infonya, proses ditargetkan selesai besok dan data dapat segera disampaikan.</t>
  </si>
  <si>
    <t>Surat Edaran (SE) Pendataan saat ini dalam proses tanda tangan elektronik (TTE) Bupati, namun belum selesai ditandatangani. Karena itu, rekap data yang ditandatangani Kadis maupun form desa yang ditandatangani Kades juga belum tersedia, menunggu SE Bupati ditetapkan.</t>
  </si>
  <si>
    <t>Rekap pendataan telah tersedia dan ditandatangani oleh Kepala Dinas, dilampiri beberapa form dari desa yang sudah ditandatangani Kepala Desa. Namun, pengumpulan form dari desa lainnya masih tertahan karena belum ada kepastian lokasi pembangunan. Tim di lapangan khawatir desa akan menagih apabila belum ada kejelasan.</t>
  </si>
  <si>
    <t>Bukti dukung berupa Hasil desk pendataan</t>
  </si>
  <si>
    <t>BNBA baru dikirim oleh PEMDA dan baru di proses rekap</t>
  </si>
  <si>
    <t>Informasi PIC Realisasi per 19 Juni : 295 unit; Bukti dukung berupa Surat Dinas (Dalam Surat total Realisasi 724 unit) dalam hasil desk realisasi 830 unit</t>
  </si>
  <si>
    <t>Data belum sesuai dengan bukti dukung (Unit Pembangunan Baru APBD Provinsi 39 unit dan Kabupaten 5 unit, sedangkan Unit Renovasi APBD Provinsi 135 unit, APBD Kabupaten 228 unit dan CSR 294 unit)</t>
  </si>
  <si>
    <t>Data sudah sesuai dengan yang ada di bukti dukung</t>
  </si>
  <si>
    <t>Dari Disperkim setempat baru akan didata Juli ini</t>
  </si>
  <si>
    <t>Dokumen form pendataan dari Disperkim Kebumen</t>
  </si>
  <si>
    <t>Dokumen Surat Dukung dari Kadisperkim</t>
  </si>
  <si>
    <t>anomali data : yang dimasukan hanya perencanaan 2024 dan realisasi 2025</t>
  </si>
  <si>
    <t>Bhara Marangga Ramadissa, S.Ars
 Teknik Tata Bangunan Dan Perumahan Ahli Pertama</t>
  </si>
  <si>
    <t>081319097015 (No Telp)</t>
  </si>
  <si>
    <t>Data Tersedia</t>
  </si>
  <si>
    <t>Belum ada bukti dukung valid</t>
  </si>
  <si>
    <t>SK Kabupaten: 227 Penerima bantuan
 SK APBD Provinsi masih tahap 1
 Bantuan RTLH BAZNAS: 3 Penerima</t>
  </si>
  <si>
    <t>Data realisasi belum sesuai dengan yang ada di bukti dukung</t>
  </si>
  <si>
    <t>Dokumen berupa form pendataan perumahan yang ditandatangani Kadisperkim</t>
  </si>
  <si>
    <t>44 penerima bantuan provinsi. untuk bukti satunya tidak tercantum unit, hanya anggaran realisasi</t>
  </si>
  <si>
    <t>Data sudah sesuai dengan yang ada di bukti dukung (Namun belum ada bukti dukung yang mencantumkan sumber dana swadaya)</t>
  </si>
  <si>
    <t>Belum di respon oleh PIC</t>
  </si>
  <si>
    <t>Data yang diinput berbeda dengan data pendukung (Unit Renovasi APBD Kabupaten hanya menyebutkan 25 unit di bukti dukung, sedangkan yang diinput disebutkan 1444 unit)</t>
  </si>
  <si>
    <t>Elias Wijaya Panggabean, S.T., M.T.</t>
  </si>
  <si>
    <t>Desti Ayu Setia Hidayati, S.T., M.Ars</t>
  </si>
  <si>
    <t>Sudah dihubungi wa</t>
  </si>
  <si>
    <r>
      <rPr>
        <rFont val="&quot;Bookman Old Style&quot;, serif"/>
        <color rgb="FF1155CC"/>
        <sz val="12.0"/>
        <u/>
      </rPr>
      <t>https://wa.me/6282111758487</t>
    </r>
  </si>
  <si>
    <t>Subdirektorat Perencanaan Pembiayaan Perumahan Perdesaan Pembiayaan</t>
  </si>
  <si>
    <t>Sandhika Adlisia Puspa Harani, S.T</t>
  </si>
  <si>
    <t>PIC sedang sakit, sedang ditanyakan siapa PIC yang menghandle</t>
  </si>
  <si>
    <t>sedang cuti melahirkan, belum bisa di konfirmasi dan bukti dukung tidak bisa diakses</t>
  </si>
  <si>
    <r>
      <rPr>
        <rFont val="&quot;Bookman Old Style&quot;, serif"/>
        <color rgb="FF1155CC"/>
        <sz val="12.0"/>
        <u/>
      </rPr>
      <t>https://wa.me/6282376071223</t>
    </r>
  </si>
  <si>
    <t>1383+46</t>
  </si>
  <si>
    <t>Putu Aditya</t>
  </si>
  <si>
    <t>Pelangi Fitri, S.Ars</t>
  </si>
  <si>
    <t>Belum dichat</t>
  </si>
  <si>
    <t>Renovasi sesuai bukti dukung ada 11 yg merupakan dari CSR(BAZNAZ KAB. KENDAL) dan 15 dari Bank Jateng</t>
  </si>
  <si>
    <t>Farizal Rizky Mahardian, S.T</t>
  </si>
  <si>
    <r>
      <rPr>
        <rFont val="&quot;Bookman Old Style&quot;, serif"/>
        <color rgb="FF1155CC"/>
        <sz val="12.0"/>
        <u/>
      </rPr>
      <t>https://wa.me/6281219990195</t>
    </r>
  </si>
  <si>
    <t>Subdirektorat Pelaksanaan Skema Pembiayaan Pembiayaan</t>
  </si>
  <si>
    <t>- menunggu bukti dukung dari Pemda berupa tabel yg berisi nama, alamat, foto dan keterangan lainnya
 - sedang dimintakan bukti berupa surat terkait RTLH</t>
  </si>
  <si>
    <t>Chandra Dewi Soewoko, S.T., M.T.</t>
  </si>
  <si>
    <t>Puspa Yunita, MURP, MIDS</t>
  </si>
  <si>
    <r>
      <rPr>
        <rFont val="&quot;Bookman Old Style&quot;, serif"/>
        <color rgb="FF1155CC"/>
        <sz val="12.0"/>
        <u/>
      </rPr>
      <t>https://wa.me/628119501301</t>
    </r>
  </si>
  <si>
    <t>667 (29 PK)</t>
  </si>
  <si>
    <t>Data Renovasi sudah benar, tetapi data pembangunan baru masih tidak sesuai</t>
  </si>
  <si>
    <t>Wiscana Astri Prabaswari, S.Si, M.Eng, M.U.R.P</t>
  </si>
  <si>
    <t>Data dukung berupa form xlsx dengan bukti foto rumah</t>
  </si>
  <si>
    <t>Data DAK terdapat 18 unit yang terbangun dan 37 Unit pembangunan menggunakan APBD Kab/Kota. Sementara data pada rekap mingguan 18 Unit Pembangunan menggunakan APBD.</t>
  </si>
  <si>
    <t>Stephanie Febrianti Hidayat, S.T</t>
  </si>
  <si>
    <t>224 unit masih rencana</t>
  </si>
  <si>
    <t>Hanya terdapat data pembangunan secara swadaya</t>
  </si>
  <si>
    <t>Aisyah Adzkia Yuliwarto, S.T</t>
  </si>
  <si>
    <t>138 unit masih rencana</t>
  </si>
  <si>
    <t>Tidak ada update data dalam 1 bulan terakhir, terdapat surat balasan dukungan dari bupati</t>
  </si>
  <si>
    <t>Data dukung xlsx
 246 penerima bantuan APBD Kabupaten
 12 penerima bantuan BAZNAS</t>
  </si>
  <si>
    <t>Hanya terdapat data RTLH</t>
  </si>
  <si>
    <t>Yusuf Saputra, S.T</t>
  </si>
  <si>
    <t>45 unit dari APBD Provinsi (Dana keistimewaan Yogyakarta)
 597 unit dari APBD Kabupaten
 17 unit dari bantuan BAZNAS</t>
  </si>
  <si>
    <t>Data Sesuai</t>
  </si>
  <si>
    <t>Bukti tambahan berupa surat Dukungan Pendataan Perumahan Kab. Pacitan dan form pendataan kabupaten</t>
  </si>
  <si>
    <t>Keterangan sudah masuk tapi data pendukung belum masuk</t>
  </si>
  <si>
    <t>Hanya Memiliki surat balasan dari Kabupaten tapi tidak memiliki dokumen lainnya.</t>
  </si>
  <si>
    <t>Sendy Prasetya, S.E</t>
  </si>
  <si>
    <t>Renovasi sesuai dengan bukti dukung terdapat 348 unit yang dibangun menggunakan APBD. Sementara 25 menggunakan insentif Fiskal.</t>
  </si>
  <si>
    <t>Bulan Hasto Tri Nurcahyo, S.E</t>
  </si>
  <si>
    <t>0821-2233-1628</t>
  </si>
  <si>
    <t>PB Non Flpp mengalami kenaikan menjadi 573</t>
  </si>
  <si>
    <t>Afdry Glenny Ey, A. Md
 Pranata Komputer Terampil</t>
  </si>
  <si>
    <t>Data tersedia</t>
  </si>
  <si>
    <t>Link tidak dapat di akses</t>
  </si>
  <si>
    <t>Zulman Haridan ST, MPWK (PIC penugasan PPK di Lampung tapi masih komunikasi dengan daerah)</t>
  </si>
  <si>
    <t>Data dukung xlsx Pendataan perumahan dengan keterangan sumber pendanaan</t>
  </si>
  <si>
    <t>terdapat kesalahan penginputan data, terdapat 540 rencana PK menggunakan APBD Kabupaten dan realisasi PK menggunakan APBD Kabupaten sebanyak 7 unit, tapi yang tercatat di data 547 unit rumah.
 terdapat kesalahan penginputan data kembali pada penggunaan APBD Desa, terdapat 286 rencana PK dan realisasi PK sebanyak 51 unit, tapi yang tercatat di data 337 unit rumah.
 Sementara untuk CSR terdapat pencatatan 10 pada rencana dan 10 juga pada realisasi tetapi pencatatannya juga 10.</t>
  </si>
  <si>
    <t>per 1 juli sdh purna tugas di kementerian PKP</t>
  </si>
  <si>
    <t>Bukti dukung berupa hasil desk pendataan rencana dan pelaksanaan pembangunan perumahan dan form pendataan kabupaten</t>
  </si>
  <si>
    <t>Bukti dukung berupa excel form pendataan</t>
  </si>
  <si>
    <t>Data yang di catat tidak sesuai dengan data pendukung yang ada</t>
  </si>
  <si>
    <t>Perencanaan 1455 unit
 Realisasi 37 unit dari APBD Kabupaten dan Desa</t>
  </si>
  <si>
    <t>Terdapat kesalahan data untuk APBD Kabupaten pada renovasi di form yg dibuat oleh kabupaten terdapat 219 unit dan di APBDesa terdapat 49 unit</t>
  </si>
  <si>
    <t>Data Swadaya pada Peningkatan Kualitas belum di tambahkan</t>
  </si>
  <si>
    <t>312 Perencanaan
 46 realisasi</t>
  </si>
  <si>
    <t>Data APBDesa dan CSR pada Renovasi sedang dicari tau darimana angka tersebut dimunculkan oleh pemda, sementara untuk sumber dana dari APBD sudah terdata dengan baik.</t>
  </si>
  <si>
    <t>Tian Susilowati S.E. (PIC telah pindah tugas, PIC sementara Bu Arry)</t>
  </si>
  <si>
    <t>Sudah respon dan akan coba diupdate</t>
  </si>
  <si>
    <t>Data yang terdapat pada Rencana APBD Kabupaten sebanyak 164 unit dan melalui CSR sebanyak 199 unit. Sementara data Realisasi yang menggunakan dana APBD Kabupaten sebanyak 5 unit dan CSR sebanyak 84 unit. Data yang digunakan pada link pendataan adalah data campuran di APBD Kab(Rencana) dan CSR(Realisasi)</t>
  </si>
  <si>
    <t>Andrea Pratama Yanuar Trikusuma Endismoyo, S.T</t>
  </si>
  <si>
    <t>0812-9003-2800</t>
  </si>
  <si>
    <t>Bukti dukung berupa hasil desk pendataan rencana dan pelaksanaan pembangunan perumahan dan form excel CSR, angka realisasi hasil desk sejumlah 40 unit: angka informasi PIC 204 Unit (APBD Prov 23 unit PK, APBD Kab 135 unit PB dan 120 unit PK, CSR Baznas 38 unit PK, CSR PT. BPR Majatama 2 unit PB, CSR Pramuka 4 unit PB, CSR Urunan Pengembang 2 unit PB)</t>
  </si>
  <si>
    <t>belum dihubungi wa</t>
  </si>
  <si>
    <t>Memiliki SK tapi tidak memiliki data yang jelas.</t>
  </si>
  <si>
    <t>Teguh Triyono
 Bendahara Pengeluaran</t>
  </si>
  <si>
    <t>sdh saya infokan ke pihak kab nganjuk, mudah2an secepatnya ya -Pemda Nganjuk
 keterangan sudah masuk tapi data pendukungnya belum masuk</t>
  </si>
  <si>
    <t>Data tidak tersedia.</t>
  </si>
  <si>
    <t>Data APBDesa, APBD dan CSR tidak sesuai dengan data pendukung yang ada</t>
  </si>
  <si>
    <t>Data Renovasi CSR tidak sesuai dengan data pendukung yang diberikan, sementara untuk data APBD di PB dan PK tidak memiliki bukti dukung.</t>
  </si>
  <si>
    <t>Tidak memiliki data dukung.</t>
  </si>
  <si>
    <r>
      <rPr>
        <rFont val="&quot;Bookman Old Style&quot;, serif"/>
        <color rgb="FF1155CC"/>
        <sz val="12.0"/>
        <u/>
      </rPr>
      <t>https://wa.me/6281227816156</t>
    </r>
  </si>
  <si>
    <t>Bagian Keuangan dan Pengelolaan BMN Setditjen</t>
  </si>
  <si>
    <t>Data pendukung tidak lengkap</t>
  </si>
  <si>
    <t>sudah dihubungi wa</t>
  </si>
  <si>
    <t>Terdapat kesalahan data pada banyaknya unit di sumber dana Renovasi APBD sesuai Desk hanya 10 tapi tercatat 63</t>
  </si>
  <si>
    <t>sudah dihubungi wa (no response)</t>
  </si>
  <si>
    <t>Tidak ada link data pendukung</t>
  </si>
  <si>
    <t>PIC Kab. Lebak diganti menjadi Bapak Putra</t>
  </si>
  <si>
    <t>PIC akan follow up ke Dinas terkait</t>
  </si>
  <si>
    <t>Data Pendukung tersedia</t>
  </si>
  <si>
    <t>0812-1926-0672</t>
  </si>
  <si>
    <t>Tidak terdapat data PK untuk pembangunan menggunakan dana APBD.</t>
  </si>
  <si>
    <t>0821-2349-9508</t>
  </si>
  <si>
    <t>Mas Satria</t>
  </si>
  <si>
    <t>Nindya</t>
  </si>
  <si>
    <t>CSR 37 
 APBD 40 
 CSR 71 
 Total 148</t>
  </si>
  <si>
    <t>Data sudah sesuai dengan bukti yang dilampirkan sejumlah 148</t>
  </si>
  <si>
    <t>0877-5304-7305</t>
  </si>
  <si>
    <t>Berdasarkan form pendataan yang dilampirkan, blm ada data pendukung yang valid</t>
  </si>
  <si>
    <t>PIC sudah merespon akan update pada 03/07 tapi belum ada update</t>
  </si>
  <si>
    <t>Berdasarkan form pendataan, ada 8 data PK, belum ada update data, blm ada data pendukung yang valid</t>
  </si>
  <si>
    <t>Dahrinal SE (Pindah Tugas, sementara dipegang Bu Verli)</t>
  </si>
  <si>
    <t>Baru ada surat dukung dari Bupati ke Desa. Masih dalam proses pendataan. Bukti sudah ada tapi belum bisa diupdate karna sheet view-only</t>
  </si>
  <si>
    <t>121 FLPP</t>
  </si>
  <si>
    <t>Baru ada surat dukungan pendataan dari Bupati, masih dalam proses pendataan.</t>
  </si>
  <si>
    <t>Bukti sesuai, minus flpp
 Ada bukti dukung baru tapi belum bisa update sheet</t>
  </si>
  <si>
    <t>Lampiran berupa form pendataan tiap kecamatan dan desa. Data yang dimasukkan berupa data APBDesa 2, APBD 11, dan CSR 2 (blm ditemukan data pendukung)</t>
  </si>
  <si>
    <t>5 unit rencana pembangunan 2029
 Bukti dikirim tanggal 3 tapi setelah data ditarik</t>
  </si>
  <si>
    <t>Bukti surat dinperkim melampirkan bukti foto namun akses masih dikunci. Belum melampirkan bukti CSR Baznaz.</t>
  </si>
  <si>
    <t>Ane Sopina Dina Suryani, M.AP.</t>
  </si>
  <si>
    <t>PIC diganti menjadi Sahri
 keterangan masih</t>
  </si>
  <si>
    <t>Belum melampirkan keterangan</t>
  </si>
  <si>
    <t>M. Febriansyah Dalimunthe, S.Kom</t>
  </si>
  <si>
    <t>PIC diganti menjadi M. Febriansah Dalimunthe
 keterangan msih kosong</t>
  </si>
  <si>
    <t>Keterangan masih kosong</t>
  </si>
  <si>
    <t>Belum mengisi data apapun</t>
  </si>
  <si>
    <t>Elizabeth L.A Hutapea, S.T., M.T.</t>
  </si>
  <si>
    <t>Amalia Nurul Hidayah, S.Psi.,M.Si.
 Penelaah Standar dan Pedoman - Sub TU Peningkatan Kualitas</t>
  </si>
  <si>
    <t>Nanda</t>
  </si>
  <si>
    <t>Kontak PIC yang tersedia pada Data SDM tidak sesuai</t>
  </si>
  <si>
    <t>Bukti berupa pdf form pendataan (17 pembangunan baru; 17 renovasi)</t>
  </si>
  <si>
    <t>Kalimatan Tengah</t>
  </si>
  <si>
    <r>
      <rPr>
        <rFont val="&quot;Bookman Old Style&quot;, serif"/>
        <color rgb="FF1155CC"/>
        <sz val="12.0"/>
        <u/>
      </rPr>
      <t>https://wa.me/6285777906687</t>
    </r>
  </si>
  <si>
    <t>Sub Bagian Tata Usaha PK</t>
  </si>
  <si>
    <t>Rini Dyah Mawarty, S.T., M.T.</t>
  </si>
  <si>
    <r>
      <rPr>
        <rFont val="&quot;Bookman Old Style&quot;, serif"/>
        <color rgb="FF1155CC"/>
        <sz val="12.0"/>
        <u/>
      </rPr>
      <t>https://wa.me/628122324094</t>
    </r>
  </si>
  <si>
    <t>676 target PB 2025</t>
  </si>
  <si>
    <r>
      <rPr>
        <rFont val="&quot;Bookman Old Style&quot;, serif"/>
        <color rgb="FF1155CC"/>
        <sz val="12.0"/>
        <u/>
      </rPr>
      <t xml:space="preserve">Rino Sinurat, S.T., </t>
    </r>
    <r>
      <rPr>
        <rFont val="&quot;Bookman Old Style&quot;, serif"/>
        <color rgb="FF1155CC"/>
        <sz val="12.0"/>
        <u/>
      </rPr>
      <t>M.Si</t>
    </r>
  </si>
  <si>
    <t>Maria Handayani Setyaningrum, S.T, M.T</t>
  </si>
  <si>
    <t>Ahndya Chita Sekar Anggriti Elisabeth,S.T</t>
  </si>
  <si>
    <t>Dokumen berupa form pendataan yang ditandatangani Disperkim</t>
  </si>
  <si>
    <t>Dokumen berupa form pendataan yang ditandatangani Kepala Desa</t>
  </si>
  <si>
    <t>done chat, blm ada link</t>
  </si>
  <si>
    <t>SUDAH SESUAI</t>
  </si>
  <si>
    <t>Soemin Kase. S.T.,M.Si</t>
  </si>
  <si>
    <t>PIC diganti menjadi Pak Krisna Mega, PIC sudah merespon tapi belum ada update</t>
  </si>
  <si>
    <t>Belum ada keterangan apapun</t>
  </si>
  <si>
    <t>PIC diganti menjadi Pak Krisna Mega,PIC sudah merespon tapi belum ada update</t>
  </si>
  <si>
    <t>Bent Brando, SH
 Pelaksana Teknis</t>
  </si>
  <si>
    <t>Keterangan dan Data Pendukungnya masih kosong</t>
  </si>
  <si>
    <t>Sudah melampirkan form pendataan perumahan dari desa-kecamatan, belum menemukan bukti dukung formal</t>
  </si>
  <si>
    <t>Rafi</t>
  </si>
  <si>
    <r>
      <rPr>
        <rFont val="&quot;Bookman Old Style&quot;, serif"/>
        <color rgb="FF1155CC"/>
        <sz val="12.0"/>
        <u/>
      </rPr>
      <t>https://drive.google.com/drive/folders/1NgGyJkosEI3jXSqRyZimOYi2xhPuiBfs</t>
    </r>
  </si>
  <si>
    <t>Belum ada bukti dukung untuk data 2 unit Pembangunan Baru menggunakan dana Swadaya</t>
  </si>
  <si>
    <r>
      <rPr>
        <rFont val="&quot;Bookman Old Style&quot;, serif"/>
        <color rgb="FF1155CC"/>
        <sz val="12.0"/>
        <u/>
      </rPr>
      <t>https://drive.google.com/drive/folders/1R1_6OhLG-D_4nyEoIYSANO4KzEB9biec</t>
    </r>
  </si>
  <si>
    <t>Bukti hanya berupa foto, data terdapat perbedaan dengan yang dituliskan di sheet</t>
  </si>
  <si>
    <r>
      <rPr>
        <rFont val="&quot;Bookman Old Style&quot;, serif"/>
        <color rgb="FF1155CC"/>
        <sz val="12.0"/>
        <u/>
      </rPr>
      <t>https://drive.google.com/drive/folders/1Z1Un3NSI-egUVt7gZUVcO_qYi1ohxRX4</t>
    </r>
  </si>
  <si>
    <t>Terdapat perbedaan data dari yang di rekap dan di bukti pendukung</t>
  </si>
  <si>
    <t>Pemda belum menyerahkan data</t>
  </si>
  <si>
    <t>0812-1393-6862</t>
  </si>
  <si>
    <t>Baru ada form pendataan</t>
  </si>
  <si>
    <t>Yusnini Amelia S.Sos
 Penata Kelola Perumahan Ahli Pertama</t>
  </si>
  <si>
    <t>Belum ada keterangan</t>
  </si>
  <si>
    <t>Belum ada keterangan data pendukung</t>
  </si>
  <si>
    <t>0813-1588-4128</t>
  </si>
  <si>
    <t>Sudah dichat, namun belum ada response</t>
  </si>
  <si>
    <t>data masih berupa rencana</t>
  </si>
  <si>
    <t>Belum ada keterangan data pendukung (masih dalam proses SK)</t>
  </si>
  <si>
    <t>Dokumen berupa file .xlsx pendataan perumahan dengan bukti dukung berupa foto rumah penerima</t>
  </si>
  <si>
    <t>Form Pendataan dari dinperkim + foto</t>
  </si>
  <si>
    <r>
      <rPr>
        <rFont val="&quot;Bookman Old Style&quot;, serif"/>
        <color rgb="FF1155CC"/>
        <sz val="12.0"/>
        <u/>
      </rPr>
      <t>https://wa.me/6282114503864</t>
    </r>
  </si>
  <si>
    <t>Total bukti PB FLPP + 8 Non FLPP</t>
  </si>
  <si>
    <t>Data pendukung belum divalidasi</t>
  </si>
  <si>
    <r>
      <rPr>
        <rFont val="&quot;Bookman Old Style&quot;, serif"/>
        <color rgb="FF1155CC"/>
        <sz val="12.0"/>
        <u/>
      </rPr>
      <t>https://wa.me/6285695440263</t>
    </r>
  </si>
  <si>
    <t>Bagian Sumber Daya Manusia dan Umum Setditjen</t>
  </si>
  <si>
    <t>Bukti dukung berupa file excel form pendataan, Angka bukti yang dicantumkan diambil dari bukti terlampir bagian pembangunan baru (201 unit Pembangunan baru, 1967 peningkatan kualitas)</t>
  </si>
  <si>
    <t>data pendukung masih berupa Berita Acara Rakor (apakah dibolehkan?)</t>
  </si>
  <si>
    <t>Muhammad Yunus, S.T.</t>
  </si>
  <si>
    <r>
      <rPr>
        <rFont val="&quot;Bookman Old Style&quot;, serif"/>
        <color rgb="FF1155CC"/>
        <sz val="12.0"/>
        <u/>
      </rPr>
      <t>https://drive.google.com/drive/folders/10LghyvWf8TccwU3Y1tHPRHH3PuJHcO9k?usp=drive_link</t>
    </r>
  </si>
  <si>
    <t>Baru ada bukti dukung surat percepatan pendataan perumahan</t>
  </si>
  <si>
    <r>
      <rPr>
        <rFont val="&quot;Bookman Old Style&quot;, serif"/>
        <color rgb="FF1155CC"/>
        <sz val="12.0"/>
        <u/>
      </rPr>
      <t>https://drive.google.com/drive/folders/1HdSJnfYyDu2z5ynmfZ2wS_5W6VcmIpha?usp=drive_link</t>
    </r>
  </si>
  <si>
    <r>
      <rPr>
        <rFont val="&quot;Bookman Old Style&quot;, serif"/>
        <color rgb="FF1155CC"/>
        <sz val="12.0"/>
        <u/>
      </rPr>
      <t>https://drive.google.com/drive/folders/10HdLeGaUuPsEy62yrZTv2jyMdZS5iZuC?usp=drive_link</t>
    </r>
  </si>
  <si>
    <t>Dewi Wulandari, S.T.</t>
  </si>
  <si>
    <t>tidak bisa mengakses bukti</t>
  </si>
  <si>
    <t>PIC sudah merespon tapi belum ada update</t>
  </si>
  <si>
    <t>Ruknan</t>
  </si>
  <si>
    <r>
      <rPr>
        <rFont val="&quot;Bookman Old Style&quot;, serif"/>
        <color rgb="FF1155CC"/>
        <sz val="12.0"/>
        <u/>
      </rPr>
      <t>https://drive.google.com/drive/folders/1mR_42PdxnMFtKEe3Qs68tmDbDMYst3Cl?usp=drive_link</t>
    </r>
  </si>
  <si>
    <t>Terdapat perbedaan data dengan Surat Data Bantuan Rumah TA 2025 Terealisasi di drive</t>
  </si>
  <si>
    <r>
      <rPr>
        <rFont val="&quot;Bookman Old Style&quot;, serif"/>
        <color rgb="FF1155CC"/>
        <sz val="12.0"/>
        <u/>
      </rPr>
      <t>https://drive.google.com/drive/folders/1Uy_QQQimxKmoIkejHnEo8b7Kr5AuDT-M?usp=drive_link</t>
    </r>
  </si>
  <si>
    <t>Dokumen berupa berita aca rapat</t>
  </si>
  <si>
    <r>
      <rPr>
        <rFont val="&quot;Bookman Old Style&quot;, serif"/>
        <color rgb="FF1155CC"/>
        <sz val="12.0"/>
        <u/>
      </rPr>
      <t>https://drive.google.com/file/d/1GNMI9KTSeMNaC7eAR2_kUJDzPC-IKKR-/view?usp=drive_link</t>
    </r>
  </si>
  <si>
    <r>
      <rPr>
        <rFont val="&quot;Bookman Old Style&quot;, serif"/>
        <color rgb="FF1155CC"/>
        <sz val="12.0"/>
        <u/>
      </rPr>
      <t>https://drive.google.com/drive/folders/10LaEpB_TG_qOKgfaUMwUwteEYrNCLRgm?usp=drive_link</t>
    </r>
  </si>
  <si>
    <t>Belum ada bantuan perumahan</t>
  </si>
  <si>
    <r>
      <rPr>
        <rFont val="&quot;Bookman Old Style&quot;, serif"/>
        <color rgb="FF1155CC"/>
        <sz val="12.0"/>
        <u/>
      </rPr>
      <t>https://drive.google.com/drive/folders/1n5bzlKW15jJfCsBkG4wWt4yWjVhevnlG?usp=drive_link</t>
    </r>
  </si>
  <si>
    <t>Terdapat perbedaan jumlah data antara 54 atau 56 pada Pembangunan Baru dengan sumber APBD</t>
  </si>
  <si>
    <r>
      <rPr>
        <rFont val="&quot;Bookman Old Style&quot;, serif"/>
        <color rgb="FF1155CC"/>
        <sz val="12.0"/>
        <u/>
      </rPr>
      <t>https://drive.google.com/drive/folders/1mm2whN0HSghvBVmLRM5gjaklqshjEJua?usp=drive_link</t>
    </r>
  </si>
  <si>
    <t>Julian Fernando Nainggolan, SE, MBA</t>
  </si>
  <si>
    <r>
      <rPr>
        <rFont val="&quot;Bookman Old Style&quot;, serif"/>
        <color rgb="FF1155CC"/>
        <sz val="12.0"/>
        <u/>
      </rPr>
      <t>Soemin Kase. S.T.,</t>
    </r>
    <r>
      <rPr>
        <rFont val="&quot;Bookman Old Style&quot;, serif"/>
        <color rgb="FF1155CC"/>
        <sz val="12.0"/>
        <u/>
      </rPr>
      <t>M.Si</t>
    </r>
    <r>
      <rPr>
        <rFont val="&quot;Bookman Old Style&quot;, serif"/>
        <color rgb="FF1155CC"/>
        <sz val="12.0"/>
        <u/>
      </rPr>
      <t xml:space="preserve"> </t>
    </r>
    <r>
      <rPr>
        <rFont val="&quot;Bookman Old Style&quot;, serif"/>
        <b/>
        <color rgb="FF1155CC"/>
        <sz val="12.0"/>
        <u/>
      </rPr>
      <t>dihandle Pak Krisna</t>
    </r>
  </si>
  <si>
    <t>PJ</t>
  </si>
  <si>
    <t>CPNS</t>
  </si>
  <si>
    <t>wil 1</t>
  </si>
  <si>
    <t>rusdy</t>
  </si>
  <si>
    <t>hans</t>
  </si>
  <si>
    <t>P. Sumatera dan Kalimantan</t>
  </si>
  <si>
    <t>nabila</t>
  </si>
  <si>
    <t>zahara</t>
  </si>
  <si>
    <t>wil 2</t>
  </si>
  <si>
    <t>Deddi</t>
  </si>
  <si>
    <t>putu</t>
  </si>
  <si>
    <t>P. Jawa , Bali dan P. Nusa Tenggara</t>
  </si>
  <si>
    <t>herlambang</t>
  </si>
  <si>
    <t>wil 3</t>
  </si>
  <si>
    <t>Satria</t>
  </si>
  <si>
    <t>raffi</t>
  </si>
  <si>
    <t>P. Sulawesi, Maluku dan Papua</t>
  </si>
  <si>
    <t>nindya</t>
  </si>
  <si>
    <t>nanda</t>
  </si>
  <si>
    <t>Jumlah Izin Terbit</t>
  </si>
  <si>
    <t>Lampiran Bukti Dukung</t>
  </si>
  <si>
    <t>KETERANGAN:</t>
  </si>
  <si>
    <r>
      <rPr>
        <b/>
        <sz val="13.0"/>
      </rPr>
      <t xml:space="preserve">Lampiran bukti dukung disampaikan di folder:
</t>
    </r>
    <r>
      <rPr>
        <b/>
        <color rgb="FF1155CC"/>
        <sz val="13.0"/>
        <u/>
      </rPr>
      <t>https://drive.google.com/drive/folders/1fNZZWKx2XTu4AzXZa1eIk6I_q3YnOEFM</t>
    </r>
  </si>
  <si>
    <t>Membuat folder BPHTB di setiap kabupaten masing-masing</t>
  </si>
  <si>
    <t>221</t>
  </si>
  <si>
    <t>Wilayah Delineasi</t>
  </si>
  <si>
    <t>Nomor</t>
  </si>
  <si>
    <t>Penanggung jawab</t>
  </si>
  <si>
    <t>D.I. YOGYAKARTA</t>
  </si>
  <si>
    <t>JAWA TIMUR</t>
  </si>
  <si>
    <t xml:space="preserve">Intan Fitya, S.T.
 </t>
  </si>
  <si>
    <r>
      <rPr>
        <rFont val="&quot;Bookman Old Style&quot;, serif"/>
        <color rgb="FF1155CC"/>
        <sz val="12.0"/>
        <u/>
      </rPr>
      <t xml:space="preserve">Robi Binur, </t>
    </r>
    <r>
      <rPr>
        <rFont val="&quot;Bookman Old Style&quot;, serif"/>
        <color rgb="FF1155CC"/>
        <sz val="12.0"/>
        <u/>
      </rPr>
      <t>A.Md</t>
    </r>
  </si>
  <si>
    <t>Pulung Tumangger, S.STP., M. Tr.IP</t>
  </si>
  <si>
    <t>Robby Di Back Up Satria Yudhatama Wisnuadji, S.T</t>
  </si>
  <si>
    <t>BENGKULU</t>
  </si>
  <si>
    <t>JAWA TENGAH</t>
  </si>
  <si>
    <t>LAMPUNG</t>
  </si>
  <si>
    <t>https://wa.me/628119501301</t>
  </si>
  <si>
    <t>081295564444</t>
  </si>
  <si>
    <t>081249737879</t>
  </si>
  <si>
    <t>085732127009</t>
  </si>
  <si>
    <t>081280749591</t>
  </si>
  <si>
    <t>KALIMANTAN</t>
  </si>
  <si>
    <t>https://wa.me/628122324094</t>
  </si>
  <si>
    <r>
      <rPr>
        <rFont val="&quot;Bookman Old Style&quot;, serif"/>
        <color rgb="FF1155CC"/>
        <sz val="12.0"/>
        <u/>
      </rPr>
      <t>Rino Sinurat, S.T.,</t>
    </r>
    <r>
      <rPr>
        <rFont val="&quot;Bookman Old Style&quot;, serif"/>
        <color rgb="FF1155CC"/>
        <sz val="12.0"/>
        <u/>
      </rPr>
      <t xml:space="preserve"> M.S</t>
    </r>
    <r>
      <rPr>
        <rFont val="&quot;Bookman Old Style&quot;, serif"/>
        <sz val="12.0"/>
      </rPr>
      <t>i</t>
    </r>
  </si>
  <si>
    <t>081348469226</t>
  </si>
  <si>
    <t>081299019999</t>
  </si>
  <si>
    <t>081316103195</t>
  </si>
  <si>
    <t>083806672009</t>
  </si>
  <si>
    <t>081316383848</t>
  </si>
  <si>
    <t>08129957713</t>
  </si>
  <si>
    <t>082252909503</t>
  </si>
  <si>
    <t>https://wa.me/628179123781</t>
  </si>
  <si>
    <t>082299006454</t>
  </si>
  <si>
    <t>089690537664</t>
  </si>
  <si>
    <t>JAWA BARAT</t>
  </si>
  <si>
    <t>087884629200</t>
  </si>
  <si>
    <t>082211552522</t>
  </si>
  <si>
    <t>082260606689</t>
  </si>
  <si>
    <t>085263569772</t>
  </si>
  <si>
    <t>081223550680</t>
  </si>
  <si>
    <t>081314278708</t>
  </si>
  <si>
    <t>085715616177</t>
  </si>
  <si>
    <t>082238712225</t>
  </si>
  <si>
    <t>081324253485</t>
  </si>
  <si>
    <t>081271532977</t>
  </si>
  <si>
    <t>081316069146</t>
  </si>
  <si>
    <t xml:space="preserve">081808177102 </t>
  </si>
  <si>
    <t>083149737666</t>
  </si>
  <si>
    <t>081807136092</t>
  </si>
  <si>
    <t>087873757736</t>
  </si>
  <si>
    <t>ACEH</t>
  </si>
  <si>
    <t>SUMATERA UTARA</t>
  </si>
  <si>
    <t>Anugerah Cipta Pramudia, S.T.
Penata Kelola Perumahan Ahli Pertama</t>
  </si>
  <si>
    <t>Hendra Rumara, S.E
Penyusunan Monev dan Pelaporan</t>
  </si>
  <si>
    <t>Bhara Marangga Ramadissa, S.Ars
Teknik Tata Bangunan Dan Perumahan Ahli Pertama</t>
  </si>
  <si>
    <t>PAPUA TENGAH</t>
  </si>
  <si>
    <r>
      <rPr>
        <rFont val="&quot;Bookman Old Style&quot;, serif"/>
        <color rgb="FF1155CC"/>
        <sz val="12.0"/>
        <u/>
      </rPr>
      <t>Soemin Kase. S.T.,</t>
    </r>
    <r>
      <rPr>
        <rFont val="&quot;Bookman Old Style&quot;, serif"/>
        <color rgb="FF1155CC"/>
        <sz val="12.0"/>
        <u/>
      </rPr>
      <t>M.Si</t>
    </r>
    <r>
      <rPr>
        <rFont val="&quot;Bookman Old Style&quot;, serif"/>
        <color rgb="FF1155CC"/>
        <sz val="12.0"/>
        <u/>
      </rPr>
      <t xml:space="preserve"> </t>
    </r>
    <r>
      <rPr>
        <rFont val="&quot;Bookman Old Style&quot;, serif"/>
        <b/>
        <color rgb="FF1155CC"/>
        <sz val="12.0"/>
        <u/>
      </rPr>
      <t>dihandle Pak Krisna</t>
    </r>
  </si>
  <si>
    <t>PAPUA</t>
  </si>
  <si>
    <t>Afdry Glenny Ey, A. Md
Pranata Komputer Terampil</t>
  </si>
  <si>
    <t>80/83</t>
  </si>
  <si>
    <t>Tian Susilowati S.E. (PIC telah pindah tugas, sedang mencari info untuk PIC sementara)</t>
  </si>
  <si>
    <t>Teguh Triyono
Bendahara Pengeluaran</t>
  </si>
  <si>
    <t>BANTEN</t>
  </si>
  <si>
    <t>BALI</t>
  </si>
  <si>
    <t>KALIMANTAN BARAT</t>
  </si>
  <si>
    <t>Amalia Nurul Hidayah, S.Psi.,M.Si.
Penelaah Standar dan Pedoman - Sub TU Peningkatan Kualitas</t>
  </si>
  <si>
    <t>Yusnini Amelia S.Sos
Penata Kelola Perumahan Ahli Pertama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</si>
</sst>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
    <numFmt numFmtId="165" formatCode="0.000"/>
    <numFmt numFmtId="166" formatCode="m/d"/>
    <numFmt numFmtId="167" formatCode="mm/dd"/>
    <numFmt numFmtId="168" formatCode="d.m"/>
    <numFmt numFmtId="169" formatCode="0.000%"/>
    <numFmt numFmtId="170" formatCode="m-d"/>
    <numFmt numFmtId="171" formatCode="mm-dd"/>
  </numFmts>
  <fonts count="104">
    <font>
      <sz val="10.0"/>
      <color rgb="FF000000"/>
      <name val="Arial"/>
      <scheme val="minor"/>
    </font>
    <font>
      <b/>
      <sz val="5.0"/>
      <color rgb="FF000000"/>
      <name val="Bookman Old Style"/>
    </font>
    <font>
      <b/>
      <sz val="12.0"/>
      <color rgb="FF000000"/>
      <name val="Bookman Old Style"/>
    </font>
    <font>
      <color theme="1"/>
      <name val="Bookman Old Style"/>
    </font>
    <font>
      <b/>
      <sz val="11.0"/>
      <color rgb="FF000000"/>
      <name val="Arial"/>
      <scheme val="minor"/>
    </font>
    <font>
      <b/>
      <sz val="11.0"/>
      <color theme="1"/>
      <name val="Arial"/>
      <scheme val="minor"/>
    </font>
    <font/>
    <font>
      <sz val="11.0"/>
      <color theme="1"/>
      <name val="Bookman Old Style"/>
    </font>
    <font>
      <b/>
      <color theme="1"/>
      <name val="Bookman Old Style"/>
    </font>
    <font>
      <sz val="12.0"/>
      <color rgb="FF000000"/>
      <name val="Bookman Old Style"/>
    </font>
    <font>
      <sz val="11.0"/>
      <color rgb="FF000000"/>
      <name val="Arial"/>
      <scheme val="minor"/>
    </font>
    <font>
      <sz val="11.0"/>
      <color theme="1"/>
      <name val="Arial"/>
      <scheme val="minor"/>
    </font>
    <font>
      <b/>
      <u/>
      <sz val="11.0"/>
      <color theme="1"/>
      <name val="Arial"/>
      <scheme val="minor"/>
    </font>
    <font>
      <b/>
      <u/>
      <sz val="11.0"/>
      <color rgb="FF0000FF"/>
    </font>
    <font>
      <b/>
      <u/>
      <sz val="11.0"/>
      <color rgb="FF000000"/>
    </font>
    <font>
      <u/>
      <sz val="11.0"/>
      <color rgb="FF000000"/>
      <name val="Arial"/>
      <scheme val="minor"/>
    </font>
    <font>
      <u/>
      <color theme="1"/>
      <name val="Bookman Old Style"/>
    </font>
    <font>
      <b/>
      <u/>
      <sz val="11.0"/>
      <color rgb="FF000000"/>
    </font>
    <font>
      <b/>
      <u/>
      <sz val="11.0"/>
      <color rgb="FF1155CC"/>
    </font>
    <font>
      <u/>
      <sz val="11.0"/>
      <color rgb="FF000000"/>
    </font>
    <font>
      <b/>
      <u/>
      <sz val="11.0"/>
      <color rgb="FF000000"/>
      <name val="Arial"/>
      <scheme val="minor"/>
    </font>
    <font>
      <u/>
      <sz val="11.0"/>
      <color rgb="FF0000FF"/>
    </font>
    <font>
      <u/>
      <sz val="11.0"/>
      <color rgb="FF0000FF"/>
    </font>
    <font>
      <u/>
      <sz val="11.0"/>
      <color theme="1"/>
      <name val="Arial"/>
      <scheme val="minor"/>
    </font>
    <font>
      <u/>
      <sz val="11.0"/>
      <color rgb="FF000000"/>
    </font>
    <font>
      <u/>
      <sz val="11.0"/>
      <color rgb="FF0000FF"/>
    </font>
    <font>
      <u/>
      <sz val="11.0"/>
      <color rgb="FF1155CC"/>
    </font>
    <font>
      <u/>
      <sz val="11.0"/>
      <color rgb="FF000000"/>
    </font>
    <font>
      <u/>
      <sz val="11.0"/>
      <color rgb="FF000000"/>
      <name val="Arial"/>
      <scheme val="minor"/>
    </font>
    <font>
      <u/>
      <sz val="11.0"/>
      <color rgb="FF000000"/>
      <name val="Arial"/>
      <scheme val="minor"/>
    </font>
    <font>
      <u/>
      <sz val="11.0"/>
      <color rgb="FF000000"/>
    </font>
    <font>
      <u/>
      <sz val="11.0"/>
      <color rgb="FF000000"/>
      <name val="Arial"/>
      <scheme val="minor"/>
    </font>
    <font>
      <sz val="11.0"/>
      <color rgb="FF000000"/>
    </font>
    <font>
      <u/>
      <color rgb="FF0000FF"/>
      <name val="Bookman Old Style"/>
    </font>
    <font>
      <sz val="11.0"/>
      <color rgb="FFFF0000"/>
      <name val="Arial"/>
      <scheme val="minor"/>
    </font>
    <font>
      <b/>
      <u/>
      <sz val="11.0"/>
      <color rgb="FF000000"/>
    </font>
    <font>
      <b/>
      <u/>
      <sz val="11.0"/>
      <color rgb="FF000000"/>
      <name val="Arial"/>
      <scheme val="minor"/>
    </font>
    <font>
      <sz val="11.0"/>
      <color rgb="FFFFFFFF"/>
      <name val="Arial"/>
      <scheme val="minor"/>
    </font>
    <font>
      <u/>
      <sz val="11.0"/>
      <color rgb="FF0563C1"/>
    </font>
    <font>
      <b/>
      <sz val="14.0"/>
      <color rgb="FF000000"/>
      <name val="Arial"/>
    </font>
    <font>
      <b/>
      <sz val="15.0"/>
      <color rgb="FF000000"/>
      <name val="Arial"/>
    </font>
    <font>
      <sz val="15.0"/>
      <color theme="1"/>
      <name val="Arial"/>
      <scheme val="minor"/>
    </font>
    <font>
      <b/>
      <sz val="15.0"/>
      <color theme="1"/>
      <name val="Arial"/>
      <scheme val="minor"/>
    </font>
    <font>
      <sz val="15.0"/>
      <color rgb="FF000000"/>
      <name val="Arial"/>
    </font>
    <font>
      <color theme="1"/>
      <name val="Arial"/>
      <scheme val="minor"/>
    </font>
    <font>
      <b/>
      <sz val="15.0"/>
      <color rgb="FF012828"/>
      <name val="Arial"/>
      <scheme val="minor"/>
    </font>
    <font>
      <sz val="15.0"/>
      <color rgb="FF565656"/>
      <name val="Arial"/>
      <scheme val="minor"/>
    </font>
    <font>
      <sz val="15.0"/>
      <color rgb="FF3F3F3F"/>
      <name val="Arial"/>
      <scheme val="minor"/>
    </font>
    <font>
      <sz val="15.0"/>
      <color rgb="FF262626"/>
      <name val="Arial"/>
      <scheme val="minor"/>
    </font>
    <font>
      <sz val="15.0"/>
      <color rgb="FFFF0000"/>
      <name val="Arial"/>
      <scheme val="minor"/>
    </font>
    <font>
      <b/>
      <sz val="15.0"/>
      <color theme="1"/>
      <name val="Arial"/>
    </font>
    <font>
      <color theme="1"/>
      <name val="Arial"/>
    </font>
    <font>
      <sz val="15.0"/>
      <color theme="1"/>
      <name val="Arial"/>
    </font>
    <font>
      <b/>
      <sz val="14.0"/>
      <color theme="1"/>
      <name val="Arial"/>
    </font>
    <font>
      <b/>
      <sz val="13.0"/>
      <color rgb="FF000000"/>
      <name val="Calibri"/>
    </font>
    <font>
      <b/>
      <sz val="14.0"/>
      <color rgb="FF000000"/>
      <name val="Calibri"/>
    </font>
    <font>
      <sz val="12.0"/>
      <color rgb="FF000000"/>
      <name val="Calibri"/>
    </font>
    <font>
      <b/>
      <sz val="17.0"/>
      <color rgb="FF000000"/>
      <name val="Calibri"/>
    </font>
    <font>
      <sz val="17.0"/>
      <color theme="1"/>
      <name val="Arial"/>
    </font>
    <font>
      <sz val="17.0"/>
      <color rgb="FF000000"/>
      <name val="Calibri"/>
    </font>
    <font>
      <sz val="11.0"/>
      <color rgb="FF000000"/>
      <name val="Calibri"/>
    </font>
    <font>
      <b/>
      <sz val="12.0"/>
      <color rgb="FF000000"/>
      <name val="Calibri"/>
    </font>
    <font>
      <b/>
      <sz val="18.0"/>
      <color theme="1"/>
      <name val="Arial"/>
    </font>
    <font>
      <b/>
      <color theme="1"/>
      <name val="Arial"/>
    </font>
    <font>
      <sz val="10.0"/>
      <color rgb="FF000000"/>
      <name val="Arial"/>
    </font>
    <font>
      <sz val="11.0"/>
      <color theme="1"/>
      <name val="Calibri"/>
    </font>
    <font>
      <sz val="12.0"/>
      <color theme="1"/>
      <name val="Calibri"/>
    </font>
    <font>
      <b/>
      <sz val="7.0"/>
      <color rgb="FF000000"/>
      <name val="&quot;Bookman Old Style&quot;"/>
    </font>
    <font>
      <b/>
      <sz val="14.0"/>
      <color rgb="FF000000"/>
      <name val="&quot;Bookman Old Style&quot;"/>
    </font>
    <font>
      <sz val="14.0"/>
      <color rgb="FF000000"/>
      <name val="&quot;Bookman Old Style&quot;"/>
    </font>
    <font>
      <sz val="14.0"/>
      <color rgb="FF000000"/>
      <name val="Arial"/>
    </font>
    <font>
      <sz val="14.0"/>
      <color rgb="FF7AD694"/>
      <name val="&quot;Bookman Old Style&quot;"/>
    </font>
    <font>
      <sz val="14.0"/>
      <color rgb="FFFF0000"/>
      <name val="&quot;Bookman Old Style&quot;"/>
    </font>
    <font>
      <sz val="14.0"/>
      <color theme="1"/>
      <name val="&quot;Bookman Old Style&quot;"/>
    </font>
    <font>
      <u/>
      <sz val="14.0"/>
      <color rgb="FF000000"/>
      <name val="&quot;Bookman Old Style&quot;"/>
    </font>
    <font>
      <u/>
      <sz val="14.0"/>
      <color rgb="FF000000"/>
      <name val="&quot;Bookman Old Style&quot;"/>
    </font>
    <font>
      <u/>
      <sz val="14.0"/>
      <color rgb="FFFF0000"/>
      <name val="Arial"/>
    </font>
    <font>
      <sz val="14.0"/>
      <color rgb="FF0563C1"/>
      <name val="&quot;Bookman Old Style&quot;"/>
    </font>
    <font>
      <b/>
      <sz val="12.0"/>
      <color rgb="FF000000"/>
      <name val="&quot;Bookman Old Style&quot;"/>
    </font>
    <font>
      <sz val="12.0"/>
      <color rgb="FF000000"/>
      <name val="&quot;Bookman Old Style&quot;"/>
    </font>
    <font>
      <color rgb="FF000000"/>
      <name val="Arial"/>
    </font>
    <font>
      <sz val="12.0"/>
      <color rgb="FF000000"/>
      <name val="Arial"/>
    </font>
    <font>
      <u/>
      <sz val="12.0"/>
      <color rgb="FF0000FF"/>
      <name val="&quot;Bookman Old Style&quot;"/>
    </font>
    <font>
      <u/>
      <sz val="12.0"/>
      <color rgb="FF0000FF"/>
      <name val="&quot;Bookman Old Style&quot;"/>
    </font>
    <font>
      <u/>
      <sz val="12.0"/>
      <color rgb="FF0000FF"/>
      <name val="&quot;Bookman Old Style&quot;"/>
    </font>
    <font>
      <u/>
      <sz val="12.0"/>
      <color rgb="FF0000FF"/>
      <name val="&quot;Bookman Old Style&quot;"/>
    </font>
    <font>
      <sz val="12.0"/>
      <color rgb="FFFF0000"/>
      <name val="&quot;Bookman Old Style&quot;"/>
    </font>
    <font>
      <u/>
      <sz val="12.0"/>
      <color rgb="FF0000FF"/>
      <name val="&quot;Bookman Old Style&quot;"/>
    </font>
    <font>
      <u/>
      <sz val="12.0"/>
      <color rgb="FF0000FF"/>
      <name val="&quot;Bookman Old Style&quot;"/>
    </font>
    <font>
      <sz val="11.0"/>
      <color rgb="FF000000"/>
      <name val="Arial"/>
    </font>
    <font>
      <b/>
      <color theme="1"/>
      <name val="Arial"/>
      <scheme val="minor"/>
    </font>
    <font>
      <b/>
      <sz val="11.0"/>
      <color theme="1"/>
      <name val="Calibri"/>
    </font>
    <font>
      <b/>
      <sz val="13.0"/>
      <color theme="1"/>
      <name val="Arial"/>
      <scheme val="minor"/>
    </font>
    <font>
      <b/>
      <u/>
      <sz val="13.0"/>
      <color rgb="FF0000FF"/>
    </font>
    <font>
      <sz val="12.0"/>
      <color theme="1"/>
      <name val="Arial"/>
    </font>
    <font>
      <sz val="14.0"/>
      <color theme="1"/>
      <name val="Arial"/>
    </font>
    <font>
      <sz val="14.0"/>
      <color theme="1"/>
      <name val="Arial"/>
      <scheme val="minor"/>
    </font>
    <font>
      <u/>
      <sz val="12.0"/>
      <color rgb="FF0000FF"/>
      <name val="&quot;Bookman Old Style&quot;"/>
    </font>
    <font>
      <u/>
      <sz val="12.0"/>
      <color rgb="FF1155CC"/>
      <name val="Bookman Old Style"/>
    </font>
    <font>
      <sz val="12.0"/>
      <color theme="1"/>
      <name val="Bookman Old Style"/>
    </font>
    <font>
      <u/>
      <sz val="12.0"/>
      <color rgb="FF1155CC"/>
      <name val="Bookman Old Style"/>
    </font>
    <font>
      <u/>
      <sz val="12.0"/>
      <color rgb="FF0000FF"/>
      <name val="&quot;Bookman Old Style&quot;"/>
    </font>
    <font>
      <u/>
      <sz val="12.0"/>
      <color rgb="FF1155CC"/>
      <name val="Bookman Old Style"/>
    </font>
    <font>
      <u/>
      <sz val="12.0"/>
      <color rgb="FF0000FF"/>
      <name val="&quot;Bookman Old Style&quot;"/>
    </font>
  </fonts>
  <fills count="41">
    <fill>
      <patternFill patternType="none"/>
    </fill>
    <fill>
      <patternFill patternType="lightGray"/>
    </fill>
    <fill>
      <patternFill patternType="solid">
        <fgColor rgb="FFFBBC04"/>
        <bgColor rgb="FFFBBC04"/>
      </patternFill>
    </fill>
    <fill>
      <patternFill patternType="solid">
        <fgColor rgb="FFFFC599"/>
        <bgColor rgb="FFFFC599"/>
      </patternFill>
    </fill>
    <fill>
      <patternFill patternType="solid">
        <fgColor rgb="FFF1C232"/>
        <bgColor rgb="FFF1C232"/>
      </patternFill>
    </fill>
    <fill>
      <patternFill patternType="solid">
        <fgColor rgb="FF8ED7DD"/>
        <bgColor rgb="FF8ED7DD"/>
      </patternFill>
    </fill>
    <fill>
      <patternFill patternType="solid">
        <fgColor rgb="FF7AD694"/>
        <bgColor rgb="FF7AD694"/>
      </patternFill>
    </fill>
    <fill>
      <patternFill patternType="solid">
        <fgColor rgb="FFFFFFFF"/>
        <bgColor rgb="FFFFFFFF"/>
      </patternFill>
    </fill>
    <fill>
      <patternFill patternType="solid">
        <fgColor theme="0"/>
        <bgColor theme="0"/>
      </patternFill>
    </fill>
    <fill>
      <patternFill patternType="solid">
        <fgColor rgb="FFB7B7B7"/>
        <bgColor rgb="FFB7B7B7"/>
      </patternFill>
    </fill>
    <fill>
      <patternFill patternType="solid">
        <fgColor rgb="FFFF9900"/>
        <bgColor rgb="FFFF9900"/>
      </patternFill>
    </fill>
    <fill>
      <patternFill patternType="solid">
        <fgColor rgb="FF00FFFF"/>
        <bgColor rgb="FF00FFFF"/>
      </patternFill>
    </fill>
    <fill>
      <patternFill patternType="solid">
        <fgColor rgb="FFF3F3F3"/>
        <bgColor rgb="FFF3F3F3"/>
      </patternFill>
    </fill>
    <fill>
      <patternFill patternType="solid">
        <fgColor rgb="FFFFE599"/>
        <bgColor rgb="FFFFE599"/>
      </patternFill>
    </fill>
    <fill>
      <patternFill patternType="solid">
        <fgColor rgb="FFFFF2CC"/>
        <bgColor rgb="FFFFF2CC"/>
      </patternFill>
    </fill>
    <fill>
      <patternFill patternType="solid">
        <fgColor theme="6"/>
        <bgColor theme="6"/>
      </patternFill>
    </fill>
    <fill>
      <patternFill patternType="solid">
        <fgColor rgb="FF66FFFF"/>
        <bgColor rgb="FF66FFFF"/>
      </patternFill>
    </fill>
    <fill>
      <patternFill patternType="solid">
        <fgColor rgb="FF93C47D"/>
        <bgColor rgb="FF93C47D"/>
      </patternFill>
    </fill>
    <fill>
      <patternFill patternType="solid">
        <fgColor rgb="FF76A5AF"/>
        <bgColor rgb="FF76A5AF"/>
      </patternFill>
    </fill>
    <fill>
      <patternFill patternType="solid">
        <fgColor rgb="FFFCE5CD"/>
        <bgColor rgb="FFFCE5CD"/>
      </patternFill>
    </fill>
    <fill>
      <patternFill patternType="solid">
        <fgColor rgb="FFD0E0E3"/>
        <bgColor rgb="FFD0E0E3"/>
      </patternFill>
    </fill>
    <fill>
      <patternFill patternType="solid">
        <fgColor rgb="FFD9EAD3"/>
        <bgColor rgb="FFD9EAD3"/>
      </patternFill>
    </fill>
    <fill>
      <patternFill patternType="solid">
        <fgColor rgb="FF4285F4"/>
        <bgColor rgb="FF4285F4"/>
      </patternFill>
    </fill>
    <fill>
      <patternFill patternType="solid">
        <fgColor rgb="FF46BDC6"/>
        <bgColor rgb="FF46BDC6"/>
      </patternFill>
    </fill>
    <fill>
      <patternFill patternType="solid">
        <fgColor rgb="FFDAF1F3"/>
        <bgColor rgb="FFDAF1F3"/>
      </patternFill>
    </fill>
    <fill>
      <patternFill patternType="solid">
        <fgColor rgb="FFD9D9D9"/>
        <bgColor rgb="FFD9D9D9"/>
      </patternFill>
    </fill>
    <fill>
      <patternFill patternType="solid">
        <fgColor rgb="FF34A853"/>
        <bgColor rgb="FF34A853"/>
      </patternFill>
    </fill>
    <fill>
      <patternFill patternType="solid">
        <fgColor rgb="FFFFD966"/>
        <bgColor rgb="FFFFD966"/>
      </patternFill>
    </fill>
    <fill>
      <patternFill patternType="solid">
        <fgColor rgb="FFFFFF00"/>
        <bgColor rgb="FFFFFF00"/>
      </patternFill>
    </fill>
    <fill>
      <patternFill patternType="solid">
        <fgColor rgb="FFFF0000"/>
        <bgColor rgb="FFFF0000"/>
      </patternFill>
    </fill>
    <fill>
      <patternFill patternType="solid">
        <fgColor rgb="FFFFC499"/>
        <bgColor rgb="FFFFC499"/>
      </patternFill>
    </fill>
    <fill>
      <patternFill patternType="solid">
        <fgColor rgb="FF63BE7B"/>
        <bgColor rgb="FF63BE7B"/>
      </patternFill>
    </fill>
    <fill>
      <patternFill patternType="solid">
        <fgColor rgb="FFFFEB84"/>
        <bgColor rgb="FFFFEB84"/>
      </patternFill>
    </fill>
    <fill>
      <patternFill patternType="solid">
        <fgColor rgb="FFFA9473"/>
        <bgColor rgb="FFFA9473"/>
      </patternFill>
    </fill>
    <fill>
      <patternFill patternType="solid">
        <fgColor rgb="FFB1D580"/>
        <bgColor rgb="FFB1D580"/>
      </patternFill>
    </fill>
    <fill>
      <patternFill patternType="solid">
        <fgColor rgb="FFF4CCCC"/>
        <bgColor rgb="FFF4CCCC"/>
      </patternFill>
    </fill>
    <fill>
      <patternFill patternType="solid">
        <fgColor rgb="FFFF00FF"/>
        <bgColor rgb="FFFF00FF"/>
      </patternFill>
    </fill>
    <fill>
      <patternFill patternType="solid">
        <fgColor rgb="FFFCBF7B"/>
        <bgColor rgb="FFFCBF7B"/>
      </patternFill>
    </fill>
    <fill>
      <patternFill patternType="solid">
        <fgColor rgb="FF8ACA7E"/>
        <bgColor rgb="FF8ACA7E"/>
      </patternFill>
    </fill>
    <fill>
      <patternFill patternType="solid">
        <fgColor rgb="FF92D050"/>
        <bgColor rgb="FF92D050"/>
      </patternFill>
    </fill>
    <fill>
      <patternFill patternType="solid">
        <fgColor rgb="FFFFC000"/>
        <bgColor rgb="FFFFC000"/>
      </patternFill>
    </fill>
  </fills>
  <borders count="35">
    <border/>
    <border>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484848"/>
      </right>
      <bottom style="thin">
        <color rgb="FF444444"/>
      </bottom>
    </border>
    <border>
      <bottom style="thin">
        <color rgb="FF444444"/>
      </bottom>
    </border>
    <border>
      <right style="thin">
        <color rgb="FF4B4B4B"/>
      </right>
      <bottom style="thin">
        <color rgb="FF4B4B4B"/>
      </bottom>
    </border>
    <border>
      <right style="thin">
        <color rgb="FF484848"/>
      </right>
      <bottom style="thin">
        <color rgb="FF4B4B4B"/>
      </bottom>
    </border>
    <border>
      <bottom style="thin">
        <color rgb="FF4B4B4B"/>
      </bottom>
    </border>
    <border>
      <right style="thin">
        <color rgb="FF4B4B4B"/>
      </right>
      <bottom style="thin">
        <color rgb="FF606060"/>
      </bottom>
    </border>
    <border>
      <right style="thin">
        <color rgb="FF484848"/>
      </right>
      <bottom style="thin">
        <color rgb="FF606060"/>
      </bottom>
    </border>
    <border>
      <bottom style="thin">
        <color rgb="FF606060"/>
      </bottom>
    </border>
    <border>
      <right style="thin">
        <color rgb="FF4B4B4B"/>
      </right>
      <bottom style="thin">
        <color rgb="FF383838"/>
      </bottom>
    </border>
    <border>
      <right style="thin">
        <color rgb="FF484848"/>
      </right>
      <bottom style="thin">
        <color rgb="FF383838"/>
      </bottom>
    </border>
    <border>
      <bottom style="thin">
        <color rgb="FF383838"/>
      </bottom>
    </border>
    <border>
      <right style="thin">
        <color rgb="FF4B4B4B"/>
      </right>
      <bottom style="thin">
        <color rgb="FF646464"/>
      </bottom>
    </border>
    <border>
      <right style="thin">
        <color rgb="FF484848"/>
      </right>
      <bottom style="thin">
        <color rgb="FF646464"/>
      </bottom>
    </border>
    <border>
      <bottom style="thin">
        <color rgb="FF646464"/>
      </bottom>
    </border>
    <border>
      <right style="thin">
        <color rgb="FF4B4B4B"/>
      </right>
      <bottom style="thin">
        <color rgb="FF5B5B5B"/>
      </bottom>
    </border>
    <border>
      <right style="thin">
        <color rgb="FF484848"/>
      </right>
      <bottom style="thin">
        <color rgb="FF5B5B5B"/>
      </bottom>
    </border>
    <border>
      <bottom style="thin">
        <color rgb="FF5B5B5B"/>
      </bottom>
    </border>
    <border>
      <right style="thin">
        <color rgb="FF4B4B4B"/>
      </right>
      <bottom style="thin">
        <color rgb="FF000000"/>
      </bottom>
    </border>
    <border>
      <right style="thin">
        <color rgb="FF484848"/>
      </right>
      <bottom style="thin">
        <color rgb="FF000000"/>
      </bottom>
    </border>
    <border>
      <right style="thin">
        <color rgb="FF000000"/>
      </right>
    </border>
    <border>
      <left style="thin">
        <color rgb="FF000000"/>
      </left>
    </border>
  </borders>
  <cellStyleXfs count="1">
    <xf borderId="0" fillId="0" fontId="0" numFmtId="0" applyAlignment="1" applyFont="1"/>
  </cellStyleXfs>
  <cellXfs count="73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2" numFmtId="0" xfId="0" applyAlignment="1" applyBorder="1" applyFont="1">
      <alignment horizontal="center"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vertical="center"/>
    </xf>
    <xf borderId="0" fillId="2" fontId="2" numFmtId="0" xfId="0" applyAlignment="1" applyFont="1">
      <alignment horizontal="left" readingOrder="0" shrinkToFit="0" vertical="center" wrapText="0"/>
    </xf>
    <xf borderId="2" fillId="2" fontId="2" numFmtId="0" xfId="0" applyAlignment="1" applyBorder="1" applyFont="1">
      <alignment horizontal="left" readingOrder="0" shrinkToFit="0" vertical="center" wrapText="0"/>
    </xf>
    <xf borderId="2" fillId="2" fontId="2" numFmtId="0" xfId="0" applyAlignment="1" applyBorder="1" applyFont="1">
      <alignment horizontal="center" readingOrder="0" shrinkToFit="0" vertical="center" wrapText="0"/>
    </xf>
    <xf borderId="2" fillId="2" fontId="2" numFmtId="0" xfId="0" applyAlignment="1" applyBorder="1" applyFont="1">
      <alignment horizontal="center" readingOrder="0" shrinkToFit="0" vertical="center" wrapText="1"/>
    </xf>
    <xf borderId="2" fillId="2" fontId="2" numFmtId="0" xfId="0" applyAlignment="1" applyBorder="1" applyFont="1">
      <alignment horizontal="left" readingOrder="0" shrinkToFit="0" vertical="center" wrapText="1"/>
    </xf>
    <xf borderId="0" fillId="0" fontId="3" numFmtId="0" xfId="0" applyAlignment="1" applyFont="1">
      <alignment shrinkToFit="0" vertical="center" wrapText="1"/>
    </xf>
    <xf borderId="0" fillId="0" fontId="3" numFmtId="0" xfId="0" applyAlignment="1" applyFont="1">
      <alignment horizontal="center" vertical="center"/>
    </xf>
    <xf borderId="0" fillId="0" fontId="3" numFmtId="2" xfId="0" applyAlignment="1" applyFont="1" applyNumberFormat="1">
      <alignment vertical="center"/>
    </xf>
    <xf borderId="0" fillId="0" fontId="3" numFmtId="0" xfId="0" applyAlignment="1" applyFont="1">
      <alignment horizontal="left" shrinkToFit="0" vertical="center" wrapText="1"/>
    </xf>
    <xf borderId="0" fillId="3" fontId="2" numFmtId="0" xfId="0" applyAlignment="1" applyFill="1" applyFont="1">
      <alignment horizontal="center" readingOrder="0" vertical="center"/>
    </xf>
    <xf borderId="3" fillId="3" fontId="4" numFmtId="0" xfId="0" applyAlignment="1" applyBorder="1" applyFont="1">
      <alignment horizontal="center" readingOrder="0" vertical="center"/>
    </xf>
    <xf borderId="4" fillId="3" fontId="4" numFmtId="0" xfId="0" applyAlignment="1" applyBorder="1" applyFont="1">
      <alignment horizontal="center" readingOrder="0" vertical="center"/>
    </xf>
    <xf borderId="5" fillId="4" fontId="5" numFmtId="0" xfId="0" applyAlignment="1" applyBorder="1" applyFill="1" applyFont="1">
      <alignment horizontal="center" readingOrder="0" shrinkToFit="0" vertical="center" wrapText="1"/>
    </xf>
    <xf borderId="6" fillId="0" fontId="6" numFmtId="0" xfId="0" applyBorder="1" applyFont="1"/>
    <xf borderId="7" fillId="0" fontId="6" numFmtId="0" xfId="0" applyBorder="1" applyFont="1"/>
    <xf borderId="5" fillId="5" fontId="4" numFmtId="0" xfId="0" applyAlignment="1" applyBorder="1" applyFill="1" applyFont="1">
      <alignment horizontal="center" readingOrder="0" shrinkToFit="0" vertical="center" wrapText="0"/>
    </xf>
    <xf borderId="8" fillId="6" fontId="5" numFmtId="0" xfId="0" applyAlignment="1" applyBorder="1" applyFill="1" applyFont="1">
      <alignment horizontal="center" readingOrder="0" shrinkToFit="0" vertical="center" wrapText="0"/>
    </xf>
    <xf borderId="9" fillId="0" fontId="6" numFmtId="0" xfId="0" applyBorder="1" applyFont="1"/>
    <xf borderId="5" fillId="6" fontId="5"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0" fillId="0" fontId="7" numFmtId="0" xfId="0" applyAlignment="1" applyFont="1">
      <alignment readingOrder="0" vertical="center"/>
    </xf>
    <xf borderId="10" fillId="0" fontId="6" numFmtId="0" xfId="0" applyBorder="1" applyFont="1"/>
    <xf borderId="5" fillId="2" fontId="4" numFmtId="0" xfId="0" applyAlignment="1" applyBorder="1" applyFont="1">
      <alignment horizontal="center" readingOrder="0" shrinkToFit="0" vertical="center" wrapText="1"/>
    </xf>
    <xf borderId="5" fillId="2" fontId="4" numFmtId="0" xfId="0" applyAlignment="1" applyBorder="1" applyFont="1">
      <alignment horizontal="center" readingOrder="0" shrinkToFit="0" vertical="center" wrapText="0"/>
    </xf>
    <xf borderId="11" fillId="0" fontId="6" numFmtId="0" xfId="0" applyBorder="1" applyFont="1"/>
    <xf borderId="12" fillId="0" fontId="6" numFmtId="0" xfId="0" applyBorder="1" applyFont="1"/>
    <xf borderId="4" fillId="6" fontId="5" numFmtId="0" xfId="0" applyAlignment="1" applyBorder="1" applyFont="1">
      <alignment horizontal="center" readingOrder="0" shrinkToFit="0" vertical="center" wrapText="1"/>
    </xf>
    <xf borderId="4" fillId="6" fontId="5" numFmtId="2" xfId="0" applyAlignment="1" applyBorder="1" applyFont="1" applyNumberFormat="1">
      <alignment horizontal="center" readingOrder="0" shrinkToFit="0" vertical="center" wrapText="1"/>
    </xf>
    <xf borderId="0" fillId="0" fontId="8" numFmtId="0" xfId="0" applyAlignment="1" applyFont="1">
      <alignment horizontal="center" readingOrder="0" vertical="center"/>
    </xf>
    <xf borderId="4" fillId="2" fontId="4" numFmtId="0" xfId="0" applyAlignment="1" applyBorder="1" applyFont="1">
      <alignment horizontal="center" readingOrder="0" shrinkToFit="0" vertical="center" wrapText="1"/>
    </xf>
    <xf borderId="3" fillId="2" fontId="4" numFmtId="0" xfId="0" applyAlignment="1" applyBorder="1" applyFont="1">
      <alignment horizontal="center" readingOrder="0" shrinkToFit="0" vertical="center" wrapText="1"/>
    </xf>
    <xf borderId="5" fillId="5" fontId="4" numFmtId="0" xfId="0" applyAlignment="1" applyBorder="1" applyFont="1">
      <alignment horizontal="center" readingOrder="0" shrinkToFit="0" vertical="center" wrapText="1"/>
    </xf>
    <xf borderId="4" fillId="5" fontId="4" numFmtId="0" xfId="0" applyAlignment="1" applyBorder="1" applyFont="1">
      <alignment horizontal="center" readingOrder="0" shrinkToFit="0" vertical="center" wrapText="1"/>
    </xf>
    <xf borderId="3" fillId="6" fontId="5" numFmtId="0" xfId="0" applyAlignment="1" applyBorder="1" applyFont="1">
      <alignment horizontal="center" readingOrder="0" shrinkToFit="0" vertical="center" wrapText="1"/>
    </xf>
    <xf borderId="13" fillId="0" fontId="6" numFmtId="0" xfId="0" applyBorder="1" applyFont="1"/>
    <xf borderId="3" fillId="5" fontId="4" numFmtId="0" xfId="0" applyAlignment="1" applyBorder="1" applyFont="1">
      <alignment horizontal="center" readingOrder="0" shrinkToFit="0" vertical="center" wrapText="1"/>
    </xf>
    <xf borderId="3" fillId="6" fontId="5" numFmtId="2" xfId="0" applyAlignment="1" applyBorder="1" applyFont="1" applyNumberFormat="1">
      <alignment horizontal="center" readingOrder="0" shrinkToFit="0" vertical="center" wrapText="1"/>
    </xf>
    <xf borderId="0" fillId="0" fontId="9" numFmtId="0" xfId="0" applyAlignment="1" applyFont="1">
      <alignment horizontal="center" readingOrder="0" shrinkToFit="0" vertical="center" wrapText="0"/>
    </xf>
    <xf borderId="3" fillId="0" fontId="10" numFmtId="0" xfId="0" applyAlignment="1" applyBorder="1" applyFont="1">
      <alignment horizontal="center" readingOrder="0" shrinkToFit="0" vertical="center" wrapText="0"/>
    </xf>
    <xf borderId="3" fillId="0" fontId="10" numFmtId="0" xfId="0" applyAlignment="1" applyBorder="1" applyFont="1">
      <alignment readingOrder="0" vertical="center"/>
    </xf>
    <xf borderId="3" fillId="0" fontId="11" numFmtId="0" xfId="0" applyAlignment="1" applyBorder="1" applyFont="1">
      <alignment horizontal="center" readingOrder="0" vertical="top"/>
    </xf>
    <xf borderId="3" fillId="0" fontId="10" numFmtId="0" xfId="0" applyAlignment="1" applyBorder="1" applyFont="1">
      <alignment horizontal="center" shrinkToFit="0" vertical="center" wrapText="0"/>
    </xf>
    <xf borderId="3" fillId="0" fontId="10" numFmtId="0" xfId="0" applyAlignment="1" applyBorder="1" applyFont="1">
      <alignment horizontal="center" shrinkToFit="0" vertical="center" wrapText="1"/>
    </xf>
    <xf borderId="3" fillId="0" fontId="10" numFmtId="2" xfId="0" applyAlignment="1" applyBorder="1" applyFont="1" applyNumberFormat="1">
      <alignment horizontal="center" shrinkToFit="0" vertical="center" wrapText="0"/>
    </xf>
    <xf borderId="4" fillId="0" fontId="4" numFmtId="0" xfId="0" applyAlignment="1" applyBorder="1" applyFont="1">
      <alignment horizontal="left" readingOrder="0" shrinkToFit="0" vertical="center" wrapText="1"/>
    </xf>
    <xf borderId="3" fillId="0" fontId="10" numFmtId="0" xfId="0" applyAlignment="1" applyBorder="1" applyFont="1">
      <alignment vertical="center"/>
    </xf>
    <xf borderId="3" fillId="0" fontId="11" numFmtId="0" xfId="0" applyAlignment="1" applyBorder="1" applyFont="1">
      <alignment horizontal="center"/>
    </xf>
    <xf borderId="3" fillId="0" fontId="11" numFmtId="0" xfId="0" applyAlignment="1" applyBorder="1" applyFont="1">
      <alignment horizontal="center" readingOrder="0" vertical="center"/>
    </xf>
    <xf borderId="3" fillId="0" fontId="10" numFmtId="0" xfId="0" applyAlignment="1" applyBorder="1" applyFont="1">
      <alignment horizontal="center" readingOrder="0" shrinkToFit="0" vertical="center" wrapText="1"/>
    </xf>
    <xf borderId="3" fillId="0" fontId="10" numFmtId="2" xfId="0" applyAlignment="1" applyBorder="1" applyFont="1" applyNumberFormat="1">
      <alignment horizontal="center" readingOrder="0" shrinkToFit="0" vertical="center" wrapText="0"/>
    </xf>
    <xf borderId="3" fillId="0" fontId="10" numFmtId="0" xfId="0" applyAlignment="1" applyBorder="1" applyFont="1">
      <alignment horizontal="center" shrinkToFit="0" vertical="top" wrapText="0"/>
    </xf>
    <xf borderId="3" fillId="0" fontId="10" numFmtId="164" xfId="0" applyAlignment="1" applyBorder="1" applyFont="1" applyNumberFormat="1">
      <alignment horizontal="center" readingOrder="0" shrinkToFit="0" vertical="center" wrapText="0"/>
    </xf>
    <xf borderId="3" fillId="0" fontId="10" numFmtId="0" xfId="0" applyAlignment="1" applyBorder="1" applyFont="1">
      <alignment horizontal="left" readingOrder="0" shrinkToFit="0" vertical="center" wrapText="1"/>
    </xf>
    <xf borderId="3" fillId="7" fontId="10" numFmtId="0" xfId="0" applyAlignment="1" applyBorder="1" applyFill="1" applyFont="1">
      <alignment horizontal="center" readingOrder="0" shrinkToFit="0" vertical="center" wrapText="0"/>
    </xf>
    <xf borderId="3" fillId="0" fontId="4" numFmtId="0" xfId="0" applyAlignment="1" applyBorder="1" applyFont="1">
      <alignment horizontal="center" readingOrder="0" shrinkToFit="0" vertical="center" wrapText="0"/>
    </xf>
    <xf borderId="3" fillId="0" fontId="10" numFmtId="0" xfId="0" applyAlignment="1" applyBorder="1" applyFont="1">
      <alignment shrinkToFit="0" vertical="center" wrapText="0"/>
    </xf>
    <xf borderId="3" fillId="0" fontId="12" numFmtId="0" xfId="0" applyAlignment="1" applyBorder="1" applyFont="1">
      <alignment horizontal="left" readingOrder="0" shrinkToFit="0" vertical="center" wrapText="1"/>
    </xf>
    <xf borderId="3" fillId="0" fontId="13" numFmtId="0" xfId="0" applyAlignment="1" applyBorder="1" applyFont="1">
      <alignment horizontal="left" readingOrder="0" shrinkToFit="0" vertical="center" wrapText="1"/>
    </xf>
    <xf borderId="3" fillId="0" fontId="14" numFmtId="0" xfId="0" applyAlignment="1" applyBorder="1" applyFont="1">
      <alignment horizontal="left" readingOrder="0" shrinkToFit="0" vertical="center" wrapText="1"/>
    </xf>
    <xf borderId="3" fillId="0" fontId="15" numFmtId="0" xfId="0" applyAlignment="1" applyBorder="1" applyFont="1">
      <alignment horizontal="left" readingOrder="0" shrinkToFit="0" vertical="center" wrapText="1"/>
    </xf>
    <xf borderId="0" fillId="0" fontId="16" numFmtId="0" xfId="0" applyAlignment="1" applyFont="1">
      <alignment readingOrder="0" vertical="center"/>
    </xf>
    <xf borderId="0" fillId="0" fontId="3" numFmtId="0" xfId="0" applyAlignment="1" applyFont="1">
      <alignment readingOrder="0" shrinkToFit="0" vertical="center" wrapText="1"/>
    </xf>
    <xf borderId="3" fillId="0" fontId="4" numFmtId="0" xfId="0" applyAlignment="1" applyBorder="1" applyFont="1">
      <alignment horizontal="left" shrinkToFit="0" vertical="center" wrapText="1"/>
    </xf>
    <xf borderId="0" fillId="0" fontId="3" numFmtId="0" xfId="0" applyAlignment="1" applyFont="1">
      <alignment readingOrder="0" vertical="center"/>
    </xf>
    <xf borderId="3" fillId="0" fontId="17" numFmtId="0" xfId="0" applyAlignment="1" applyBorder="1" applyFont="1">
      <alignment horizontal="left" readingOrder="0" shrinkToFit="0" vertical="center" wrapText="1"/>
    </xf>
    <xf borderId="3" fillId="0" fontId="18" numFmtId="0" xfId="0" applyAlignment="1" applyBorder="1" applyFont="1">
      <alignment horizontal="left" readingOrder="0" shrinkToFit="0" wrapText="1"/>
    </xf>
    <xf borderId="3" fillId="0" fontId="11" numFmtId="0" xfId="0" applyAlignment="1" applyBorder="1" applyFont="1">
      <alignment horizontal="center" readingOrder="0" shrinkToFit="0" vertical="center" wrapText="0"/>
    </xf>
    <xf borderId="3" fillId="0" fontId="19" numFmtId="0" xfId="0" applyAlignment="1" applyBorder="1" applyFont="1">
      <alignment horizontal="left" readingOrder="0" shrinkToFit="0" vertical="center" wrapText="1"/>
    </xf>
    <xf borderId="3" fillId="0" fontId="20" numFmtId="0" xfId="0" applyAlignment="1" applyBorder="1" applyFont="1">
      <alignment horizontal="left" readingOrder="0" shrinkToFit="0" vertical="center" wrapText="1"/>
    </xf>
    <xf borderId="3" fillId="0" fontId="11" numFmtId="0" xfId="0" applyBorder="1" applyFont="1"/>
    <xf borderId="3" fillId="0" fontId="21" numFmtId="0" xfId="0" applyAlignment="1" applyBorder="1" applyFont="1">
      <alignment horizontal="left" readingOrder="0" shrinkToFit="0" vertical="center" wrapText="1"/>
    </xf>
    <xf borderId="3" fillId="0" fontId="22" numFmtId="0" xfId="0" applyAlignment="1" applyBorder="1" applyFont="1">
      <alignment horizontal="left" readingOrder="0" shrinkToFit="0" vertical="center" wrapText="1"/>
    </xf>
    <xf borderId="3" fillId="0" fontId="23" numFmtId="0" xfId="0" applyAlignment="1" applyBorder="1" applyFont="1">
      <alignment horizontal="left" readingOrder="0" shrinkToFit="0" vertical="center" wrapText="1"/>
    </xf>
    <xf borderId="3" fillId="0" fontId="5" numFmtId="0" xfId="0" applyAlignment="1" applyBorder="1" applyFont="1">
      <alignment horizontal="center" readingOrder="0" vertical="top"/>
    </xf>
    <xf borderId="3" fillId="0" fontId="24" numFmtId="0" xfId="0" applyAlignment="1" applyBorder="1" applyFont="1">
      <alignment horizontal="left" readingOrder="0" shrinkToFit="0" vertical="center" wrapText="1"/>
    </xf>
    <xf borderId="3" fillId="0" fontId="10" numFmtId="0" xfId="0" applyAlignment="1" applyBorder="1" applyFont="1">
      <alignment horizontal="left" readingOrder="0" shrinkToFit="0" vertical="center" wrapText="0"/>
    </xf>
    <xf borderId="3" fillId="0" fontId="25" numFmtId="0" xfId="0" applyAlignment="1" applyBorder="1" applyFont="1">
      <alignment horizontal="left" readingOrder="0" shrinkToFit="0" wrapText="1"/>
    </xf>
    <xf borderId="3" fillId="0" fontId="26" numFmtId="0" xfId="0" applyAlignment="1" applyBorder="1" applyFont="1">
      <alignment horizontal="left" readingOrder="0" shrinkToFit="0" vertical="center" wrapText="1"/>
    </xf>
    <xf borderId="3" fillId="0" fontId="27" numFmtId="0" xfId="0" applyAlignment="1" applyBorder="1" applyFont="1">
      <alignment horizontal="left" readingOrder="0" shrinkToFit="0" vertical="center" wrapText="1"/>
    </xf>
    <xf borderId="3" fillId="0" fontId="28" numFmtId="0" xfId="0" applyAlignment="1" applyBorder="1" applyFont="1">
      <alignment horizontal="left" readingOrder="0" shrinkToFit="0" vertical="center" wrapText="1"/>
    </xf>
    <xf borderId="3" fillId="0" fontId="29" numFmtId="0" xfId="0" applyAlignment="1" applyBorder="1" applyFont="1">
      <alignment horizontal="left" readingOrder="0" shrinkToFit="0" vertical="center" wrapText="1"/>
    </xf>
    <xf borderId="3" fillId="0" fontId="10" numFmtId="0" xfId="0" applyAlignment="1" applyBorder="1" applyFont="1">
      <alignment horizontal="left" readingOrder="0" shrinkToFit="0" vertical="center" wrapText="1"/>
    </xf>
    <xf borderId="0" fillId="8" fontId="9" numFmtId="0" xfId="0" applyAlignment="1" applyFill="1" applyFont="1">
      <alignment horizontal="center" readingOrder="0" shrinkToFit="0" vertical="center" wrapText="0"/>
    </xf>
    <xf borderId="3" fillId="8" fontId="10" numFmtId="0" xfId="0" applyAlignment="1" applyBorder="1" applyFont="1">
      <alignment horizontal="center" readingOrder="0" shrinkToFit="0" vertical="center" wrapText="0"/>
    </xf>
    <xf borderId="3" fillId="8" fontId="10" numFmtId="0" xfId="0" applyAlignment="1" applyBorder="1" applyFont="1">
      <alignment vertical="center"/>
    </xf>
    <xf borderId="3" fillId="8" fontId="10" numFmtId="0" xfId="0" applyAlignment="1" applyBorder="1" applyFont="1">
      <alignment horizontal="center" shrinkToFit="0" vertical="center" wrapText="0"/>
    </xf>
    <xf borderId="3" fillId="8" fontId="10" numFmtId="0" xfId="0" applyAlignment="1" applyBorder="1" applyFont="1">
      <alignment horizontal="center" shrinkToFit="0" vertical="center" wrapText="1"/>
    </xf>
    <xf borderId="3" fillId="8" fontId="10" numFmtId="2" xfId="0" applyAlignment="1" applyBorder="1" applyFont="1" applyNumberFormat="1">
      <alignment horizontal="center" shrinkToFit="0" vertical="center" wrapText="0"/>
    </xf>
    <xf borderId="3" fillId="8" fontId="10" numFmtId="0" xfId="0" applyAlignment="1" applyBorder="1" applyFont="1">
      <alignment horizontal="left" readingOrder="0" shrinkToFit="0" vertical="center" wrapText="1"/>
    </xf>
    <xf borderId="0" fillId="8" fontId="3" numFmtId="0" xfId="0" applyAlignment="1" applyFont="1">
      <alignment readingOrder="0" vertical="center"/>
    </xf>
    <xf borderId="0" fillId="8" fontId="7" numFmtId="0" xfId="0" applyAlignment="1" applyFont="1">
      <alignment readingOrder="0" shrinkToFit="0" vertical="center" wrapText="1"/>
    </xf>
    <xf borderId="0" fillId="8" fontId="3" numFmtId="0" xfId="0" applyAlignment="1" applyFont="1">
      <alignment vertical="center"/>
    </xf>
    <xf borderId="3" fillId="8" fontId="10" numFmtId="0" xfId="0" applyAlignment="1" applyBorder="1" applyFont="1">
      <alignment horizontal="center" readingOrder="0" shrinkToFit="0" vertical="center" wrapText="1"/>
    </xf>
    <xf borderId="3" fillId="8" fontId="10" numFmtId="2" xfId="0" applyAlignment="1" applyBorder="1" applyFont="1" applyNumberFormat="1">
      <alignment horizontal="center" readingOrder="0" shrinkToFit="0" vertical="center" wrapText="0"/>
    </xf>
    <xf borderId="3" fillId="8" fontId="30" numFmtId="0" xfId="0" applyAlignment="1" applyBorder="1" applyFont="1">
      <alignment horizontal="left" readingOrder="0" shrinkToFit="0" vertical="center" wrapText="1"/>
    </xf>
    <xf borderId="0" fillId="8" fontId="3" numFmtId="0" xfId="0" applyAlignment="1" applyFont="1">
      <alignment shrinkToFit="0" vertical="center" wrapText="1"/>
    </xf>
    <xf borderId="3" fillId="8" fontId="31" numFmtId="0" xfId="0" applyAlignment="1" applyBorder="1" applyFont="1">
      <alignment horizontal="left" readingOrder="0" shrinkToFit="0" vertical="center" wrapText="1"/>
    </xf>
    <xf borderId="3" fillId="0" fontId="32" numFmtId="0" xfId="0" applyAlignment="1" applyBorder="1" applyFont="1">
      <alignment horizontal="left" readingOrder="0" shrinkToFit="0" vertical="center" wrapText="1"/>
    </xf>
    <xf borderId="0" fillId="0" fontId="33" numFmtId="0" xfId="0" applyAlignment="1" applyFont="1">
      <alignment readingOrder="0" vertical="center"/>
    </xf>
    <xf borderId="3" fillId="8" fontId="10" numFmtId="0" xfId="0" applyAlignment="1" applyBorder="1" applyFont="1">
      <alignment readingOrder="0" vertical="center"/>
    </xf>
    <xf quotePrefix="1" borderId="0" fillId="0" fontId="3" numFmtId="0" xfId="0" applyAlignment="1" applyFont="1">
      <alignment readingOrder="0" vertical="center"/>
    </xf>
    <xf borderId="3" fillId="0" fontId="34" numFmtId="0" xfId="0" applyAlignment="1" applyBorder="1" applyFont="1">
      <alignment horizontal="center" readingOrder="0" shrinkToFit="0" vertical="center" wrapText="0"/>
    </xf>
    <xf borderId="3" fillId="0" fontId="35" numFmtId="0" xfId="0" applyAlignment="1" applyBorder="1" applyFont="1">
      <alignment horizontal="left" readingOrder="0" shrinkToFit="0" vertical="top" wrapText="1"/>
    </xf>
    <xf borderId="3" fillId="0" fontId="36" numFmtId="0" xfId="0" applyAlignment="1" applyBorder="1" applyFont="1">
      <alignment horizontal="left" readingOrder="0" shrinkToFit="0" vertical="center" wrapText="1"/>
    </xf>
    <xf borderId="3" fillId="0" fontId="10" numFmtId="165" xfId="0" applyAlignment="1" applyBorder="1" applyFont="1" applyNumberFormat="1">
      <alignment horizontal="center" readingOrder="0" shrinkToFit="0" vertical="center" wrapText="0"/>
    </xf>
    <xf borderId="3" fillId="0" fontId="4"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2" fillId="0" fontId="9" numFmtId="0" xfId="0" applyAlignment="1" applyBorder="1" applyFont="1">
      <alignment horizontal="left" readingOrder="0" shrinkToFit="0" vertical="center" wrapText="1"/>
    </xf>
    <xf borderId="3" fillId="7" fontId="11" numFmtId="0" xfId="0" applyAlignment="1" applyBorder="1" applyFont="1">
      <alignment horizontal="center" readingOrder="0" vertical="top"/>
    </xf>
    <xf borderId="3" fillId="7" fontId="11" numFmtId="0" xfId="0" applyAlignment="1" applyBorder="1" applyFont="1">
      <alignment readingOrder="0"/>
    </xf>
    <xf borderId="3" fillId="0" fontId="10" numFmtId="0" xfId="0" applyAlignment="1" applyBorder="1" applyFont="1">
      <alignment readingOrder="0" shrinkToFit="0" vertical="center" wrapText="1"/>
    </xf>
    <xf borderId="3" fillId="0" fontId="37" numFmtId="2" xfId="0" applyAlignment="1" applyBorder="1" applyFont="1" applyNumberFormat="1">
      <alignment horizontal="center" readingOrder="0" shrinkToFit="0" vertical="center" wrapText="0"/>
    </xf>
    <xf borderId="3" fillId="0" fontId="4" numFmtId="0" xfId="0" applyAlignment="1" applyBorder="1" applyFont="1">
      <alignment vertical="center"/>
    </xf>
    <xf borderId="3" fillId="0" fontId="38" numFmtId="0" xfId="0" applyAlignment="1" applyBorder="1" applyFont="1">
      <alignment horizontal="left" readingOrder="0" shrinkToFit="0" vertical="center" wrapText="1"/>
    </xf>
    <xf borderId="3" fillId="0" fontId="4" numFmtId="0" xfId="0" applyAlignment="1" applyBorder="1" applyFont="1">
      <alignment readingOrder="0" shrinkToFit="0" vertical="center" wrapText="1"/>
    </xf>
    <xf borderId="3" fillId="0" fontId="11" numFmtId="0" xfId="0" applyAlignment="1" applyBorder="1" applyFont="1">
      <alignment horizontal="center" vertical="center"/>
    </xf>
    <xf borderId="0" fillId="0" fontId="3" numFmtId="0" xfId="0" applyAlignment="1" applyFont="1">
      <alignment horizontal="left" readingOrder="0" shrinkToFit="0" vertical="center" wrapText="1"/>
    </xf>
    <xf borderId="3" fillId="0" fontId="5" numFmtId="0" xfId="0" applyAlignment="1" applyBorder="1" applyFont="1">
      <alignment horizontal="left" readingOrder="0" shrinkToFit="0" vertical="center" wrapText="1"/>
    </xf>
    <xf borderId="3" fillId="0" fontId="11" numFmtId="0" xfId="0" applyAlignment="1" applyBorder="1" applyFont="1">
      <alignment horizontal="center" readingOrder="0" shrinkToFit="0" vertical="center" wrapText="1"/>
    </xf>
    <xf borderId="0" fillId="9" fontId="9" numFmtId="0" xfId="0" applyAlignment="1" applyFill="1" applyFont="1">
      <alignment horizontal="center" shrinkToFit="0" vertical="center" wrapText="0"/>
    </xf>
    <xf borderId="3" fillId="9" fontId="10" numFmtId="0" xfId="0" applyAlignment="1" applyBorder="1" applyFont="1">
      <alignment horizontal="center" shrinkToFit="0" vertical="center" wrapText="0"/>
    </xf>
    <xf borderId="3" fillId="9" fontId="4" numFmtId="0" xfId="0" applyAlignment="1" applyBorder="1" applyFont="1">
      <alignment horizontal="center" readingOrder="0" vertical="center"/>
    </xf>
    <xf borderId="3" fillId="9" fontId="10" numFmtId="0" xfId="0" applyAlignment="1" applyBorder="1" applyFont="1">
      <alignment horizontal="center" vertical="center"/>
    </xf>
    <xf borderId="3" fillId="9" fontId="4" numFmtId="0" xfId="0" applyAlignment="1" applyBorder="1" applyFont="1">
      <alignment horizontal="center" readingOrder="0" shrinkToFit="0" vertical="center" wrapText="1"/>
    </xf>
    <xf borderId="3" fillId="9" fontId="4" numFmtId="2" xfId="0" applyAlignment="1" applyBorder="1" applyFont="1" applyNumberFormat="1">
      <alignment horizontal="center" readingOrder="0" shrinkToFit="0" vertical="center" wrapText="1"/>
    </xf>
    <xf borderId="3" fillId="9" fontId="4" numFmtId="0" xfId="0" applyAlignment="1" applyBorder="1" applyFont="1">
      <alignment horizontal="left" readingOrder="0" shrinkToFit="0" vertical="center" wrapText="1"/>
    </xf>
    <xf borderId="0" fillId="10" fontId="3" numFmtId="0" xfId="0" applyAlignment="1" applyFill="1" applyFont="1">
      <alignment readingOrder="0" vertical="center"/>
    </xf>
    <xf borderId="5" fillId="10" fontId="11" numFmtId="0" xfId="0" applyAlignment="1" applyBorder="1" applyFont="1">
      <alignment readingOrder="0" vertical="center"/>
    </xf>
    <xf borderId="3" fillId="10" fontId="11" numFmtId="0" xfId="0" applyAlignment="1" applyBorder="1" applyFont="1">
      <alignment horizontal="center" shrinkToFit="0" vertical="center" wrapText="1"/>
    </xf>
    <xf borderId="3" fillId="10" fontId="11" numFmtId="0" xfId="0" applyAlignment="1" applyBorder="1" applyFont="1">
      <alignment horizontal="center" vertical="center"/>
    </xf>
    <xf borderId="5" fillId="10" fontId="11" numFmtId="0" xfId="0" applyAlignment="1" applyBorder="1" applyFont="1">
      <alignment horizontal="center" vertical="center"/>
    </xf>
    <xf borderId="3" fillId="10" fontId="11" numFmtId="0" xfId="0" applyAlignment="1" applyBorder="1" applyFont="1">
      <alignment vertical="center"/>
    </xf>
    <xf borderId="3" fillId="10" fontId="11" numFmtId="0" xfId="0" applyAlignment="1" applyBorder="1" applyFont="1">
      <alignment shrinkToFit="0" vertical="center" wrapText="1"/>
    </xf>
    <xf borderId="3" fillId="10" fontId="11" numFmtId="2" xfId="0" applyAlignment="1" applyBorder="1" applyFont="1" applyNumberFormat="1">
      <alignment horizontal="center" vertical="center"/>
    </xf>
    <xf borderId="3" fillId="10" fontId="11" numFmtId="0" xfId="0" applyAlignment="1" applyBorder="1" applyFont="1">
      <alignment horizontal="left" shrinkToFit="0" vertical="center" wrapText="1"/>
    </xf>
    <xf borderId="0" fillId="10" fontId="3" numFmtId="0" xfId="0" applyAlignment="1" applyFont="1">
      <alignment vertical="center"/>
    </xf>
    <xf borderId="0" fillId="0" fontId="11" numFmtId="0" xfId="0" applyAlignment="1" applyFont="1">
      <alignment vertical="center"/>
    </xf>
    <xf borderId="0" fillId="0" fontId="11" numFmtId="0" xfId="0" applyAlignment="1" applyFont="1">
      <alignment shrinkToFit="0" vertical="center" wrapText="1"/>
    </xf>
    <xf borderId="0" fillId="0" fontId="10" numFmtId="0" xfId="0" applyAlignment="1" applyFont="1">
      <alignment horizontal="center" readingOrder="0" shrinkToFit="0" vertical="center" wrapText="0"/>
    </xf>
    <xf borderId="0" fillId="0" fontId="11" numFmtId="0" xfId="0" applyAlignment="1" applyFont="1">
      <alignment horizontal="center" vertical="center"/>
    </xf>
    <xf borderId="0" fillId="0" fontId="11" numFmtId="0" xfId="0" applyAlignment="1" applyFont="1">
      <alignment readingOrder="0" vertical="center"/>
    </xf>
    <xf borderId="0" fillId="0" fontId="11" numFmtId="2" xfId="0" applyAlignment="1" applyFont="1" applyNumberFormat="1">
      <alignment vertical="center"/>
    </xf>
    <xf borderId="0" fillId="0" fontId="11" numFmtId="0" xfId="0" applyAlignment="1" applyFont="1">
      <alignment horizontal="left" shrinkToFit="0" vertical="center" wrapText="1"/>
    </xf>
    <xf borderId="0" fillId="0" fontId="8" numFmtId="0" xfId="0" applyAlignment="1" applyFont="1">
      <alignment shrinkToFit="0" vertical="center" wrapText="1"/>
    </xf>
    <xf borderId="0" fillId="11" fontId="39" numFmtId="0" xfId="0" applyAlignment="1" applyFill="1" applyFont="1">
      <alignment horizontal="center" readingOrder="0" shrinkToFit="0" vertical="center" wrapText="1"/>
    </xf>
    <xf borderId="3" fillId="11" fontId="40" numFmtId="0" xfId="0" applyAlignment="1" applyBorder="1" applyFont="1">
      <alignment horizontal="center" readingOrder="0" shrinkToFit="0" vertical="center" wrapText="1"/>
    </xf>
    <xf borderId="7" fillId="11" fontId="40" numFmtId="0" xfId="0" applyAlignment="1" applyBorder="1" applyFont="1">
      <alignment horizontal="center" readingOrder="0" shrinkToFit="0" vertical="center" wrapText="1"/>
    </xf>
    <xf borderId="0" fillId="0" fontId="41" numFmtId="0" xfId="0" applyAlignment="1" applyFont="1">
      <alignment readingOrder="0"/>
    </xf>
    <xf borderId="0" fillId="0" fontId="42" numFmtId="0" xfId="0" applyAlignment="1" applyFont="1">
      <alignment readingOrder="0"/>
    </xf>
    <xf borderId="0" fillId="0" fontId="43" numFmtId="0" xfId="0" applyAlignment="1" applyFont="1">
      <alignment horizontal="center" readingOrder="0" shrinkToFit="0" vertical="center" wrapText="1"/>
    </xf>
    <xf borderId="10" fillId="8" fontId="43" numFmtId="0" xfId="0" applyAlignment="1" applyBorder="1" applyFont="1">
      <alignment horizontal="center" readingOrder="0" shrinkToFit="0" vertical="center" wrapText="1"/>
    </xf>
    <xf borderId="4" fillId="8" fontId="43" numFmtId="0" xfId="0" applyAlignment="1" applyBorder="1" applyFont="1">
      <alignment horizontal="left" readingOrder="0" shrinkToFit="0" vertical="center" wrapText="1"/>
    </xf>
    <xf borderId="3" fillId="8" fontId="43" numFmtId="0" xfId="0" applyAlignment="1" applyBorder="1" applyFont="1">
      <alignment readingOrder="0" shrinkToFit="0" vertical="bottom" wrapText="1"/>
    </xf>
    <xf borderId="3" fillId="8" fontId="43" numFmtId="3" xfId="0" applyAlignment="1" applyBorder="1" applyFont="1" applyNumberFormat="1">
      <alignment horizontal="center" readingOrder="0" shrinkToFit="0" vertical="center" wrapText="0"/>
    </xf>
    <xf borderId="3" fillId="8" fontId="43" numFmtId="3" xfId="0" applyAlignment="1" applyBorder="1" applyFont="1" applyNumberFormat="1">
      <alignment horizontal="center" shrinkToFit="0" vertical="center" wrapText="0"/>
    </xf>
    <xf borderId="3" fillId="8" fontId="41" numFmtId="10" xfId="0" applyAlignment="1" applyBorder="1" applyFont="1" applyNumberFormat="1">
      <alignment horizontal="center" vertical="center"/>
    </xf>
    <xf borderId="0" fillId="0" fontId="41" numFmtId="3" xfId="0" applyFont="1" applyNumberFormat="1"/>
    <xf borderId="0" fillId="0" fontId="41" numFmtId="10" xfId="0" applyFont="1" applyNumberFormat="1"/>
    <xf borderId="3" fillId="8" fontId="43" numFmtId="0" xfId="0" applyAlignment="1" applyBorder="1" applyFont="1">
      <alignment horizontal="left" readingOrder="0" shrinkToFit="0" vertical="center" wrapText="1"/>
    </xf>
    <xf borderId="0" fillId="0" fontId="41" numFmtId="3" xfId="0" applyAlignment="1" applyFont="1" applyNumberFormat="1">
      <alignment readingOrder="0" vertical="center"/>
    </xf>
    <xf borderId="4" fillId="8" fontId="43" numFmtId="3" xfId="0" applyAlignment="1" applyBorder="1" applyFont="1" applyNumberFormat="1">
      <alignment horizontal="center" readingOrder="0" shrinkToFit="0" vertical="center" wrapText="0"/>
    </xf>
    <xf borderId="13" fillId="8" fontId="43" numFmtId="3" xfId="0" applyAlignment="1" applyBorder="1" applyFont="1" applyNumberFormat="1">
      <alignment horizontal="center" readingOrder="0" shrinkToFit="0" vertical="center" wrapText="0"/>
    </xf>
    <xf borderId="3" fillId="12" fontId="43" numFmtId="3" xfId="0" applyAlignment="1" applyBorder="1" applyFill="1" applyFont="1" applyNumberFormat="1">
      <alignment horizontal="center" readingOrder="0" shrinkToFit="0" vertical="center" wrapText="0"/>
    </xf>
    <xf borderId="0" fillId="0" fontId="44" numFmtId="3" xfId="0" applyFont="1" applyNumberFormat="1"/>
    <xf borderId="0" fillId="0" fontId="41" numFmtId="4" xfId="0" applyAlignment="1" applyFont="1" applyNumberFormat="1">
      <alignment readingOrder="0"/>
    </xf>
    <xf borderId="3" fillId="8" fontId="43" numFmtId="0" xfId="0" applyAlignment="1" applyBorder="1" applyFont="1">
      <alignment readingOrder="0" shrinkToFit="0" vertical="top" wrapText="1"/>
    </xf>
    <xf borderId="0" fillId="0" fontId="44" numFmtId="3" xfId="0" applyAlignment="1" applyFont="1" applyNumberFormat="1">
      <alignment readingOrder="0"/>
    </xf>
    <xf borderId="0" fillId="8" fontId="40" numFmtId="0" xfId="0" applyAlignment="1" applyFont="1">
      <alignment horizontal="center" readingOrder="0" shrinkToFit="0" vertical="center" wrapText="1"/>
    </xf>
    <xf borderId="3" fillId="8" fontId="43" numFmtId="0" xfId="0" applyAlignment="1" applyBorder="1" applyFont="1">
      <alignment horizontal="left" readingOrder="0" shrinkToFit="0" vertical="bottom" wrapText="1"/>
    </xf>
    <xf borderId="3" fillId="8" fontId="43" numFmtId="0" xfId="0" applyAlignment="1" applyBorder="1" applyFont="1">
      <alignment horizontal="center" readingOrder="0" shrinkToFit="0" vertical="bottom" wrapText="1"/>
    </xf>
    <xf borderId="0" fillId="8" fontId="44" numFmtId="0" xfId="0" applyFont="1"/>
    <xf borderId="0" fillId="8" fontId="41" numFmtId="0" xfId="0" applyAlignment="1" applyFont="1">
      <alignment readingOrder="0"/>
    </xf>
    <xf borderId="0" fillId="8" fontId="41" numFmtId="3" xfId="0" applyAlignment="1" applyFont="1" applyNumberFormat="1">
      <alignment readingOrder="0" vertical="center"/>
    </xf>
    <xf borderId="0" fillId="8" fontId="44" numFmtId="3" xfId="0" applyAlignment="1" applyFont="1" applyNumberFormat="1">
      <alignment readingOrder="0"/>
    </xf>
    <xf borderId="0" fillId="8" fontId="44" numFmtId="3" xfId="0" applyFont="1" applyNumberFormat="1"/>
    <xf borderId="0" fillId="13" fontId="40" numFmtId="0" xfId="0" applyAlignment="1" applyFill="1" applyFont="1">
      <alignment horizontal="center" readingOrder="0" shrinkToFit="0" vertical="center" wrapText="1"/>
    </xf>
    <xf borderId="11" fillId="13" fontId="40" numFmtId="0" xfId="0" applyAlignment="1" applyBorder="1" applyFont="1">
      <alignment horizontal="center" readingOrder="0" shrinkToFit="0" vertical="center" wrapText="1"/>
    </xf>
    <xf borderId="1" fillId="0" fontId="6" numFmtId="0" xfId="0" applyBorder="1" applyFont="1"/>
    <xf borderId="3" fillId="13" fontId="40" numFmtId="3" xfId="0" applyAlignment="1" applyBorder="1" applyFont="1" applyNumberFormat="1">
      <alignment horizontal="center" readingOrder="0" shrinkToFit="0" vertical="center" wrapText="0"/>
    </xf>
    <xf borderId="3" fillId="13" fontId="40" numFmtId="3" xfId="0" applyAlignment="1" applyBorder="1" applyFont="1" applyNumberFormat="1">
      <alignment horizontal="center" shrinkToFit="0" vertical="center" wrapText="0"/>
    </xf>
    <xf borderId="3" fillId="13" fontId="42" numFmtId="10" xfId="0" applyAlignment="1" applyBorder="1" applyFont="1" applyNumberFormat="1">
      <alignment horizontal="center" vertical="center"/>
    </xf>
    <xf borderId="13" fillId="8" fontId="43" numFmtId="0" xfId="0" applyAlignment="1" applyBorder="1" applyFont="1">
      <alignment horizontal="center" readingOrder="0" shrinkToFit="0" vertical="center" wrapText="1"/>
    </xf>
    <xf borderId="13" fillId="8" fontId="43" numFmtId="0" xfId="0" applyAlignment="1" applyBorder="1" applyFont="1">
      <alignment horizontal="left" readingOrder="0" shrinkToFit="0" vertical="center" wrapText="1"/>
    </xf>
    <xf borderId="13" fillId="8" fontId="43" numFmtId="0" xfId="0" applyAlignment="1" applyBorder="1" applyFont="1">
      <alignment readingOrder="0" shrinkToFit="0" vertical="bottom" wrapText="1"/>
    </xf>
    <xf borderId="3" fillId="8" fontId="41" numFmtId="10" xfId="0" applyAlignment="1" applyBorder="1" applyFont="1" applyNumberFormat="1">
      <alignment horizontal="center" readingOrder="0" vertical="center"/>
    </xf>
    <xf borderId="0" fillId="0" fontId="41" numFmtId="0" xfId="0" applyFont="1"/>
    <xf borderId="0" fillId="14" fontId="40" numFmtId="0" xfId="0" applyAlignment="1" applyFill="1" applyFont="1">
      <alignment horizontal="center" readingOrder="0" shrinkToFit="0" vertical="center" wrapText="1"/>
    </xf>
    <xf borderId="5" fillId="14" fontId="40" numFmtId="0" xfId="0" applyAlignment="1" applyBorder="1" applyFont="1">
      <alignment horizontal="center" readingOrder="0" shrinkToFit="0" vertical="center" wrapText="1"/>
    </xf>
    <xf borderId="3" fillId="14" fontId="40" numFmtId="3" xfId="0" applyAlignment="1" applyBorder="1" applyFont="1" applyNumberFormat="1">
      <alignment horizontal="center" readingOrder="0" shrinkToFit="0" vertical="center" wrapText="0"/>
    </xf>
    <xf borderId="3" fillId="14" fontId="40" numFmtId="3" xfId="0" applyAlignment="1" applyBorder="1" applyFont="1" applyNumberFormat="1">
      <alignment horizontal="center" shrinkToFit="0" vertical="center" wrapText="0"/>
    </xf>
    <xf borderId="0" fillId="15" fontId="42" numFmtId="0" xfId="0" applyAlignment="1" applyFill="1" applyFont="1">
      <alignment horizontal="center" readingOrder="0" vertical="center"/>
    </xf>
    <xf borderId="5" fillId="15" fontId="42" numFmtId="0" xfId="0" applyAlignment="1" applyBorder="1" applyFont="1">
      <alignment horizontal="center" readingOrder="0" vertical="center"/>
    </xf>
    <xf borderId="3" fillId="15" fontId="42" numFmtId="3" xfId="0" applyAlignment="1" applyBorder="1" applyFont="1" applyNumberFormat="1">
      <alignment horizontal="center" vertical="center"/>
    </xf>
    <xf borderId="3" fillId="15" fontId="42" numFmtId="3" xfId="0" applyAlignment="1" applyBorder="1" applyFont="1" applyNumberFormat="1">
      <alignment horizontal="center"/>
    </xf>
    <xf borderId="3" fillId="4" fontId="40" numFmtId="3" xfId="0" applyAlignment="1" applyBorder="1" applyFont="1" applyNumberFormat="1">
      <alignment horizontal="center" shrinkToFit="0" vertical="center" wrapText="0"/>
    </xf>
    <xf borderId="3" fillId="15" fontId="42" numFmtId="10" xfId="0" applyAlignment="1" applyBorder="1" applyFont="1" applyNumberFormat="1">
      <alignment horizontal="center" vertical="center"/>
    </xf>
    <xf borderId="0" fillId="11" fontId="42" numFmtId="0" xfId="0" applyAlignment="1" applyFont="1">
      <alignment horizontal="center" readingOrder="0" vertical="center"/>
    </xf>
    <xf borderId="3" fillId="16" fontId="45" numFmtId="0" xfId="0" applyAlignment="1" applyBorder="1" applyFill="1" applyFont="1">
      <alignment horizontal="center" readingOrder="0" vertical="top"/>
    </xf>
    <xf borderId="3" fillId="16" fontId="45" numFmtId="0" xfId="0" applyAlignment="1" applyBorder="1" applyFont="1">
      <alignment horizontal="center" readingOrder="0" shrinkToFit="0" vertical="bottom" wrapText="1"/>
    </xf>
    <xf borderId="5" fillId="16" fontId="45" numFmtId="0" xfId="0" applyAlignment="1" applyBorder="1" applyFont="1">
      <alignment horizontal="center" readingOrder="0" vertical="top"/>
    </xf>
    <xf borderId="0" fillId="0" fontId="41" numFmtId="0" xfId="0" applyAlignment="1" applyFont="1">
      <alignment horizontal="center" readingOrder="0" shrinkToFit="0" vertical="top" wrapText="1"/>
    </xf>
    <xf borderId="3" fillId="0" fontId="46" numFmtId="0" xfId="0" applyAlignment="1" applyBorder="1" applyFont="1">
      <alignment horizontal="left" readingOrder="0" shrinkToFit="0" vertical="top" wrapText="1"/>
    </xf>
    <xf borderId="14" fillId="0" fontId="46" numFmtId="0" xfId="0" applyAlignment="1" applyBorder="1" applyFont="1">
      <alignment horizontal="center" readingOrder="0" vertical="top"/>
    </xf>
    <xf borderId="15" fillId="0" fontId="41" numFmtId="9" xfId="0" applyAlignment="1" applyBorder="1" applyFont="1" applyNumberFormat="1">
      <alignment horizontal="center" readingOrder="0" vertical="top"/>
    </xf>
    <xf borderId="5" fillId="0" fontId="46" numFmtId="0" xfId="0" applyAlignment="1" applyBorder="1" applyFont="1">
      <alignment horizontal="left" readingOrder="0" shrinkToFit="0" vertical="top" wrapText="1"/>
    </xf>
    <xf borderId="16" fillId="0" fontId="46" numFmtId="0" xfId="0" applyAlignment="1" applyBorder="1" applyFont="1">
      <alignment horizontal="center" readingOrder="0" shrinkToFit="0" vertical="top" wrapText="1"/>
    </xf>
    <xf borderId="17" fillId="0" fontId="46" numFmtId="0" xfId="0" applyAlignment="1" applyBorder="1" applyFont="1">
      <alignment horizontal="center" readingOrder="0" vertical="top"/>
    </xf>
    <xf borderId="18" fillId="0" fontId="46" numFmtId="9" xfId="0" applyAlignment="1" applyBorder="1" applyFont="1" applyNumberFormat="1">
      <alignment horizontal="center" readingOrder="0" vertical="top"/>
    </xf>
    <xf borderId="19" fillId="0" fontId="46" numFmtId="0" xfId="0" applyAlignment="1" applyBorder="1" applyFont="1">
      <alignment horizontal="center" readingOrder="0" vertical="top"/>
    </xf>
    <xf borderId="20" fillId="0" fontId="47" numFmtId="0" xfId="0" applyAlignment="1" applyBorder="1" applyFont="1">
      <alignment horizontal="center" readingOrder="0" vertical="top"/>
    </xf>
    <xf borderId="21" fillId="0" fontId="41" numFmtId="9" xfId="0" applyAlignment="1" applyBorder="1" applyFont="1" applyNumberFormat="1">
      <alignment horizontal="center" readingOrder="0" vertical="top"/>
    </xf>
    <xf borderId="3" fillId="0" fontId="47" numFmtId="0" xfId="0" applyAlignment="1" applyBorder="1" applyFont="1">
      <alignment horizontal="left" readingOrder="0" shrinkToFit="0" vertical="top" wrapText="1"/>
    </xf>
    <xf borderId="22" fillId="0" fontId="46" numFmtId="0" xfId="0" applyAlignment="1" applyBorder="1" applyFont="1">
      <alignment horizontal="center" readingOrder="0" vertical="top"/>
    </xf>
    <xf borderId="23" fillId="0" fontId="46" numFmtId="0" xfId="0" applyAlignment="1" applyBorder="1" applyFont="1">
      <alignment horizontal="center" readingOrder="0" vertical="top"/>
    </xf>
    <xf borderId="24" fillId="0" fontId="41" numFmtId="9" xfId="0" applyAlignment="1" applyBorder="1" applyFont="1" applyNumberFormat="1">
      <alignment horizontal="center" readingOrder="0" vertical="top"/>
    </xf>
    <xf borderId="25" fillId="0" fontId="47" numFmtId="0" xfId="0" applyAlignment="1" applyBorder="1" applyFont="1">
      <alignment horizontal="left" readingOrder="0" vertical="top"/>
    </xf>
    <xf borderId="26" fillId="0" fontId="47" numFmtId="0" xfId="0" applyAlignment="1" applyBorder="1" applyFont="1">
      <alignment horizontal="left" readingOrder="0" vertical="top"/>
    </xf>
    <xf borderId="27" fillId="0" fontId="41" numFmtId="9" xfId="0" applyAlignment="1" applyBorder="1" applyFont="1" applyNumberFormat="1">
      <alignment horizontal="center" readingOrder="0" vertical="top"/>
    </xf>
    <xf borderId="28" fillId="0" fontId="46" numFmtId="0" xfId="0" applyAlignment="1" applyBorder="1" applyFont="1">
      <alignment horizontal="left" readingOrder="0" vertical="top"/>
    </xf>
    <xf borderId="29" fillId="0" fontId="46" numFmtId="0" xfId="0" applyAlignment="1" applyBorder="1" applyFont="1">
      <alignment horizontal="left" readingOrder="0" vertical="top"/>
    </xf>
    <xf borderId="30" fillId="0" fontId="41" numFmtId="9" xfId="0" applyAlignment="1" applyBorder="1" applyFont="1" applyNumberFormat="1">
      <alignment horizontal="center" readingOrder="0" vertical="top"/>
    </xf>
    <xf borderId="5" fillId="0" fontId="47" numFmtId="0" xfId="0" applyAlignment="1" applyBorder="1" applyFont="1">
      <alignment horizontal="left" readingOrder="0" shrinkToFit="0" vertical="top" wrapText="1"/>
    </xf>
    <xf borderId="31" fillId="0" fontId="48" numFmtId="0" xfId="0" applyAlignment="1" applyBorder="1" applyFont="1">
      <alignment horizontal="left" readingOrder="0" vertical="top"/>
    </xf>
    <xf borderId="32" fillId="0" fontId="46" numFmtId="0" xfId="0" applyAlignment="1" applyBorder="1" applyFont="1">
      <alignment horizontal="left" readingOrder="0" vertical="top"/>
    </xf>
    <xf borderId="1" fillId="0" fontId="41" numFmtId="9" xfId="0" applyAlignment="1" applyBorder="1" applyFont="1" applyNumberFormat="1">
      <alignment horizontal="center" readingOrder="0" vertical="top"/>
    </xf>
    <xf borderId="0" fillId="0" fontId="41" numFmtId="0" xfId="0" applyAlignment="1" applyFont="1">
      <alignment horizontal="center" readingOrder="0" vertical="top"/>
    </xf>
    <xf borderId="0" fillId="0" fontId="41" numFmtId="0" xfId="0" applyAlignment="1" applyFont="1">
      <alignment readingOrder="0" shrinkToFit="0" vertical="top" wrapText="1"/>
    </xf>
    <xf borderId="0" fillId="0" fontId="44" numFmtId="0" xfId="0" applyAlignment="1" applyFont="1">
      <alignment vertical="top"/>
    </xf>
    <xf borderId="10" fillId="0" fontId="43" numFmtId="0" xfId="0" applyAlignment="1" applyBorder="1" applyFont="1">
      <alignment horizontal="center" readingOrder="0" shrinkToFit="0" vertical="center" wrapText="1"/>
    </xf>
    <xf borderId="4" fillId="0" fontId="43" numFmtId="0" xfId="0" applyAlignment="1" applyBorder="1" applyFont="1">
      <alignment horizontal="left" readingOrder="0" shrinkToFit="0" vertical="center" wrapText="1"/>
    </xf>
    <xf borderId="3" fillId="0" fontId="43" numFmtId="0" xfId="0" applyAlignment="1" applyBorder="1" applyFont="1">
      <alignment readingOrder="0" shrinkToFit="0" vertical="bottom" wrapText="1"/>
    </xf>
    <xf borderId="3" fillId="0" fontId="43" numFmtId="3" xfId="0" applyAlignment="1" applyBorder="1" applyFont="1" applyNumberFormat="1">
      <alignment horizontal="center" readingOrder="0" shrinkToFit="0" vertical="center" wrapText="0"/>
    </xf>
    <xf borderId="3" fillId="0" fontId="41" numFmtId="10" xfId="0" applyAlignment="1" applyBorder="1" applyFont="1" applyNumberFormat="1">
      <alignment horizontal="center" vertical="center"/>
    </xf>
    <xf borderId="3" fillId="0" fontId="43" numFmtId="0" xfId="0" applyAlignment="1" applyBorder="1" applyFont="1">
      <alignment horizontal="left" readingOrder="0" shrinkToFit="0" vertical="center" wrapText="1"/>
    </xf>
    <xf borderId="4" fillId="0" fontId="43" numFmtId="3" xfId="0" applyAlignment="1" applyBorder="1" applyFont="1" applyNumberFormat="1">
      <alignment horizontal="center" readingOrder="0" shrinkToFit="0" vertical="center" wrapText="0"/>
    </xf>
    <xf borderId="3" fillId="0" fontId="43" numFmtId="0" xfId="0" applyAlignment="1" applyBorder="1" applyFont="1">
      <alignment readingOrder="0" shrinkToFit="0" vertical="top" wrapText="1"/>
    </xf>
    <xf borderId="3" fillId="0" fontId="49" numFmtId="10" xfId="0" applyAlignment="1" applyBorder="1" applyFont="1" applyNumberFormat="1">
      <alignment horizontal="center" vertical="center"/>
    </xf>
    <xf borderId="3" fillId="0" fontId="41" numFmtId="10" xfId="0" applyAlignment="1" applyBorder="1" applyFont="1" applyNumberFormat="1">
      <alignment horizontal="center" readingOrder="0" vertical="center"/>
    </xf>
    <xf borderId="13" fillId="0" fontId="43" numFmtId="0" xfId="0" applyAlignment="1" applyBorder="1" applyFont="1">
      <alignment horizontal="center" readingOrder="0" shrinkToFit="0" vertical="center" wrapText="1"/>
    </xf>
    <xf borderId="13" fillId="0" fontId="43" numFmtId="0" xfId="0" applyAlignment="1" applyBorder="1" applyFont="1">
      <alignment horizontal="left" readingOrder="0" shrinkToFit="0" vertical="center" wrapText="1"/>
    </xf>
    <xf borderId="13" fillId="0" fontId="43" numFmtId="0" xfId="0" applyAlignment="1" applyBorder="1" applyFont="1">
      <alignment readingOrder="0" shrinkToFit="0" vertical="bottom" wrapText="1"/>
    </xf>
    <xf borderId="3" fillId="0" fontId="43" numFmtId="3" xfId="0" applyAlignment="1" applyBorder="1" applyFont="1" applyNumberFormat="1">
      <alignment horizontal="center" shrinkToFit="0" vertical="center" wrapText="0"/>
    </xf>
    <xf borderId="0" fillId="0" fontId="44" numFmtId="0" xfId="0" applyAlignment="1" applyFont="1">
      <alignment readingOrder="0"/>
    </xf>
    <xf borderId="0" fillId="0" fontId="44" numFmtId="0" xfId="0" applyFont="1"/>
    <xf borderId="13" fillId="8" fontId="40" numFmtId="0" xfId="0" applyAlignment="1" applyBorder="1" applyFont="1">
      <alignment horizontal="center" readingOrder="0" shrinkToFit="0" vertical="center" wrapText="1"/>
    </xf>
    <xf borderId="0" fillId="11" fontId="40" numFmtId="0" xfId="0" applyAlignment="1" applyFont="1">
      <alignment horizontal="center" readingOrder="0" shrinkToFit="0" vertical="center" wrapText="1"/>
    </xf>
    <xf borderId="4" fillId="8" fontId="41" numFmtId="10" xfId="0" applyAlignment="1" applyBorder="1" applyFont="1" applyNumberFormat="1">
      <alignment horizontal="center" vertical="center"/>
    </xf>
    <xf borderId="4" fillId="8" fontId="43" numFmtId="3" xfId="0" applyAlignment="1" applyBorder="1" applyFont="1" applyNumberFormat="1">
      <alignment horizontal="center" shrinkToFit="0" vertical="center" wrapText="0"/>
    </xf>
    <xf borderId="3" fillId="7" fontId="43" numFmtId="3" xfId="0" applyAlignment="1" applyBorder="1" applyFont="1" applyNumberFormat="1">
      <alignment horizontal="center" readingOrder="0" shrinkToFit="0" wrapText="0"/>
    </xf>
    <xf borderId="10" fillId="7" fontId="43" numFmtId="3" xfId="0" applyAlignment="1" applyBorder="1" applyFont="1" applyNumberFormat="1">
      <alignment horizontal="center" readingOrder="0" shrinkToFit="0" wrapText="0"/>
    </xf>
    <xf borderId="4" fillId="7" fontId="43" numFmtId="3" xfId="0" applyAlignment="1" applyBorder="1" applyFont="1" applyNumberFormat="1">
      <alignment horizontal="center" readingOrder="0" shrinkToFit="0" wrapText="0"/>
    </xf>
    <xf borderId="3" fillId="7" fontId="43" numFmtId="0" xfId="0" applyAlignment="1" applyBorder="1" applyFont="1">
      <alignment horizontal="center" readingOrder="0" vertical="bottom"/>
    </xf>
    <xf borderId="3" fillId="13" fontId="40" numFmtId="3" xfId="0" applyAlignment="1" applyBorder="1" applyFont="1" applyNumberFormat="1">
      <alignment horizontal="center" readingOrder="0" shrinkToFit="0" wrapText="0"/>
    </xf>
    <xf borderId="3" fillId="7" fontId="43" numFmtId="3" xfId="0" applyAlignment="1" applyBorder="1" applyFont="1" applyNumberFormat="1">
      <alignment horizontal="center" shrinkToFit="0" wrapText="0"/>
    </xf>
    <xf borderId="3" fillId="11" fontId="50" numFmtId="0" xfId="0" applyAlignment="1" applyBorder="1" applyFont="1">
      <alignment horizontal="center" shrinkToFit="0" wrapText="1"/>
    </xf>
    <xf borderId="7" fillId="11" fontId="50" numFmtId="0" xfId="0" applyAlignment="1" applyBorder="1" applyFont="1">
      <alignment horizontal="center" shrinkToFit="0" wrapText="1"/>
    </xf>
    <xf borderId="0" fillId="0" fontId="51" numFmtId="0" xfId="0" applyAlignment="1" applyFont="1">
      <alignment vertical="bottom"/>
    </xf>
    <xf borderId="10" fillId="7" fontId="52" numFmtId="0" xfId="0" applyAlignment="1" applyBorder="1" applyFont="1">
      <alignment horizontal="center" shrinkToFit="0" wrapText="1"/>
    </xf>
    <xf borderId="4" fillId="7" fontId="52" numFmtId="0" xfId="0" applyAlignment="1" applyBorder="1" applyFont="1">
      <alignment shrinkToFit="0" wrapText="1"/>
    </xf>
    <xf borderId="3" fillId="7" fontId="52" numFmtId="0" xfId="0" applyAlignment="1" applyBorder="1" applyFont="1">
      <alignment shrinkToFit="0" vertical="bottom" wrapText="1"/>
    </xf>
    <xf borderId="3" fillId="7" fontId="52" numFmtId="3" xfId="0" applyAlignment="1" applyBorder="1" applyFont="1" applyNumberFormat="1">
      <alignment horizontal="center"/>
    </xf>
    <xf borderId="3" fillId="7" fontId="52" numFmtId="10" xfId="0" applyAlignment="1" applyBorder="1" applyFont="1" applyNumberFormat="1">
      <alignment horizontal="center"/>
    </xf>
    <xf borderId="3" fillId="7" fontId="52" numFmtId="0" xfId="0" applyAlignment="1" applyBorder="1" applyFont="1">
      <alignment shrinkToFit="0" wrapText="1"/>
    </xf>
    <xf borderId="3" fillId="7" fontId="52" numFmtId="3" xfId="0" applyAlignment="1" applyBorder="1" applyFont="1" applyNumberFormat="1">
      <alignment horizontal="center" readingOrder="0"/>
    </xf>
    <xf borderId="3" fillId="7" fontId="52" numFmtId="10" xfId="0" applyAlignment="1" applyBorder="1" applyFont="1" applyNumberFormat="1">
      <alignment horizontal="center" readingOrder="0"/>
    </xf>
    <xf borderId="4" fillId="7" fontId="52" numFmtId="3" xfId="0" applyAlignment="1" applyBorder="1" applyFont="1" applyNumberFormat="1">
      <alignment horizontal="center"/>
    </xf>
    <xf borderId="13" fillId="7" fontId="52" numFmtId="3" xfId="0" applyAlignment="1" applyBorder="1" applyFont="1" applyNumberFormat="1">
      <alignment horizontal="center" readingOrder="0"/>
    </xf>
    <xf borderId="4" fillId="7" fontId="52" numFmtId="3" xfId="0" applyAlignment="1" applyBorder="1" applyFont="1" applyNumberFormat="1">
      <alignment horizontal="center" readingOrder="0"/>
    </xf>
    <xf borderId="0" fillId="0" fontId="51" numFmtId="3" xfId="0" applyAlignment="1" applyFont="1" applyNumberFormat="1">
      <alignment horizontal="right" vertical="bottom"/>
    </xf>
    <xf borderId="3" fillId="7" fontId="52" numFmtId="0" xfId="0" applyAlignment="1" applyBorder="1" applyFont="1">
      <alignment shrinkToFit="0" vertical="top" wrapText="1"/>
    </xf>
    <xf borderId="3" fillId="7" fontId="52" numFmtId="0" xfId="0" applyAlignment="1" applyBorder="1" applyFont="1">
      <alignment horizontal="center" shrinkToFit="0" vertical="bottom" wrapText="1"/>
    </xf>
    <xf borderId="0" fillId="7" fontId="51" numFmtId="0" xfId="0" applyAlignment="1" applyFont="1">
      <alignment vertical="bottom"/>
    </xf>
    <xf borderId="11" fillId="13" fontId="50" numFmtId="0" xfId="0" applyAlignment="1" applyBorder="1" applyFont="1">
      <alignment horizontal="center" shrinkToFit="0" wrapText="1"/>
    </xf>
    <xf borderId="3" fillId="13" fontId="50" numFmtId="3" xfId="0" applyAlignment="1" applyBorder="1" applyFont="1" applyNumberFormat="1">
      <alignment horizontal="center"/>
    </xf>
    <xf borderId="3" fillId="13" fontId="50" numFmtId="10" xfId="0" applyAlignment="1" applyBorder="1" applyFont="1" applyNumberFormat="1">
      <alignment horizontal="center"/>
    </xf>
    <xf borderId="13" fillId="7" fontId="51" numFmtId="0" xfId="0" applyBorder="1" applyFont="1"/>
    <xf borderId="13" fillId="7" fontId="51" numFmtId="0" xfId="0" applyAlignment="1" applyBorder="1" applyFont="1">
      <alignment vertical="bottom"/>
    </xf>
    <xf borderId="3" fillId="7" fontId="51" numFmtId="3" xfId="0" applyBorder="1" applyFont="1" applyNumberFormat="1"/>
    <xf borderId="3" fillId="7" fontId="51" numFmtId="10" xfId="0" applyBorder="1" applyFont="1" applyNumberFormat="1"/>
    <xf borderId="5" fillId="14" fontId="50" numFmtId="0" xfId="0" applyAlignment="1" applyBorder="1" applyFont="1">
      <alignment horizontal="center" shrinkToFit="0" wrapText="1"/>
    </xf>
    <xf borderId="3" fillId="14" fontId="50" numFmtId="3" xfId="0" applyAlignment="1" applyBorder="1" applyFont="1" applyNumberFormat="1">
      <alignment horizontal="center"/>
    </xf>
    <xf borderId="5" fillId="2" fontId="50" numFmtId="0" xfId="0" applyAlignment="1" applyBorder="1" applyFont="1">
      <alignment horizontal="center"/>
    </xf>
    <xf borderId="3" fillId="2" fontId="50" numFmtId="3" xfId="0" applyAlignment="1" applyBorder="1" applyFont="1" applyNumberFormat="1">
      <alignment horizontal="center"/>
    </xf>
    <xf borderId="3" fillId="2" fontId="50" numFmtId="3" xfId="0" applyAlignment="1" applyBorder="1" applyFont="1" applyNumberFormat="1">
      <alignment horizontal="center" vertical="bottom"/>
    </xf>
    <xf borderId="3" fillId="4" fontId="50" numFmtId="3" xfId="0" applyAlignment="1" applyBorder="1" applyFont="1" applyNumberFormat="1">
      <alignment horizontal="center"/>
    </xf>
    <xf borderId="3" fillId="2" fontId="50" numFmtId="10" xfId="0" applyAlignment="1" applyBorder="1" applyFont="1" applyNumberFormat="1">
      <alignment horizontal="center"/>
    </xf>
    <xf borderId="0" fillId="0" fontId="44" numFmtId="166" xfId="0" applyAlignment="1" applyFont="1" applyNumberFormat="1">
      <alignment readingOrder="0"/>
    </xf>
    <xf borderId="0" fillId="11" fontId="53" numFmtId="0" xfId="0" applyAlignment="1" applyFont="1">
      <alignment horizontal="center" shrinkToFit="0" wrapText="1"/>
    </xf>
    <xf borderId="0" fillId="0" fontId="51" numFmtId="0" xfId="0" applyFont="1"/>
    <xf borderId="13" fillId="7" fontId="52" numFmtId="3" xfId="0" applyAlignment="1" applyBorder="1" applyFont="1" applyNumberFormat="1">
      <alignment horizontal="center"/>
    </xf>
    <xf borderId="3" fillId="12" fontId="52" numFmtId="3" xfId="0" applyAlignment="1" applyBorder="1" applyFont="1" applyNumberFormat="1">
      <alignment horizontal="center" readingOrder="0"/>
    </xf>
    <xf borderId="0" fillId="7" fontId="51" numFmtId="0" xfId="0" applyFont="1"/>
    <xf borderId="3" fillId="7" fontId="51" numFmtId="0" xfId="0" applyAlignment="1" applyBorder="1" applyFont="1">
      <alignment vertical="bottom"/>
    </xf>
    <xf borderId="0" fillId="13" fontId="51" numFmtId="0" xfId="0" applyFont="1"/>
    <xf borderId="0" fillId="14" fontId="51" numFmtId="0" xfId="0" applyFont="1"/>
    <xf borderId="0" fillId="2" fontId="51" numFmtId="0" xfId="0" applyFont="1"/>
    <xf borderId="3" fillId="15" fontId="42" numFmtId="3" xfId="0" applyAlignment="1" applyBorder="1" applyFont="1" applyNumberFormat="1">
      <alignment horizontal="center" readingOrder="0"/>
    </xf>
    <xf borderId="0" fillId="0" fontId="44" numFmtId="167" xfId="0" applyAlignment="1" applyFont="1" applyNumberFormat="1">
      <alignment readingOrder="0"/>
    </xf>
    <xf borderId="3" fillId="7" fontId="52" numFmtId="0" xfId="0" applyAlignment="1" applyBorder="1" applyFont="1">
      <alignment horizontal="center" readingOrder="0" shrinkToFit="0" vertical="bottom" wrapText="1"/>
    </xf>
    <xf borderId="3" fillId="13" fontId="50" numFmtId="3" xfId="0" applyAlignment="1" applyBorder="1" applyFont="1" applyNumberFormat="1">
      <alignment horizontal="center" readingOrder="0"/>
    </xf>
    <xf borderId="3" fillId="14" fontId="50" numFmtId="3" xfId="0" applyAlignment="1" applyBorder="1" applyFont="1" applyNumberFormat="1">
      <alignment horizontal="center" readingOrder="0"/>
    </xf>
    <xf borderId="3" fillId="2" fontId="50" numFmtId="3" xfId="0" applyAlignment="1" applyBorder="1" applyFont="1" applyNumberFormat="1">
      <alignment horizontal="center" readingOrder="0" vertical="bottom"/>
    </xf>
    <xf borderId="3" fillId="0" fontId="43" numFmtId="3" xfId="0" applyAlignment="1" applyBorder="1" applyFont="1" applyNumberFormat="1">
      <alignment horizontal="center" readingOrder="0"/>
    </xf>
    <xf borderId="3" fillId="0" fontId="43" numFmtId="0" xfId="0" applyAlignment="1" applyBorder="1" applyFont="1">
      <alignment horizontal="center" readingOrder="0"/>
    </xf>
    <xf borderId="0" fillId="0" fontId="44" numFmtId="0" xfId="0" applyAlignment="1" applyFont="1">
      <alignment shrinkToFit="0" wrapText="1"/>
    </xf>
    <xf borderId="0" fillId="0" fontId="44" numFmtId="10" xfId="0" applyFont="1" applyNumberFormat="1"/>
    <xf borderId="5" fillId="2" fontId="54" numFmtId="0" xfId="0" applyAlignment="1" applyBorder="1" applyFont="1">
      <alignment horizontal="center" readingOrder="0" shrinkToFit="0" vertical="center" wrapText="0"/>
    </xf>
    <xf borderId="3" fillId="2" fontId="54" numFmtId="0" xfId="0" applyAlignment="1" applyBorder="1" applyFont="1">
      <alignment horizontal="center" readingOrder="0" shrinkToFit="0" vertical="center" wrapText="0"/>
    </xf>
    <xf borderId="3" fillId="2" fontId="55" numFmtId="0" xfId="0" applyAlignment="1" applyBorder="1" applyFont="1">
      <alignment horizontal="center" readingOrder="0" shrinkToFit="0" vertical="center" wrapText="1"/>
    </xf>
    <xf borderId="3" fillId="2" fontId="55" numFmtId="0" xfId="0" applyAlignment="1" applyBorder="1" applyFont="1">
      <alignment horizontal="center" readingOrder="0" vertical="center"/>
    </xf>
    <xf borderId="3" fillId="2" fontId="54" numFmtId="0" xfId="0" applyAlignment="1" applyBorder="1" applyFont="1">
      <alignment horizontal="center" readingOrder="0" shrinkToFit="0" vertical="center" wrapText="1"/>
    </xf>
    <xf borderId="0" fillId="0" fontId="11" numFmtId="0" xfId="0" applyAlignment="1" applyFont="1">
      <alignment readingOrder="0"/>
    </xf>
    <xf borderId="10" fillId="8" fontId="56" numFmtId="0" xfId="0" applyAlignment="1" applyBorder="1" applyFont="1">
      <alignment horizontal="center" readingOrder="0" shrinkToFit="0" vertical="center" wrapText="1"/>
    </xf>
    <xf borderId="10" fillId="8" fontId="56" numFmtId="0" xfId="0" applyAlignment="1" applyBorder="1" applyFont="1">
      <alignment horizontal="left" readingOrder="0" shrinkToFit="0" wrapText="0"/>
    </xf>
    <xf borderId="12" fillId="8" fontId="56" numFmtId="0" xfId="0" applyAlignment="1" applyBorder="1" applyFont="1">
      <alignment readingOrder="0" shrinkToFit="0" vertical="bottom" wrapText="0"/>
    </xf>
    <xf borderId="12" fillId="8" fontId="56" numFmtId="0" xfId="0" applyAlignment="1" applyBorder="1" applyFont="1">
      <alignment readingOrder="0" shrinkToFit="0" wrapText="0"/>
    </xf>
    <xf borderId="7" fillId="8" fontId="56" numFmtId="0" xfId="0" applyAlignment="1" applyBorder="1" applyFont="1">
      <alignment readingOrder="0" shrinkToFit="0" vertical="bottom" wrapText="0"/>
    </xf>
    <xf borderId="7" fillId="8" fontId="56" numFmtId="0" xfId="0" applyAlignment="1" applyBorder="1" applyFont="1">
      <alignment shrinkToFit="0" vertical="bottom" wrapText="1"/>
    </xf>
    <xf borderId="4" fillId="0" fontId="57" numFmtId="0" xfId="0" applyAlignment="1" applyBorder="1" applyFont="1">
      <alignment horizontal="left" readingOrder="0"/>
    </xf>
    <xf borderId="3" fillId="0" fontId="57" numFmtId="0" xfId="0" applyAlignment="1" applyBorder="1" applyFont="1">
      <alignment horizontal="left" readingOrder="0" vertical="bottom"/>
    </xf>
    <xf borderId="3" fillId="0" fontId="58" numFmtId="0" xfId="0" applyAlignment="1" applyBorder="1" applyFont="1">
      <alignment horizontal="center" readingOrder="0"/>
    </xf>
    <xf borderId="3" fillId="0" fontId="58" numFmtId="0" xfId="0" applyAlignment="1" applyBorder="1" applyFont="1">
      <alignment horizontal="center" readingOrder="0" vertical="bottom"/>
    </xf>
    <xf borderId="3" fillId="0" fontId="59" numFmtId="10" xfId="0" applyAlignment="1" applyBorder="1" applyFont="1" applyNumberFormat="1">
      <alignment horizontal="center" readingOrder="0" vertical="bottom"/>
    </xf>
    <xf borderId="12" fillId="8" fontId="56" numFmtId="3" xfId="0" applyAlignment="1" applyBorder="1" applyFont="1" applyNumberFormat="1">
      <alignment readingOrder="0" shrinkToFit="0" vertical="bottom" wrapText="0"/>
    </xf>
    <xf borderId="12" fillId="8" fontId="56" numFmtId="10" xfId="0" applyAlignment="1" applyBorder="1" applyFont="1" applyNumberFormat="1">
      <alignment readingOrder="0" shrinkToFit="0" vertical="bottom" wrapText="0"/>
    </xf>
    <xf borderId="12" fillId="8" fontId="56" numFmtId="0" xfId="0" applyAlignment="1" applyBorder="1" applyFont="1">
      <alignment shrinkToFit="0" vertical="bottom" wrapText="1"/>
    </xf>
    <xf borderId="12" fillId="8" fontId="56" numFmtId="0" xfId="0" applyAlignment="1" applyBorder="1" applyFont="1">
      <alignment readingOrder="0" shrinkToFit="0" vertical="bottom" wrapText="1"/>
    </xf>
    <xf borderId="12" fillId="8" fontId="56" numFmtId="3" xfId="0" applyAlignment="1" applyBorder="1" applyFont="1" applyNumberFormat="1">
      <alignment shrinkToFit="0" vertical="bottom" wrapText="0"/>
    </xf>
    <xf borderId="12" fillId="8" fontId="56" numFmtId="0" xfId="0" applyAlignment="1" applyBorder="1" applyFont="1">
      <alignment shrinkToFit="0" vertical="bottom" wrapText="0"/>
    </xf>
    <xf borderId="10" fillId="8" fontId="56" numFmtId="0" xfId="0" applyAlignment="1" applyBorder="1" applyFont="1">
      <alignment horizontal="center" readingOrder="0" shrinkToFit="0" vertical="bottom" wrapText="0"/>
    </xf>
    <xf borderId="4" fillId="0" fontId="57" numFmtId="0" xfId="0" applyAlignment="1" applyBorder="1" applyFont="1">
      <alignment horizontal="left" readingOrder="0" vertical="bottom"/>
    </xf>
    <xf borderId="10" fillId="8" fontId="56" numFmtId="0" xfId="0" applyAlignment="1" applyBorder="1" applyFont="1">
      <alignment horizontal="center" readingOrder="0" shrinkToFit="0" wrapText="0"/>
    </xf>
    <xf borderId="6" fillId="8" fontId="56" numFmtId="0" xfId="0" applyAlignment="1" applyBorder="1" applyFont="1">
      <alignment horizontal="left" readingOrder="0" shrinkToFit="0" vertical="bottom" wrapText="0"/>
    </xf>
    <xf borderId="5" fillId="0" fontId="57" numFmtId="0" xfId="0" applyAlignment="1" applyBorder="1" applyFont="1">
      <alignment horizontal="left" readingOrder="0" vertical="bottom"/>
    </xf>
    <xf borderId="5" fillId="13" fontId="60" numFmtId="0" xfId="0" applyAlignment="1" applyBorder="1" applyFont="1">
      <alignment horizontal="center" shrinkToFit="0" vertical="bottom" wrapText="0"/>
    </xf>
    <xf borderId="5" fillId="0" fontId="58" numFmtId="0" xfId="0" applyAlignment="1" applyBorder="1" applyFont="1">
      <alignment vertical="bottom"/>
    </xf>
    <xf borderId="6" fillId="0" fontId="58" numFmtId="0" xfId="0" applyAlignment="1" applyBorder="1" applyFont="1">
      <alignment vertical="bottom"/>
    </xf>
    <xf borderId="7" fillId="0" fontId="58" numFmtId="0" xfId="0" applyAlignment="1" applyBorder="1" applyFont="1">
      <alignment vertical="bottom"/>
    </xf>
    <xf borderId="3" fillId="0" fontId="57" numFmtId="0" xfId="0" applyAlignment="1" applyBorder="1" applyFont="1">
      <alignment horizontal="left" readingOrder="0"/>
    </xf>
    <xf borderId="3" fillId="0" fontId="59" numFmtId="0" xfId="0" applyAlignment="1" applyBorder="1" applyFont="1">
      <alignment horizontal="center" readingOrder="0"/>
    </xf>
    <xf borderId="33" fillId="8" fontId="56" numFmtId="0" xfId="0" applyAlignment="1" applyBorder="1" applyFont="1">
      <alignment readingOrder="0" shrinkToFit="0" wrapText="0"/>
    </xf>
    <xf borderId="33" fillId="8" fontId="56" numFmtId="0" xfId="0" applyAlignment="1" applyBorder="1" applyFont="1">
      <alignment readingOrder="0" shrinkToFit="0" vertical="bottom" wrapText="0"/>
    </xf>
    <xf borderId="3" fillId="0" fontId="58" numFmtId="0" xfId="0" applyAlignment="1" applyBorder="1" applyFont="1">
      <alignment horizontal="center"/>
    </xf>
    <xf borderId="9" fillId="8" fontId="56" numFmtId="0" xfId="0" applyAlignment="1" applyBorder="1" applyFont="1">
      <alignment readingOrder="0" shrinkToFit="0" wrapText="0"/>
    </xf>
    <xf borderId="3" fillId="0" fontId="59" numFmtId="0" xfId="0" applyAlignment="1" applyBorder="1" applyFont="1">
      <alignment horizontal="center" readingOrder="0" vertical="bottom"/>
    </xf>
    <xf borderId="5" fillId="2" fontId="54" numFmtId="0" xfId="0" applyAlignment="1" applyBorder="1" applyFont="1">
      <alignment horizontal="center" readingOrder="0" shrinkToFit="0" vertical="bottom" wrapText="0"/>
    </xf>
    <xf borderId="12" fillId="2" fontId="54" numFmtId="0" xfId="0" applyAlignment="1" applyBorder="1" applyFont="1">
      <alignment readingOrder="0" shrinkToFit="0" vertical="bottom" wrapText="0"/>
    </xf>
    <xf borderId="12" fillId="2" fontId="54" numFmtId="0" xfId="0" applyAlignment="1" applyBorder="1" applyFont="1">
      <alignment shrinkToFit="0" vertical="bottom" wrapText="0"/>
    </xf>
    <xf borderId="12" fillId="2" fontId="54" numFmtId="10" xfId="0" applyAlignment="1" applyBorder="1" applyFont="1" applyNumberFormat="1">
      <alignment readingOrder="0" shrinkToFit="0" vertical="bottom" wrapText="0"/>
    </xf>
    <xf borderId="12" fillId="2" fontId="54" numFmtId="0" xfId="0" applyAlignment="1" applyBorder="1" applyFont="1">
      <alignment shrinkToFit="0" vertical="bottom" wrapText="1"/>
    </xf>
    <xf borderId="5" fillId="0" fontId="57" numFmtId="0" xfId="0" applyAlignment="1" applyBorder="1" applyFont="1">
      <alignment horizontal="center" readingOrder="0" vertical="bottom"/>
    </xf>
    <xf borderId="5" fillId="0" fontId="61" numFmtId="0" xfId="0" applyAlignment="1" applyBorder="1" applyFont="1">
      <alignment horizontal="center" readingOrder="0" shrinkToFit="0" wrapText="0"/>
    </xf>
    <xf borderId="7" fillId="0" fontId="61" numFmtId="0" xfId="0" applyAlignment="1" applyBorder="1" applyFont="1">
      <alignment horizontal="center" readingOrder="0" shrinkToFit="0" wrapText="0"/>
    </xf>
    <xf borderId="0" fillId="0" fontId="61" numFmtId="0" xfId="0" applyAlignment="1" applyFont="1">
      <alignment horizontal="center" readingOrder="0"/>
    </xf>
    <xf borderId="0" fillId="0" fontId="61" numFmtId="0" xfId="0" applyAlignment="1" applyFont="1">
      <alignment horizontal="center" readingOrder="0" shrinkToFit="0" wrapText="1"/>
    </xf>
    <xf borderId="10" fillId="0" fontId="60" numFmtId="0" xfId="0" applyAlignment="1" applyBorder="1" applyFont="1">
      <alignment horizontal="center" readingOrder="0" shrinkToFit="0" vertical="center" wrapText="1"/>
    </xf>
    <xf borderId="10" fillId="0" fontId="60" numFmtId="0" xfId="0" applyAlignment="1" applyBorder="1" applyFont="1">
      <alignment horizontal="left" readingOrder="0" shrinkToFit="0" wrapText="0"/>
    </xf>
    <xf borderId="12" fillId="0" fontId="60" numFmtId="0" xfId="0" applyAlignment="1" applyBorder="1" applyFont="1">
      <alignment readingOrder="0" shrinkToFit="0" vertical="bottom" wrapText="0"/>
    </xf>
    <xf borderId="12" fillId="0" fontId="60" numFmtId="0" xfId="0" applyAlignment="1" applyBorder="1" applyFont="1">
      <alignment readingOrder="0" shrinkToFit="0" wrapText="0"/>
    </xf>
    <xf borderId="7" fillId="0" fontId="60" numFmtId="0" xfId="0" applyAlignment="1" applyBorder="1" applyFont="1">
      <alignment shrinkToFit="0" wrapText="0"/>
    </xf>
    <xf borderId="7" fillId="0" fontId="60" numFmtId="0" xfId="0" applyAlignment="1" applyBorder="1" applyFont="1">
      <alignment readingOrder="0" shrinkToFit="0" vertical="bottom" wrapText="0"/>
    </xf>
    <xf borderId="7" fillId="0" fontId="60" numFmtId="0" xfId="0" applyAlignment="1" applyBorder="1" applyFont="1">
      <alignment readingOrder="0" shrinkToFit="0" vertical="bottom" wrapText="1"/>
    </xf>
    <xf borderId="7" fillId="0" fontId="60" numFmtId="0" xfId="0" applyAlignment="1" applyBorder="1" applyFont="1">
      <alignment shrinkToFit="0" vertical="bottom" wrapText="0"/>
    </xf>
    <xf borderId="12" fillId="0" fontId="60" numFmtId="3" xfId="0" applyAlignment="1" applyBorder="1" applyFont="1" applyNumberFormat="1">
      <alignment readingOrder="0" shrinkToFit="0" vertical="bottom" wrapText="0"/>
    </xf>
    <xf borderId="12" fillId="0" fontId="60" numFmtId="0" xfId="0" applyAlignment="1" applyBorder="1" applyFont="1">
      <alignment readingOrder="0" shrinkToFit="0" vertical="bottom" wrapText="1"/>
    </xf>
    <xf borderId="12" fillId="0" fontId="60" numFmtId="0" xfId="0" applyAlignment="1" applyBorder="1" applyFont="1">
      <alignment shrinkToFit="0" vertical="bottom" wrapText="0"/>
    </xf>
    <xf borderId="12" fillId="0" fontId="60" numFmtId="0" xfId="0" applyAlignment="1" applyBorder="1" applyFont="1">
      <alignment shrinkToFit="0" wrapText="0"/>
    </xf>
    <xf borderId="10" fillId="0" fontId="60" numFmtId="0" xfId="0" applyAlignment="1" applyBorder="1" applyFont="1">
      <alignment horizontal="center" readingOrder="0" shrinkToFit="0" vertical="bottom" wrapText="0"/>
    </xf>
    <xf borderId="10" fillId="0" fontId="60" numFmtId="0" xfId="0" applyAlignment="1" applyBorder="1" applyFont="1">
      <alignment horizontal="center" readingOrder="0" shrinkToFit="0" wrapText="0"/>
    </xf>
    <xf borderId="6" fillId="0" fontId="60" numFmtId="0" xfId="0" applyAlignment="1" applyBorder="1" applyFont="1">
      <alignment horizontal="left" readingOrder="0" shrinkToFit="0" vertical="bottom" wrapText="0"/>
    </xf>
    <xf borderId="5" fillId="0" fontId="60" numFmtId="0" xfId="0" applyAlignment="1" applyBorder="1" applyFont="1">
      <alignment horizontal="center" shrinkToFit="0" vertical="bottom" wrapText="0"/>
    </xf>
    <xf borderId="12" fillId="0" fontId="60" numFmtId="0" xfId="0" applyAlignment="1" applyBorder="1" applyFont="1">
      <alignment horizontal="center" shrinkToFit="0" vertical="bottom" wrapText="0"/>
    </xf>
    <xf borderId="33" fillId="0" fontId="60" numFmtId="0" xfId="0" applyAlignment="1" applyBorder="1" applyFont="1">
      <alignment shrinkToFit="0" wrapText="0"/>
    </xf>
    <xf borderId="33" fillId="0" fontId="60" numFmtId="0" xfId="0" applyAlignment="1" applyBorder="1" applyFont="1">
      <alignment readingOrder="0" shrinkToFit="0" vertical="bottom" wrapText="0"/>
    </xf>
    <xf borderId="9" fillId="0" fontId="60" numFmtId="0" xfId="0" applyAlignment="1" applyBorder="1" applyFont="1">
      <alignment readingOrder="0" shrinkToFit="0" wrapText="0"/>
    </xf>
    <xf borderId="7" fillId="0" fontId="60" numFmtId="0" xfId="0" applyAlignment="1" applyBorder="1" applyFont="1">
      <alignment readingOrder="0" shrinkToFit="0" wrapText="0"/>
    </xf>
    <xf borderId="5" fillId="0" fontId="60" numFmtId="0" xfId="0" applyAlignment="1" applyBorder="1" applyFont="1">
      <alignment horizontal="center" readingOrder="0" shrinkToFit="0" vertical="bottom" wrapText="0"/>
    </xf>
    <xf borderId="7" fillId="0" fontId="60" numFmtId="0" xfId="0" applyAlignment="1" applyBorder="1" applyFont="1">
      <alignment shrinkToFit="0" vertical="bottom" wrapText="1"/>
    </xf>
    <xf borderId="12" fillId="0" fontId="60" numFmtId="3" xfId="0" applyAlignment="1" applyBorder="1" applyFont="1" applyNumberFormat="1">
      <alignment readingOrder="0" shrinkToFit="0" wrapText="0"/>
    </xf>
    <xf borderId="12" fillId="0" fontId="60" numFmtId="3" xfId="0" applyAlignment="1" applyBorder="1" applyFont="1" applyNumberFormat="1">
      <alignment shrinkToFit="0" vertical="bottom" wrapText="0"/>
    </xf>
    <xf borderId="12" fillId="0" fontId="60" numFmtId="0" xfId="0" applyAlignment="1" applyBorder="1" applyFont="1">
      <alignment shrinkToFit="0" vertical="bottom" wrapText="1"/>
    </xf>
    <xf borderId="12" fillId="0" fontId="60" numFmtId="3" xfId="0" applyAlignment="1" applyBorder="1" applyFont="1" applyNumberFormat="1">
      <alignment shrinkToFit="0" wrapText="0"/>
    </xf>
    <xf borderId="12" fillId="0" fontId="60" numFmtId="0" xfId="0" applyAlignment="1" applyBorder="1" applyFont="1">
      <alignment shrinkToFit="0" vertical="bottom" wrapText="0"/>
    </xf>
    <xf borderId="5" fillId="17" fontId="60" numFmtId="0" xfId="0" applyAlignment="1" applyBorder="1" applyFill="1" applyFont="1">
      <alignment horizontal="center" shrinkToFit="0" vertical="bottom" wrapText="0"/>
    </xf>
    <xf borderId="12" fillId="17" fontId="60" numFmtId="0" xfId="0" applyAlignment="1" applyBorder="1" applyFont="1">
      <alignment readingOrder="0" shrinkToFit="0" vertical="bottom" wrapText="0"/>
    </xf>
    <xf borderId="12" fillId="17" fontId="60" numFmtId="0" xfId="0" applyAlignment="1" applyBorder="1" applyFont="1">
      <alignment shrinkToFit="0" vertical="bottom" wrapText="0"/>
    </xf>
    <xf borderId="12" fillId="17" fontId="60" numFmtId="0" xfId="0" applyAlignment="1" applyBorder="1" applyFont="1">
      <alignment shrinkToFit="0" vertical="bottom" wrapText="1"/>
    </xf>
    <xf borderId="33" fillId="0" fontId="60" numFmtId="0" xfId="0" applyAlignment="1" applyBorder="1" applyFont="1">
      <alignment readingOrder="0" shrinkToFit="0" wrapText="0"/>
    </xf>
    <xf borderId="33" fillId="0" fontId="60" numFmtId="0" xfId="0" applyAlignment="1" applyBorder="1" applyFont="1">
      <alignment shrinkToFit="0" vertical="bottom" wrapText="0"/>
    </xf>
    <xf borderId="33" fillId="0" fontId="60" numFmtId="3" xfId="0" applyAlignment="1" applyBorder="1" applyFont="1" applyNumberFormat="1">
      <alignment shrinkToFit="0" vertical="bottom" wrapText="0"/>
    </xf>
    <xf borderId="5" fillId="2" fontId="54" numFmtId="0" xfId="0" applyAlignment="1" applyBorder="1" applyFont="1">
      <alignment horizontal="center" readingOrder="0" shrinkToFit="0" wrapText="0"/>
    </xf>
    <xf borderId="3" fillId="2" fontId="54" numFmtId="0" xfId="0" applyAlignment="1" applyBorder="1" applyFont="1">
      <alignment horizontal="center" readingOrder="0" shrinkToFit="0" wrapText="0"/>
    </xf>
    <xf borderId="3" fillId="2" fontId="54" numFmtId="0" xfId="0" applyAlignment="1" applyBorder="1" applyFont="1">
      <alignment horizontal="center" readingOrder="0"/>
    </xf>
    <xf borderId="3" fillId="2" fontId="54" numFmtId="0" xfId="0" applyAlignment="1" applyBorder="1" applyFont="1">
      <alignment horizontal="center" readingOrder="0" shrinkToFit="0" wrapText="1"/>
    </xf>
    <xf borderId="12" fillId="8" fontId="56" numFmtId="0" xfId="0" applyAlignment="1" applyBorder="1" applyFont="1">
      <alignment shrinkToFit="0" wrapText="0"/>
    </xf>
    <xf borderId="33" fillId="8" fontId="56" numFmtId="3" xfId="0" applyAlignment="1" applyBorder="1" applyFont="1" applyNumberFormat="1">
      <alignment shrinkToFit="0" vertical="bottom" wrapText="0"/>
    </xf>
    <xf borderId="12" fillId="8" fontId="56" numFmtId="3" xfId="0" applyAlignment="1" applyBorder="1" applyFont="1" applyNumberFormat="1">
      <alignment readingOrder="0" shrinkToFit="0" wrapText="0"/>
    </xf>
    <xf borderId="7" fillId="8" fontId="56" numFmtId="3" xfId="0" applyAlignment="1" applyBorder="1" applyFont="1" applyNumberFormat="1">
      <alignment readingOrder="0" shrinkToFit="0" vertical="bottom" wrapText="0"/>
    </xf>
    <xf borderId="7" fillId="14" fontId="56" numFmtId="3" xfId="0" applyAlignment="1" applyBorder="1" applyFont="1" applyNumberFormat="1">
      <alignment readingOrder="0" shrinkToFit="0" vertical="bottom" wrapText="0"/>
    </xf>
    <xf borderId="12" fillId="14" fontId="56" numFmtId="3" xfId="0" applyAlignment="1" applyBorder="1" applyFont="1" applyNumberFormat="1">
      <alignment readingOrder="0" shrinkToFit="0" vertical="bottom" wrapText="0"/>
    </xf>
    <xf borderId="33" fillId="8" fontId="56" numFmtId="3" xfId="0" applyAlignment="1" applyBorder="1" applyFont="1" applyNumberFormat="1">
      <alignment readingOrder="0" shrinkToFit="0" wrapText="0"/>
    </xf>
    <xf borderId="33" fillId="14" fontId="56" numFmtId="3" xfId="0" applyAlignment="1" applyBorder="1" applyFont="1" applyNumberFormat="1">
      <alignment readingOrder="0" shrinkToFit="0" vertical="bottom" wrapText="0"/>
    </xf>
    <xf borderId="9" fillId="8" fontId="56" numFmtId="3" xfId="0" applyAlignment="1" applyBorder="1" applyFont="1" applyNumberFormat="1">
      <alignment readingOrder="0" shrinkToFit="0" wrapText="0"/>
    </xf>
    <xf borderId="3" fillId="8" fontId="56" numFmtId="3" xfId="0" applyAlignment="1" applyBorder="1" applyFont="1" applyNumberFormat="1">
      <alignment shrinkToFit="0" vertical="bottom" wrapText="0"/>
    </xf>
    <xf borderId="12" fillId="2" fontId="54" numFmtId="3" xfId="0" applyAlignment="1" applyBorder="1" applyFont="1" applyNumberFormat="1">
      <alignment readingOrder="0" shrinkToFit="0" vertical="bottom" wrapText="0"/>
    </xf>
    <xf borderId="12" fillId="2" fontId="54" numFmtId="3" xfId="0" applyAlignment="1" applyBorder="1" applyFont="1" applyNumberFormat="1">
      <alignment shrinkToFit="0" vertical="bottom" wrapText="0"/>
    </xf>
    <xf borderId="33" fillId="8" fontId="56" numFmtId="3" xfId="0" applyAlignment="1" applyBorder="1" applyFont="1" applyNumberFormat="1">
      <alignment readingOrder="0" shrinkToFit="0" vertical="bottom" wrapText="0"/>
    </xf>
    <xf borderId="12" fillId="0" fontId="56" numFmtId="3" xfId="0" applyAlignment="1" applyBorder="1" applyFont="1" applyNumberFormat="1">
      <alignment readingOrder="0" shrinkToFit="0" vertical="bottom" wrapText="0"/>
    </xf>
    <xf borderId="0" fillId="0" fontId="62" numFmtId="0" xfId="0" applyAlignment="1" applyFont="1">
      <alignment horizontal="center"/>
    </xf>
    <xf borderId="4" fillId="10" fontId="51" numFmtId="0" xfId="0" applyAlignment="1" applyBorder="1" applyFont="1">
      <alignment vertical="top"/>
    </xf>
    <xf borderId="8" fillId="10" fontId="63" numFmtId="0" xfId="0" applyAlignment="1" applyBorder="1" applyFont="1">
      <alignment horizontal="center" shrinkToFit="0" wrapText="1"/>
    </xf>
    <xf borderId="9" fillId="0" fontId="6" numFmtId="0" xfId="0" applyBorder="1" applyFont="1"/>
    <xf borderId="8" fillId="4" fontId="63" numFmtId="0" xfId="0" applyAlignment="1" applyBorder="1" applyFont="1">
      <alignment horizontal="center" shrinkToFit="0" wrapText="1"/>
    </xf>
    <xf borderId="2" fillId="0" fontId="6" numFmtId="0" xfId="0" applyBorder="1" applyFont="1"/>
    <xf borderId="8" fillId="18" fontId="63" numFmtId="0" xfId="0" applyAlignment="1" applyBorder="1" applyFill="1" applyFont="1">
      <alignment horizontal="center" shrinkToFit="0" wrapText="1"/>
    </xf>
    <xf borderId="10" fillId="0" fontId="6" numFmtId="0" xfId="0" applyBorder="1" applyFont="1"/>
    <xf borderId="34" fillId="0" fontId="6" numFmtId="0" xfId="0" applyBorder="1" applyFont="1"/>
    <xf borderId="33" fillId="0" fontId="6" numFmtId="0" xfId="0" applyBorder="1" applyFont="1"/>
    <xf borderId="11" fillId="0" fontId="6" numFmtId="0" xfId="0" applyBorder="1" applyFont="1"/>
    <xf borderId="1" fillId="0" fontId="6" numFmtId="0" xfId="0" applyBorder="1" applyFont="1"/>
    <xf borderId="12" fillId="0" fontId="6" numFmtId="0" xfId="0" applyBorder="1" applyFont="1"/>
    <xf borderId="13" fillId="0" fontId="6" numFmtId="0" xfId="0" applyBorder="1" applyFont="1"/>
    <xf borderId="3" fillId="4" fontId="63" numFmtId="0" xfId="0" applyAlignment="1" applyBorder="1" applyFont="1">
      <alignment horizontal="center" shrinkToFit="0" vertical="top" wrapText="1"/>
    </xf>
    <xf borderId="3" fillId="18" fontId="63" numFmtId="0" xfId="0" applyAlignment="1" applyBorder="1" applyFont="1">
      <alignment horizontal="center" shrinkToFit="0" vertical="top" wrapText="1"/>
    </xf>
    <xf borderId="3" fillId="19" fontId="63" numFmtId="0" xfId="0" applyAlignment="1" applyBorder="1" applyFill="1" applyFont="1">
      <alignment horizontal="center" vertical="top"/>
    </xf>
    <xf borderId="5" fillId="19" fontId="63" numFmtId="0" xfId="0" applyAlignment="1" applyBorder="1" applyFont="1">
      <alignment shrinkToFit="0" vertical="top" wrapText="1"/>
    </xf>
    <xf borderId="7" fillId="0" fontId="6" numFmtId="0" xfId="0" applyBorder="1" applyFont="1"/>
    <xf borderId="3" fillId="14" fontId="63" numFmtId="3" xfId="0" applyAlignment="1" applyBorder="1" applyFont="1" applyNumberFormat="1">
      <alignment horizontal="center" vertical="top"/>
    </xf>
    <xf borderId="3" fillId="14" fontId="63" numFmtId="10" xfId="0" applyAlignment="1" applyBorder="1" applyFont="1" applyNumberFormat="1">
      <alignment vertical="top"/>
    </xf>
    <xf borderId="3" fillId="20" fontId="63" numFmtId="3" xfId="0" applyAlignment="1" applyBorder="1" applyFill="1" applyFont="1" applyNumberFormat="1">
      <alignment horizontal="center" vertical="top"/>
    </xf>
    <xf borderId="3" fillId="20" fontId="63" numFmtId="10" xfId="0" applyAlignment="1" applyBorder="1" applyFont="1" applyNumberFormat="1">
      <alignment vertical="top"/>
    </xf>
    <xf borderId="3" fillId="0" fontId="51" numFmtId="0" xfId="0" applyAlignment="1" applyBorder="1" applyFont="1">
      <alignment horizontal="center" vertical="top"/>
    </xf>
    <xf borderId="5" fillId="0" fontId="51" numFmtId="0" xfId="0" applyAlignment="1" applyBorder="1" applyFont="1">
      <alignment shrinkToFit="0" vertical="top" wrapText="1"/>
    </xf>
    <xf borderId="3" fillId="0" fontId="51" numFmtId="3" xfId="0" applyAlignment="1" applyBorder="1" applyFont="1" applyNumberFormat="1">
      <alignment horizontal="center" vertical="top"/>
    </xf>
    <xf borderId="3" fillId="8" fontId="64" numFmtId="3" xfId="0" applyAlignment="1" applyBorder="1" applyFont="1" applyNumberFormat="1">
      <alignment horizontal="center" readingOrder="0" shrinkToFit="0" vertical="center" wrapText="0"/>
    </xf>
    <xf borderId="3" fillId="7" fontId="51" numFmtId="10" xfId="0" applyAlignment="1" applyBorder="1" applyFont="1" applyNumberFormat="1">
      <alignment vertical="top"/>
    </xf>
    <xf borderId="3" fillId="7" fontId="51" numFmtId="3" xfId="0" applyAlignment="1" applyBorder="1" applyFont="1" applyNumberFormat="1">
      <alignment horizontal="center" vertical="top"/>
    </xf>
    <xf borderId="3" fillId="0" fontId="51" numFmtId="3" xfId="0" applyAlignment="1" applyBorder="1" applyFont="1" applyNumberFormat="1">
      <alignment horizontal="center" readingOrder="0" vertical="top"/>
    </xf>
    <xf borderId="3" fillId="8" fontId="64" numFmtId="3" xfId="0" applyAlignment="1" applyBorder="1" applyFont="1" applyNumberFormat="1">
      <alignment horizontal="center" shrinkToFit="0" vertical="center" wrapText="0"/>
    </xf>
    <xf borderId="3" fillId="7" fontId="51" numFmtId="10" xfId="0" applyAlignment="1" applyBorder="1" applyFont="1" applyNumberFormat="1">
      <alignment readingOrder="0" vertical="top"/>
    </xf>
    <xf borderId="3" fillId="7" fontId="51" numFmtId="3" xfId="0" applyAlignment="1" applyBorder="1" applyFont="1" applyNumberFormat="1">
      <alignment horizontal="center" readingOrder="0" vertical="top"/>
    </xf>
    <xf borderId="3" fillId="7" fontId="63" numFmtId="10" xfId="0" applyAlignment="1" applyBorder="1" applyFont="1" applyNumberFormat="1">
      <alignment vertical="top"/>
    </xf>
    <xf borderId="3" fillId="0" fontId="51" numFmtId="3" xfId="0" applyAlignment="1" applyBorder="1" applyFont="1" applyNumberFormat="1">
      <alignment vertical="top"/>
    </xf>
    <xf borderId="4" fillId="0" fontId="51" numFmtId="0" xfId="0" applyAlignment="1" applyBorder="1" applyFont="1">
      <alignment horizontal="center" vertical="top"/>
    </xf>
    <xf borderId="3" fillId="0" fontId="51" numFmtId="168" xfId="0" applyAlignment="1" applyBorder="1" applyFont="1" applyNumberFormat="1">
      <alignment horizontal="center" vertical="top"/>
    </xf>
    <xf borderId="3" fillId="0" fontId="51" numFmtId="0" xfId="0" applyAlignment="1" applyBorder="1" applyFont="1">
      <alignment shrinkToFit="0" vertical="top" wrapText="1"/>
    </xf>
    <xf borderId="4" fillId="0" fontId="51" numFmtId="168" xfId="0" applyAlignment="1" applyBorder="1" applyFont="1" applyNumberFormat="1">
      <alignment horizontal="center" vertical="top"/>
    </xf>
    <xf borderId="4" fillId="0" fontId="51" numFmtId="0" xfId="0" applyAlignment="1" applyBorder="1" applyFont="1">
      <alignment shrinkToFit="0" vertical="top" wrapText="1"/>
    </xf>
    <xf borderId="4" fillId="0" fontId="51" numFmtId="3" xfId="0" applyAlignment="1" applyBorder="1" applyFont="1" applyNumberFormat="1">
      <alignment horizontal="center" vertical="top"/>
    </xf>
    <xf borderId="4" fillId="7" fontId="51" numFmtId="3" xfId="0" applyAlignment="1" applyBorder="1" applyFont="1" applyNumberFormat="1">
      <alignment horizontal="center" vertical="top"/>
    </xf>
    <xf borderId="5" fillId="19" fontId="63" numFmtId="0" xfId="0" applyAlignment="1" applyBorder="1" applyFont="1">
      <alignment horizontal="center" shrinkToFit="0" vertical="top" wrapText="1"/>
    </xf>
    <xf borderId="3" fillId="13" fontId="63" numFmtId="3" xfId="0" applyAlignment="1" applyBorder="1" applyFont="1" applyNumberFormat="1">
      <alignment horizontal="center" vertical="top"/>
    </xf>
    <xf borderId="3" fillId="20" fontId="63" numFmtId="3" xfId="0" applyAlignment="1" applyBorder="1" applyFont="1" applyNumberFormat="1">
      <alignment horizontal="center" vertical="top"/>
    </xf>
    <xf borderId="5" fillId="21" fontId="63" numFmtId="0" xfId="0" applyAlignment="1" applyBorder="1" applyFill="1" applyFont="1">
      <alignment horizontal="center" readingOrder="0" vertical="bottom"/>
    </xf>
    <xf borderId="5" fillId="21" fontId="63" numFmtId="3" xfId="0" applyAlignment="1" applyBorder="1" applyFont="1" applyNumberFormat="1">
      <alignment horizontal="center" vertical="bottom"/>
    </xf>
    <xf borderId="5" fillId="21" fontId="63" numFmtId="10" xfId="0" applyAlignment="1" applyBorder="1" applyFont="1" applyNumberFormat="1">
      <alignment horizontal="center" vertical="bottom"/>
    </xf>
    <xf borderId="0" fillId="0" fontId="62" numFmtId="0" xfId="0" applyAlignment="1" applyFont="1">
      <alignment horizontal="center" readingOrder="0"/>
    </xf>
    <xf borderId="0" fillId="0" fontId="51" numFmtId="0" xfId="0" applyAlignment="1" applyFont="1">
      <alignment horizontal="center"/>
    </xf>
    <xf borderId="4" fillId="10" fontId="63" numFmtId="0" xfId="0" applyAlignment="1" applyBorder="1" applyFont="1">
      <alignment horizontal="center" readingOrder="0" vertical="center"/>
    </xf>
    <xf borderId="4" fillId="10" fontId="63" numFmtId="0" xfId="0" applyAlignment="1" applyBorder="1" applyFont="1">
      <alignment horizontal="center" readingOrder="0" shrinkToFit="0" vertical="center" wrapText="1"/>
    </xf>
    <xf borderId="8" fillId="4" fontId="63" numFmtId="0" xfId="0" applyAlignment="1" applyBorder="1" applyFont="1">
      <alignment horizontal="center" readingOrder="0" shrinkToFit="0" vertical="center" wrapText="1"/>
    </xf>
    <xf borderId="8" fillId="18" fontId="63" numFmtId="0" xfId="0" applyAlignment="1" applyBorder="1" applyFont="1">
      <alignment horizontal="center" readingOrder="0" shrinkToFit="0" vertical="center" wrapText="1"/>
    </xf>
    <xf borderId="4" fillId="4" fontId="63" numFmtId="0" xfId="0" applyAlignment="1" applyBorder="1" applyFont="1">
      <alignment horizontal="center" readingOrder="0" shrinkToFit="0" vertical="center" wrapText="1"/>
    </xf>
    <xf borderId="3" fillId="4" fontId="63" numFmtId="0" xfId="0" applyAlignment="1" applyBorder="1" applyFont="1">
      <alignment horizontal="center" shrinkToFit="0" vertical="center" wrapText="1"/>
    </xf>
    <xf borderId="3" fillId="4" fontId="63" numFmtId="0" xfId="0" applyAlignment="1" applyBorder="1" applyFont="1">
      <alignment horizontal="center" readingOrder="0" shrinkToFit="0" vertical="center" wrapText="1"/>
    </xf>
    <xf borderId="4" fillId="18" fontId="63" numFmtId="0" xfId="0" applyAlignment="1" applyBorder="1" applyFont="1">
      <alignment horizontal="center" readingOrder="0" shrinkToFit="0" vertical="center" wrapText="1"/>
    </xf>
    <xf borderId="3" fillId="18" fontId="63" numFmtId="0" xfId="0" applyAlignment="1" applyBorder="1" applyFont="1">
      <alignment horizontal="center" shrinkToFit="0" vertical="center" wrapText="1"/>
    </xf>
    <xf borderId="3" fillId="18" fontId="63" numFmtId="0" xfId="0" applyAlignment="1" applyBorder="1" applyFont="1">
      <alignment horizontal="center" readingOrder="0" shrinkToFit="0" vertical="center" wrapText="1"/>
    </xf>
    <xf borderId="3" fillId="8" fontId="51" numFmtId="0" xfId="0" applyAlignment="1" applyBorder="1" applyFont="1">
      <alignment horizontal="center" readingOrder="0" vertical="top"/>
    </xf>
    <xf borderId="13" fillId="0" fontId="65" numFmtId="0" xfId="0" applyAlignment="1" applyBorder="1" applyFont="1">
      <alignment vertical="bottom"/>
    </xf>
    <xf borderId="4" fillId="8" fontId="51" numFmtId="3" xfId="0" applyAlignment="1" applyBorder="1" applyFont="1" applyNumberFormat="1">
      <alignment horizontal="center" vertical="center"/>
    </xf>
    <xf borderId="7" fillId="8" fontId="51" numFmtId="3" xfId="0" applyAlignment="1" applyBorder="1" applyFont="1" applyNumberFormat="1">
      <alignment horizontal="center" vertical="top"/>
    </xf>
    <xf borderId="5" fillId="8" fontId="63" numFmtId="169" xfId="0" applyAlignment="1" applyBorder="1" applyFont="1" applyNumberFormat="1">
      <alignment horizontal="center" vertical="top"/>
    </xf>
    <xf borderId="3" fillId="8" fontId="63" numFmtId="169" xfId="0" applyAlignment="1" applyBorder="1" applyFont="1" applyNumberFormat="1">
      <alignment horizontal="center" vertical="top"/>
    </xf>
    <xf borderId="0" fillId="0" fontId="44" numFmtId="170" xfId="0" applyAlignment="1" applyFont="1" applyNumberFormat="1">
      <alignment readingOrder="0"/>
    </xf>
    <xf borderId="3" fillId="0" fontId="65" numFmtId="0" xfId="0" applyAlignment="1" applyBorder="1" applyFont="1">
      <alignment vertical="bottom"/>
    </xf>
    <xf borderId="3" fillId="7" fontId="65" numFmtId="0" xfId="0" applyAlignment="1" applyBorder="1" applyFont="1">
      <alignment vertical="bottom"/>
    </xf>
    <xf borderId="7" fillId="7" fontId="51" numFmtId="3" xfId="0" applyAlignment="1" applyBorder="1" applyFont="1" applyNumberFormat="1">
      <alignment horizontal="center" vertical="top"/>
    </xf>
    <xf borderId="0" fillId="7" fontId="44" numFmtId="0" xfId="0" applyAlignment="1" applyFont="1">
      <alignment readingOrder="0"/>
    </xf>
    <xf borderId="0" fillId="7" fontId="44" numFmtId="0" xfId="0" applyFont="1"/>
    <xf borderId="0" fillId="0" fontId="66" numFmtId="0" xfId="0" applyAlignment="1" applyFont="1">
      <alignment vertical="bottom"/>
    </xf>
    <xf borderId="3" fillId="0" fontId="65" numFmtId="0" xfId="0" applyAlignment="1" applyBorder="1" applyFont="1">
      <alignment readingOrder="0" vertical="bottom"/>
    </xf>
    <xf borderId="3" fillId="14" fontId="63" numFmtId="10" xfId="0" applyAlignment="1" applyBorder="1" applyFont="1" applyNumberFormat="1">
      <alignment horizontal="center" vertical="top"/>
    </xf>
    <xf borderId="0" fillId="20" fontId="63" numFmtId="3" xfId="0" applyAlignment="1" applyFont="1" applyNumberFormat="1">
      <alignment horizontal="center" vertical="top"/>
    </xf>
    <xf borderId="3" fillId="20" fontId="63" numFmtId="10" xfId="0" applyAlignment="1" applyBorder="1" applyFont="1" applyNumberFormat="1">
      <alignment horizontal="center" vertical="top"/>
    </xf>
    <xf borderId="3" fillId="21" fontId="63" numFmtId="3" xfId="0" applyAlignment="1" applyBorder="1" applyFont="1" applyNumberFormat="1">
      <alignment horizontal="center" vertical="bottom"/>
    </xf>
    <xf borderId="3" fillId="21" fontId="63" numFmtId="10" xfId="0" applyAlignment="1" applyBorder="1" applyFont="1" applyNumberFormat="1">
      <alignment horizontal="center" vertical="bottom"/>
    </xf>
    <xf borderId="0" fillId="0" fontId="44" numFmtId="0" xfId="0" applyAlignment="1" applyFont="1">
      <alignment horizontal="center"/>
    </xf>
    <xf borderId="4" fillId="0" fontId="67" numFmtId="0" xfId="0" applyAlignment="1" applyBorder="1" applyFont="1">
      <alignment horizontal="center" readingOrder="0" shrinkToFit="0" vertical="center" wrapText="1"/>
    </xf>
    <xf borderId="4" fillId="0" fontId="68" numFmtId="0" xfId="0" applyAlignment="1" applyBorder="1" applyFont="1">
      <alignment horizontal="center" readingOrder="0" shrinkToFit="0" vertical="center" wrapText="1"/>
    </xf>
    <xf borderId="5" fillId="22" fontId="68" numFmtId="0" xfId="0" applyAlignment="1" applyBorder="1" applyFill="1" applyFont="1">
      <alignment horizontal="center" readingOrder="0" shrinkToFit="0" vertical="center" wrapText="1"/>
    </xf>
    <xf borderId="6" fillId="23" fontId="68" numFmtId="0" xfId="0" applyAlignment="1" applyBorder="1" applyFill="1" applyFont="1">
      <alignment horizontal="center" readingOrder="0" shrinkToFit="0" vertical="center" wrapText="1"/>
    </xf>
    <xf borderId="0" fillId="0" fontId="44" numFmtId="0" xfId="0" applyAlignment="1" applyFont="1">
      <alignment vertical="center"/>
    </xf>
    <xf borderId="6" fillId="2" fontId="68" numFmtId="0" xfId="0" applyAlignment="1" applyBorder="1" applyFont="1">
      <alignment horizontal="center" readingOrder="0" shrinkToFit="0" vertical="center" wrapText="1"/>
    </xf>
    <xf borderId="5" fillId="3" fontId="69" numFmtId="0" xfId="0" applyAlignment="1" applyBorder="1" applyFont="1">
      <alignment horizontal="center" readingOrder="0" shrinkToFit="0" vertical="center" wrapText="1"/>
    </xf>
    <xf borderId="12" fillId="3" fontId="69" numFmtId="0" xfId="0" applyAlignment="1" applyBorder="1" applyFont="1">
      <alignment horizontal="center" shrinkToFit="0" vertical="center" wrapText="1"/>
    </xf>
    <xf borderId="6" fillId="3" fontId="69" numFmtId="0" xfId="0" applyAlignment="1" applyBorder="1" applyFont="1">
      <alignment horizontal="center" readingOrder="0" shrinkToFit="0" vertical="center" wrapText="1"/>
    </xf>
    <xf borderId="12" fillId="3" fontId="69" numFmtId="0" xfId="0" applyAlignment="1" applyBorder="1" applyFont="1">
      <alignment horizontal="center" readingOrder="0" shrinkToFit="0" vertical="center" wrapText="1"/>
    </xf>
    <xf borderId="6" fillId="24" fontId="69" numFmtId="0" xfId="0" applyAlignment="1" applyBorder="1" applyFill="1" applyFont="1">
      <alignment horizontal="center" readingOrder="0" shrinkToFit="0" vertical="center" wrapText="1"/>
    </xf>
    <xf borderId="12" fillId="24" fontId="69" numFmtId="0" xfId="0" applyAlignment="1" applyBorder="1" applyFont="1">
      <alignment horizontal="center" readingOrder="0" shrinkToFit="0" vertical="center" wrapText="1"/>
    </xf>
    <xf borderId="6" fillId="25" fontId="69" numFmtId="0" xfId="0" applyAlignment="1" applyBorder="1" applyFill="1" applyFont="1">
      <alignment horizontal="center" readingOrder="0" shrinkToFit="0" vertical="center" wrapText="1"/>
    </xf>
    <xf borderId="12" fillId="25" fontId="69" numFmtId="0" xfId="0" applyAlignment="1" applyBorder="1" applyFont="1">
      <alignment horizontal="center" readingOrder="0" shrinkToFit="0" vertical="center" wrapText="1"/>
    </xf>
    <xf borderId="10" fillId="25" fontId="69" numFmtId="0" xfId="0" applyAlignment="1" applyBorder="1" applyFont="1">
      <alignment horizontal="center" readingOrder="0" shrinkToFit="0" vertical="center" wrapText="1"/>
    </xf>
    <xf borderId="5" fillId="0" fontId="69" numFmtId="0" xfId="0" applyAlignment="1" applyBorder="1" applyFont="1">
      <alignment horizontal="center" readingOrder="0" shrinkToFit="0" vertical="center" wrapText="1"/>
    </xf>
    <xf borderId="12" fillId="0" fontId="69" numFmtId="0" xfId="0" applyAlignment="1" applyBorder="1" applyFont="1">
      <alignment horizontal="center" readingOrder="0" shrinkToFit="0" vertical="center" wrapText="1"/>
    </xf>
    <xf borderId="10" fillId="0" fontId="69" numFmtId="0" xfId="0" applyAlignment="1" applyBorder="1" applyFont="1">
      <alignment horizontal="center" readingOrder="0" shrinkToFit="0" vertical="center" wrapText="1"/>
    </xf>
    <xf borderId="6" fillId="0" fontId="69" numFmtId="0" xfId="0" applyAlignment="1" applyBorder="1" applyFont="1">
      <alignment horizontal="center" readingOrder="0" shrinkToFit="0" vertical="center" wrapText="1"/>
    </xf>
    <xf borderId="8" fillId="26" fontId="68" numFmtId="0" xfId="0" applyAlignment="1" applyBorder="1" applyFill="1" applyFont="1">
      <alignment horizontal="center" readingOrder="0" shrinkToFit="0" vertical="center" wrapText="1"/>
    </xf>
    <xf borderId="2" fillId="0" fontId="6" numFmtId="0" xfId="0" applyBorder="1" applyFont="1"/>
    <xf borderId="13" fillId="0" fontId="69" numFmtId="0" xfId="0" applyAlignment="1" applyBorder="1" applyFont="1">
      <alignment horizontal="center" readingOrder="0" shrinkToFit="0" vertical="center" wrapText="1"/>
    </xf>
    <xf borderId="13" fillId="0" fontId="69" numFmtId="0" xfId="0" applyAlignment="1" applyBorder="1" applyFont="1">
      <alignment horizontal="center" readingOrder="0" shrinkToFit="0" wrapText="1"/>
    </xf>
    <xf borderId="12" fillId="0" fontId="69" numFmtId="0" xfId="0" applyAlignment="1" applyBorder="1" applyFont="1">
      <alignment readingOrder="0" shrinkToFit="0" wrapText="1"/>
    </xf>
    <xf borderId="12" fillId="0" fontId="69" numFmtId="0" xfId="0" applyAlignment="1" applyBorder="1" applyFont="1">
      <alignment readingOrder="0" shrinkToFit="0" vertical="top" wrapText="1"/>
    </xf>
    <xf borderId="10" fillId="0" fontId="69" numFmtId="0" xfId="0" applyAlignment="1" applyBorder="1" applyFont="1">
      <alignment horizontal="center" readingOrder="0" shrinkToFit="0" wrapText="1"/>
    </xf>
    <xf borderId="10" fillId="0" fontId="69" numFmtId="0" xfId="0" applyAlignment="1" applyBorder="1" applyFont="1">
      <alignment readingOrder="0" shrinkToFit="0" vertical="top" wrapText="1"/>
    </xf>
    <xf borderId="10" fillId="0" fontId="69" numFmtId="0" xfId="0" applyAlignment="1" applyBorder="1" applyFont="1">
      <alignment horizontal="center" shrinkToFit="0" wrapText="1"/>
    </xf>
    <xf borderId="10" fillId="0" fontId="70" numFmtId="0" xfId="0" applyAlignment="1" applyBorder="1" applyFont="1">
      <alignment horizontal="center" shrinkToFit="0" wrapText="1"/>
    </xf>
    <xf borderId="12" fillId="0" fontId="69" numFmtId="0" xfId="0" applyAlignment="1" applyBorder="1" applyFont="1">
      <alignment shrinkToFit="0" wrapText="1"/>
    </xf>
    <xf borderId="10" fillId="0" fontId="70" numFmtId="3" xfId="0" applyAlignment="1" applyBorder="1" applyFont="1" applyNumberFormat="1">
      <alignment horizontal="center" readingOrder="0" shrinkToFit="0" wrapText="1"/>
    </xf>
    <xf borderId="12" fillId="0" fontId="70" numFmtId="0" xfId="0" applyAlignment="1" applyBorder="1" applyFont="1">
      <alignment shrinkToFit="0" wrapText="1"/>
    </xf>
    <xf borderId="12" fillId="27" fontId="71" numFmtId="0" xfId="0" applyAlignment="1" applyBorder="1" applyFill="1" applyFont="1">
      <alignment readingOrder="0" shrinkToFit="0" vertical="top" wrapText="1"/>
    </xf>
    <xf borderId="10" fillId="0" fontId="72" numFmtId="0" xfId="0" applyAlignment="1" applyBorder="1" applyFont="1">
      <alignment readingOrder="0" shrinkToFit="0" vertical="top" wrapText="1"/>
    </xf>
    <xf borderId="12" fillId="27" fontId="69" numFmtId="0" xfId="0" applyAlignment="1" applyBorder="1" applyFont="1">
      <alignment readingOrder="0" shrinkToFit="0" vertical="top" wrapText="1"/>
    </xf>
    <xf quotePrefix="1" borderId="10" fillId="0" fontId="72" numFmtId="0" xfId="0" applyAlignment="1" applyBorder="1" applyFont="1">
      <alignment readingOrder="0" shrinkToFit="0" vertical="top" wrapText="1"/>
    </xf>
    <xf borderId="12" fillId="0" fontId="73" numFmtId="0" xfId="0" applyAlignment="1" applyBorder="1" applyFont="1">
      <alignment readingOrder="0" shrinkToFit="0" vertical="top" wrapText="1"/>
    </xf>
    <xf borderId="12" fillId="28" fontId="69" numFmtId="0" xfId="0" applyAlignment="1" applyBorder="1" applyFill="1" applyFont="1">
      <alignment readingOrder="0" shrinkToFit="0" vertical="top" wrapText="1"/>
    </xf>
    <xf borderId="12" fillId="0" fontId="71" numFmtId="0" xfId="0" applyAlignment="1" applyBorder="1" applyFont="1">
      <alignment readingOrder="0" shrinkToFit="0" vertical="top" wrapText="1"/>
    </xf>
    <xf borderId="12" fillId="28" fontId="72" numFmtId="0" xfId="0" applyAlignment="1" applyBorder="1" applyFont="1">
      <alignment readingOrder="0" shrinkToFit="0" vertical="top" wrapText="1"/>
    </xf>
    <xf borderId="12" fillId="29" fontId="69" numFmtId="0" xfId="0" applyAlignment="1" applyBorder="1" applyFill="1" applyFont="1">
      <alignment readingOrder="0" shrinkToFit="0" vertical="top" wrapText="1"/>
    </xf>
    <xf borderId="12" fillId="13" fontId="71" numFmtId="0" xfId="0" applyAlignment="1" applyBorder="1" applyFont="1">
      <alignment readingOrder="0" shrinkToFit="0" vertical="top" wrapText="1"/>
    </xf>
    <xf borderId="12" fillId="0" fontId="72" numFmtId="0" xfId="0" applyAlignment="1" applyBorder="1" applyFont="1">
      <alignment readingOrder="0" shrinkToFit="0" vertical="top" wrapText="1"/>
    </xf>
    <xf borderId="12" fillId="13" fontId="69" numFmtId="0" xfId="0" applyAlignment="1" applyBorder="1" applyFont="1">
      <alignment readingOrder="0" shrinkToFit="0" vertical="top" wrapText="1"/>
    </xf>
    <xf borderId="12" fillId="0" fontId="69" numFmtId="0" xfId="0" applyAlignment="1" applyBorder="1" applyFont="1">
      <alignment horizontal="center" readingOrder="0" shrinkToFit="0" wrapText="1"/>
    </xf>
    <xf borderId="34" fillId="0" fontId="69" numFmtId="0" xfId="0" applyAlignment="1" applyBorder="1" applyFont="1">
      <alignment horizontal="center" readingOrder="0" shrinkToFit="0" wrapText="1"/>
    </xf>
    <xf borderId="13" fillId="0" fontId="69" numFmtId="0" xfId="0" applyAlignment="1" applyBorder="1" applyFont="1">
      <alignment readingOrder="0" shrinkToFit="0" vertical="top" wrapText="1"/>
    </xf>
    <xf borderId="34" fillId="0" fontId="6" numFmtId="0" xfId="0" applyBorder="1" applyFont="1"/>
    <xf borderId="3" fillId="7" fontId="69" numFmtId="0" xfId="0" applyAlignment="1" applyBorder="1" applyFont="1">
      <alignment readingOrder="0" shrinkToFit="0" vertical="top" wrapText="1"/>
    </xf>
    <xf borderId="13" fillId="7" fontId="69" numFmtId="0" xfId="0" applyAlignment="1" applyBorder="1" applyFont="1">
      <alignment shrinkToFit="0" wrapText="1"/>
    </xf>
    <xf borderId="12" fillId="7" fontId="69" numFmtId="0" xfId="0" applyAlignment="1" applyBorder="1" applyFont="1">
      <alignment shrinkToFit="0" wrapText="1"/>
    </xf>
    <xf borderId="13" fillId="7" fontId="69" numFmtId="0" xfId="0" applyAlignment="1" applyBorder="1" applyFont="1">
      <alignment readingOrder="0" shrinkToFit="0" vertical="top" wrapText="1"/>
    </xf>
    <xf borderId="12" fillId="0" fontId="70" numFmtId="0" xfId="0" applyAlignment="1" applyBorder="1" applyFont="1">
      <alignment readingOrder="0" shrinkToFit="0" wrapText="1"/>
    </xf>
    <xf borderId="34" fillId="7" fontId="73" numFmtId="0" xfId="0" applyAlignment="1" applyBorder="1" applyFont="1">
      <alignment horizontal="center" readingOrder="0" shrinkToFit="0" wrapText="1"/>
    </xf>
    <xf borderId="12" fillId="7" fontId="72" numFmtId="0" xfId="0" applyAlignment="1" applyBorder="1" applyFont="1">
      <alignment readingOrder="0" shrinkToFit="0" vertical="top" wrapText="1"/>
    </xf>
    <xf borderId="12" fillId="7" fontId="69" numFmtId="0" xfId="0" applyAlignment="1" applyBorder="1" applyFont="1">
      <alignment readingOrder="0" shrinkToFit="0" vertical="top" wrapText="1"/>
    </xf>
    <xf borderId="10" fillId="7" fontId="73" numFmtId="0" xfId="0" applyAlignment="1" applyBorder="1" applyFont="1">
      <alignment horizontal="center" readingOrder="0" shrinkToFit="0" wrapText="1"/>
    </xf>
    <xf borderId="12" fillId="7" fontId="74" numFmtId="0" xfId="0" applyAlignment="1" applyBorder="1" applyFont="1">
      <alignment readingOrder="0" shrinkToFit="0" vertical="top" wrapText="1"/>
    </xf>
    <xf borderId="7" fillId="7" fontId="73" numFmtId="0" xfId="0" applyAlignment="1" applyBorder="1" applyFont="1">
      <alignment readingOrder="0" shrinkToFit="0" vertical="top" wrapText="1"/>
    </xf>
    <xf borderId="12" fillId="7" fontId="73" numFmtId="0" xfId="0" applyAlignment="1" applyBorder="1" applyFont="1">
      <alignment shrinkToFit="0" wrapText="1"/>
    </xf>
    <xf borderId="3" fillId="7" fontId="73" numFmtId="0" xfId="0" applyAlignment="1" applyBorder="1" applyFont="1">
      <alignment readingOrder="0" shrinkToFit="0" vertical="top" wrapText="1"/>
    </xf>
    <xf borderId="12" fillId="0" fontId="70" numFmtId="1" xfId="0" applyAlignment="1" applyBorder="1" applyFont="1" applyNumberFormat="1">
      <alignment readingOrder="0" shrinkToFit="0" wrapText="1"/>
    </xf>
    <xf borderId="13" fillId="7" fontId="72" numFmtId="0" xfId="0" applyAlignment="1" applyBorder="1" applyFont="1">
      <alignment readingOrder="0" shrinkToFit="0" vertical="top" wrapText="1"/>
    </xf>
    <xf borderId="12" fillId="0" fontId="70" numFmtId="3" xfId="0" applyAlignment="1" applyBorder="1" applyFont="1" applyNumberFormat="1">
      <alignment shrinkToFit="0" wrapText="1"/>
    </xf>
    <xf borderId="12" fillId="0" fontId="70" numFmtId="0" xfId="0" applyAlignment="1" applyBorder="1" applyFont="1">
      <alignment horizontal="right" readingOrder="0" shrinkToFit="0" wrapText="1"/>
    </xf>
    <xf borderId="12" fillId="0" fontId="70" numFmtId="4" xfId="0" applyAlignment="1" applyBorder="1" applyFont="1" applyNumberFormat="1">
      <alignment shrinkToFit="0" wrapText="1"/>
    </xf>
    <xf borderId="12" fillId="0" fontId="70" numFmtId="3" xfId="0" applyAlignment="1" applyBorder="1" applyFont="1" applyNumberFormat="1">
      <alignment readingOrder="0" shrinkToFit="0" wrapText="1"/>
    </xf>
    <xf borderId="10" fillId="7" fontId="69" numFmtId="0" xfId="0" applyAlignment="1" applyBorder="1" applyFont="1">
      <alignment readingOrder="0" shrinkToFit="0" vertical="top" wrapText="1"/>
    </xf>
    <xf borderId="10" fillId="7" fontId="69" numFmtId="0" xfId="0" applyAlignment="1" applyBorder="1" applyFont="1">
      <alignment horizontal="center" shrinkToFit="0" wrapText="1"/>
    </xf>
    <xf borderId="10" fillId="7" fontId="72" numFmtId="0" xfId="0" applyAlignment="1" applyBorder="1" applyFont="1">
      <alignment readingOrder="0" shrinkToFit="0" vertical="top" wrapText="1"/>
    </xf>
    <xf borderId="10" fillId="7" fontId="75" numFmtId="0" xfId="0" applyAlignment="1" applyBorder="1" applyFont="1">
      <alignment readingOrder="0" shrinkToFit="0" vertical="top" wrapText="1"/>
    </xf>
    <xf borderId="10" fillId="0" fontId="76" numFmtId="0" xfId="0" applyAlignment="1" applyBorder="1" applyFont="1">
      <alignment readingOrder="0" shrinkToFit="0" vertical="top" wrapText="1"/>
    </xf>
    <xf borderId="12" fillId="7" fontId="73" numFmtId="0" xfId="0" applyAlignment="1" applyBorder="1" applyFont="1">
      <alignment horizontal="center" readingOrder="0" shrinkToFit="0" wrapText="1"/>
    </xf>
    <xf borderId="12" fillId="7" fontId="77" numFmtId="0" xfId="0" applyAlignment="1" applyBorder="1" applyFont="1">
      <alignment readingOrder="0" shrinkToFit="0" vertical="top" wrapText="1"/>
    </xf>
    <xf borderId="4" fillId="3" fontId="78" numFmtId="0" xfId="0" applyAlignment="1" applyBorder="1" applyFont="1">
      <alignment horizontal="center" readingOrder="0" shrinkToFit="0" wrapText="0"/>
    </xf>
    <xf borderId="4" fillId="30" fontId="78" numFmtId="0" xfId="0" applyAlignment="1" applyBorder="1" applyFill="1" applyFont="1">
      <alignment horizontal="center" readingOrder="0" shrinkToFit="0" vertical="center" wrapText="1"/>
    </xf>
    <xf borderId="4" fillId="30" fontId="78" numFmtId="0" xfId="0" applyAlignment="1" applyBorder="1" applyFont="1">
      <alignment horizontal="center" readingOrder="0"/>
    </xf>
    <xf borderId="4" fillId="0" fontId="79" numFmtId="0" xfId="0" applyAlignment="1" applyBorder="1" applyFont="1">
      <alignment horizontal="center" readingOrder="0"/>
    </xf>
    <xf borderId="8" fillId="0" fontId="79" numFmtId="0" xfId="0" applyAlignment="1" applyBorder="1" applyFont="1">
      <alignment horizontal="center" readingOrder="0"/>
    </xf>
    <xf borderId="6" fillId="0" fontId="78" numFmtId="0" xfId="0" applyAlignment="1" applyBorder="1" applyFont="1">
      <alignment horizontal="center" readingOrder="0"/>
    </xf>
    <xf borderId="0" fillId="0" fontId="80" numFmtId="0" xfId="0" applyAlignment="1" applyFont="1">
      <alignment shrinkToFit="0" vertical="bottom" wrapText="0"/>
    </xf>
    <xf borderId="0" fillId="0" fontId="81" numFmtId="0" xfId="0" applyAlignment="1" applyFont="1">
      <alignment shrinkToFit="0" vertical="bottom" wrapText="0"/>
    </xf>
    <xf borderId="33" fillId="0" fontId="6" numFmtId="0" xfId="0" applyBorder="1" applyFont="1"/>
    <xf borderId="6" fillId="0" fontId="78" numFmtId="171" xfId="0" applyAlignment="1" applyBorder="1" applyFont="1" applyNumberFormat="1">
      <alignment horizontal="center" readingOrder="0" shrinkToFit="0" wrapText="0"/>
    </xf>
    <xf borderId="3" fillId="0" fontId="78" numFmtId="0" xfId="0" applyAlignment="1" applyBorder="1" applyFont="1">
      <alignment horizontal="center" readingOrder="0" shrinkToFit="0" wrapText="0"/>
    </xf>
    <xf borderId="6" fillId="0" fontId="78" numFmtId="0" xfId="0" applyAlignment="1" applyBorder="1" applyFont="1">
      <alignment horizontal="center" readingOrder="0" shrinkToFit="0" wrapText="0"/>
    </xf>
    <xf borderId="0" fillId="0" fontId="78" numFmtId="0" xfId="0" applyAlignment="1" applyFont="1">
      <alignment horizontal="center" shrinkToFit="0" wrapText="0"/>
    </xf>
    <xf borderId="3" fillId="0" fontId="79" numFmtId="0" xfId="0" applyAlignment="1" applyBorder="1" applyFont="1">
      <alignment horizontal="center" readingOrder="0"/>
    </xf>
    <xf borderId="3" fillId="0" fontId="79" numFmtId="0" xfId="0" applyBorder="1" applyFont="1"/>
    <xf borderId="3" fillId="0" fontId="79" numFmtId="0" xfId="0" applyAlignment="1" applyBorder="1" applyFont="1">
      <alignment readingOrder="0"/>
    </xf>
    <xf borderId="0" fillId="0" fontId="79" numFmtId="0" xfId="0" applyFont="1"/>
    <xf borderId="3" fillId="0" fontId="79" numFmtId="0" xfId="0" applyAlignment="1" applyBorder="1" applyFont="1">
      <alignment horizontal="center" readingOrder="0" shrinkToFit="0" wrapText="0"/>
    </xf>
    <xf borderId="3" fillId="0" fontId="79" numFmtId="0" xfId="0" applyAlignment="1" applyBorder="1" applyFont="1">
      <alignment readingOrder="0" shrinkToFit="0" wrapText="0"/>
    </xf>
    <xf borderId="10" fillId="0" fontId="79" numFmtId="0" xfId="0" applyAlignment="1" applyBorder="1" applyFont="1">
      <alignment horizontal="center" readingOrder="0" shrinkToFit="0" vertical="center" wrapText="1"/>
    </xf>
    <xf borderId="10" fillId="0" fontId="79" numFmtId="0" xfId="0" applyAlignment="1" applyBorder="1" applyFont="1">
      <alignment readingOrder="0"/>
    </xf>
    <xf borderId="10" fillId="0" fontId="79" numFmtId="0" xfId="0" applyAlignment="1" applyBorder="1" applyFont="1">
      <alignment horizontal="center" readingOrder="0" shrinkToFit="0" wrapText="0"/>
    </xf>
    <xf borderId="3" fillId="31" fontId="79" numFmtId="0" xfId="0" applyAlignment="1" applyBorder="1" applyFill="1" applyFont="1">
      <alignment horizontal="center" readingOrder="0" shrinkToFit="0" wrapText="0"/>
    </xf>
    <xf borderId="3" fillId="31" fontId="79" numFmtId="0" xfId="0" applyAlignment="1" applyBorder="1" applyFont="1">
      <alignment horizontal="center" readingOrder="0"/>
    </xf>
    <xf borderId="3" fillId="0" fontId="79" numFmtId="0" xfId="0" applyAlignment="1" applyBorder="1" applyFont="1">
      <alignment horizontal="center" shrinkToFit="0" wrapText="0"/>
    </xf>
    <xf borderId="3" fillId="0" fontId="79" numFmtId="0" xfId="0" applyAlignment="1" applyBorder="1" applyFont="1">
      <alignment shrinkToFit="0" wrapText="0"/>
    </xf>
    <xf borderId="1" fillId="0" fontId="79" numFmtId="0" xfId="0" applyAlignment="1" applyBorder="1" applyFont="1">
      <alignment horizontal="center" readingOrder="0" shrinkToFit="0" vertical="bottom" wrapText="0"/>
    </xf>
    <xf borderId="3" fillId="0" fontId="81" numFmtId="0" xfId="0" applyAlignment="1" applyBorder="1" applyFont="1">
      <alignment shrinkToFit="0" vertical="bottom" wrapText="0"/>
    </xf>
    <xf borderId="3" fillId="0" fontId="80" numFmtId="0" xfId="0" applyAlignment="1" applyBorder="1" applyFont="1">
      <alignment shrinkToFit="0" vertical="bottom" wrapText="0"/>
    </xf>
    <xf borderId="10" fillId="0" fontId="79" numFmtId="0" xfId="0" applyAlignment="1" applyBorder="1" applyFont="1">
      <alignment horizontal="center" readingOrder="0"/>
    </xf>
    <xf borderId="3" fillId="32" fontId="79" numFmtId="0" xfId="0" applyAlignment="1" applyBorder="1" applyFill="1" applyFont="1">
      <alignment horizontal="center" readingOrder="0" shrinkToFit="0" wrapText="0"/>
    </xf>
    <xf borderId="3" fillId="32" fontId="79" numFmtId="0" xfId="0" applyAlignment="1" applyBorder="1" applyFont="1">
      <alignment horizontal="center" readingOrder="0"/>
    </xf>
    <xf borderId="3" fillId="0" fontId="81" numFmtId="0" xfId="0" applyAlignment="1" applyBorder="1" applyFont="1">
      <alignment horizontal="right" readingOrder="0" shrinkToFit="0" vertical="bottom" wrapText="0"/>
    </xf>
    <xf borderId="10" fillId="0" fontId="79" numFmtId="0" xfId="0" applyBorder="1" applyFont="1"/>
    <xf borderId="3" fillId="0" fontId="79" numFmtId="0" xfId="0" applyAlignment="1" applyBorder="1" applyFont="1">
      <alignment horizontal="center"/>
    </xf>
    <xf borderId="0" fillId="0" fontId="79" numFmtId="0" xfId="0" applyAlignment="1" applyFont="1">
      <alignment readingOrder="0" vertical="top"/>
    </xf>
    <xf borderId="3" fillId="33" fontId="79" numFmtId="0" xfId="0" applyAlignment="1" applyBorder="1" applyFill="1" applyFont="1">
      <alignment horizontal="center" readingOrder="0" shrinkToFit="0" wrapText="0"/>
    </xf>
    <xf borderId="3" fillId="33" fontId="79" numFmtId="0" xfId="0" applyAlignment="1" applyBorder="1" applyFont="1">
      <alignment horizontal="center" readingOrder="0"/>
    </xf>
    <xf borderId="10" fillId="34" fontId="79" numFmtId="0" xfId="0" applyAlignment="1" applyBorder="1" applyFill="1" applyFont="1">
      <alignment readingOrder="0"/>
    </xf>
    <xf borderId="3" fillId="34" fontId="79" numFmtId="0" xfId="0" applyAlignment="1" applyBorder="1" applyFont="1">
      <alignment readingOrder="0"/>
    </xf>
    <xf borderId="3" fillId="0" fontId="82" numFmtId="0" xfId="0" applyAlignment="1" applyBorder="1" applyFont="1">
      <alignment horizontal="center" readingOrder="0"/>
    </xf>
    <xf borderId="1" fillId="0" fontId="79" numFmtId="0" xfId="0" applyAlignment="1" applyBorder="1" applyFont="1">
      <alignment horizontal="center" readingOrder="0" shrinkToFit="0" wrapText="0"/>
    </xf>
    <xf borderId="3" fillId="19" fontId="79" numFmtId="0" xfId="0" applyAlignment="1" applyBorder="1" applyFont="1">
      <alignment readingOrder="0" shrinkToFit="0" wrapText="0"/>
    </xf>
    <xf borderId="10" fillId="0" fontId="83" numFmtId="0" xfId="0" applyAlignment="1" applyBorder="1" applyFont="1">
      <alignment horizontal="center" readingOrder="0"/>
    </xf>
    <xf borderId="3" fillId="7" fontId="79" numFmtId="0" xfId="0" applyAlignment="1" applyBorder="1" applyFont="1">
      <alignment readingOrder="0" shrinkToFit="0" wrapText="0"/>
    </xf>
    <xf borderId="1" fillId="35" fontId="79" numFmtId="0" xfId="0" applyAlignment="1" applyBorder="1" applyFill="1" applyFont="1">
      <alignment horizontal="center" readingOrder="0" shrinkToFit="0" vertical="bottom" wrapText="0"/>
    </xf>
    <xf borderId="1" fillId="7" fontId="79" numFmtId="0" xfId="0" applyAlignment="1" applyBorder="1" applyFont="1">
      <alignment horizontal="center" readingOrder="0" shrinkToFit="0" wrapText="0"/>
    </xf>
    <xf borderId="3" fillId="7" fontId="79" numFmtId="0" xfId="0" applyAlignment="1" applyBorder="1" applyFont="1">
      <alignment readingOrder="0"/>
    </xf>
    <xf borderId="1" fillId="36" fontId="79" numFmtId="0" xfId="0" applyAlignment="1" applyBorder="1" applyFill="1" applyFont="1">
      <alignment horizontal="center" readingOrder="0" shrinkToFit="0" vertical="bottom" wrapText="0"/>
    </xf>
    <xf borderId="3" fillId="31" fontId="79" numFmtId="0" xfId="0" applyAlignment="1" applyBorder="1" applyFont="1">
      <alignment horizontal="center" readingOrder="0" shrinkToFit="0" vertical="bottom" wrapText="0"/>
    </xf>
    <xf borderId="3" fillId="31" fontId="79" numFmtId="0" xfId="0" applyAlignment="1" applyBorder="1" applyFont="1">
      <alignment horizontal="center" readingOrder="0" vertical="bottom"/>
    </xf>
    <xf borderId="3" fillId="32" fontId="79" numFmtId="0" xfId="0" applyAlignment="1" applyBorder="1" applyFont="1">
      <alignment horizontal="center" readingOrder="0" shrinkToFit="0" vertical="bottom" wrapText="0"/>
    </xf>
    <xf borderId="3" fillId="32" fontId="79" numFmtId="0" xfId="0" applyAlignment="1" applyBorder="1" applyFont="1">
      <alignment horizontal="center" readingOrder="0" vertical="bottom"/>
    </xf>
    <xf borderId="3" fillId="0" fontId="84" numFmtId="0" xfId="0" applyAlignment="1" applyBorder="1" applyFont="1">
      <alignment readingOrder="0"/>
    </xf>
    <xf borderId="3" fillId="33" fontId="79" numFmtId="0" xfId="0" applyAlignment="1" applyBorder="1" applyFont="1">
      <alignment horizontal="center" readingOrder="0" shrinkToFit="0" vertical="bottom" wrapText="0"/>
    </xf>
    <xf borderId="3" fillId="33" fontId="79" numFmtId="0" xfId="0" applyAlignment="1" applyBorder="1" applyFont="1">
      <alignment horizontal="center" readingOrder="0" vertical="bottom"/>
    </xf>
    <xf borderId="10" fillId="0" fontId="85" numFmtId="0" xfId="0" applyAlignment="1" applyBorder="1" applyFont="1">
      <alignment horizontal="center" readingOrder="0" shrinkToFit="0" vertical="center" wrapText="1"/>
    </xf>
    <xf borderId="3" fillId="0" fontId="78" numFmtId="0" xfId="0" applyAlignment="1" applyBorder="1" applyFont="1">
      <alignment readingOrder="0"/>
    </xf>
    <xf borderId="3" fillId="17" fontId="79" numFmtId="0" xfId="0" applyAlignment="1" applyBorder="1" applyFont="1">
      <alignment readingOrder="0"/>
    </xf>
    <xf borderId="3" fillId="7" fontId="79" numFmtId="0" xfId="0" applyAlignment="1" applyBorder="1" applyFont="1">
      <alignment horizontal="center" readingOrder="0"/>
    </xf>
    <xf borderId="3" fillId="7" fontId="79" numFmtId="0" xfId="0" applyBorder="1" applyFont="1"/>
    <xf borderId="3" fillId="7" fontId="79" numFmtId="0" xfId="0" applyAlignment="1" applyBorder="1" applyFont="1">
      <alignment horizontal="center"/>
    </xf>
    <xf borderId="3" fillId="0" fontId="79" numFmtId="0" xfId="0" applyAlignment="1" applyBorder="1" applyFont="1">
      <alignment readingOrder="0" vertical="bottom"/>
    </xf>
    <xf borderId="3" fillId="0" fontId="79" numFmtId="0" xfId="0" applyAlignment="1" applyBorder="1" applyFont="1">
      <alignment horizontal="left" readingOrder="0"/>
    </xf>
    <xf borderId="10" fillId="37" fontId="79" numFmtId="0" xfId="0" applyAlignment="1" applyBorder="1" applyFill="1" applyFont="1">
      <alignment readingOrder="0"/>
    </xf>
    <xf borderId="10" fillId="37" fontId="79" numFmtId="0" xfId="0" applyAlignment="1" applyBorder="1" applyFont="1">
      <alignment horizontal="center" readingOrder="0"/>
    </xf>
    <xf borderId="1" fillId="7" fontId="79" numFmtId="0" xfId="0" applyAlignment="1" applyBorder="1" applyFont="1">
      <alignment horizontal="center" readingOrder="0" shrinkToFit="0" vertical="bottom" wrapText="0"/>
    </xf>
    <xf borderId="0" fillId="0" fontId="79" numFmtId="0" xfId="0" applyAlignment="1" applyFont="1">
      <alignment horizontal="center"/>
    </xf>
    <xf borderId="3" fillId="0" fontId="79" numFmtId="0" xfId="0" applyAlignment="1" applyBorder="1" applyFont="1">
      <alignment horizontal="center" readingOrder="0" shrinkToFit="0" vertical="center" wrapText="1"/>
    </xf>
    <xf borderId="3" fillId="38" fontId="79" numFmtId="0" xfId="0" applyAlignment="1" applyBorder="1" applyFill="1" applyFont="1">
      <alignment horizontal="center" readingOrder="0" shrinkToFit="0" wrapText="0"/>
    </xf>
    <xf borderId="3" fillId="38" fontId="79" numFmtId="0" xfId="0" applyAlignment="1" applyBorder="1" applyFont="1">
      <alignment horizontal="center" readingOrder="0"/>
    </xf>
    <xf borderId="3" fillId="28" fontId="79" numFmtId="0" xfId="0" applyBorder="1" applyFont="1"/>
    <xf borderId="3" fillId="37" fontId="79" numFmtId="0" xfId="0" applyAlignment="1" applyBorder="1" applyFont="1">
      <alignment readingOrder="0"/>
    </xf>
    <xf borderId="3" fillId="37" fontId="79" numFmtId="0" xfId="0" applyAlignment="1" applyBorder="1" applyFont="1">
      <alignment horizontal="center" readingOrder="0"/>
    </xf>
    <xf borderId="3" fillId="0" fontId="79" numFmtId="0" xfId="0" applyAlignment="1" applyBorder="1" applyFont="1">
      <alignment horizontal="right" readingOrder="0" shrinkToFit="0" wrapText="0"/>
    </xf>
    <xf borderId="0" fillId="0" fontId="79" numFmtId="0" xfId="0" applyAlignment="1" applyFont="1">
      <alignment readingOrder="0" shrinkToFit="0" wrapText="0"/>
    </xf>
    <xf borderId="3" fillId="39" fontId="79" numFmtId="0" xfId="0" applyAlignment="1" applyBorder="1" applyFill="1" applyFont="1">
      <alignment horizontal="center" readingOrder="0" shrinkToFit="0" wrapText="0"/>
    </xf>
    <xf borderId="3" fillId="39" fontId="79" numFmtId="0" xfId="0" applyAlignment="1" applyBorder="1" applyFont="1">
      <alignment horizontal="center" readingOrder="0"/>
    </xf>
    <xf borderId="0" fillId="0" fontId="80" numFmtId="0" xfId="0" applyAlignment="1" applyFont="1">
      <alignment horizontal="center" readingOrder="0" shrinkToFit="0" vertical="bottom" wrapText="0"/>
    </xf>
    <xf borderId="3" fillId="32" fontId="79" numFmtId="0" xfId="0" applyAlignment="1" applyBorder="1" applyFont="1">
      <alignment readingOrder="0"/>
    </xf>
    <xf borderId="3" fillId="32" fontId="79" numFmtId="0" xfId="0" applyAlignment="1" applyBorder="1" applyFont="1">
      <alignment readingOrder="0" shrinkToFit="0" wrapText="0"/>
    </xf>
    <xf borderId="3" fillId="7" fontId="79" numFmtId="0" xfId="0" applyAlignment="1" applyBorder="1" applyFont="1">
      <alignment shrinkToFit="0" wrapText="0"/>
    </xf>
    <xf borderId="3" fillId="25" fontId="79" numFmtId="0" xfId="0" applyAlignment="1" applyBorder="1" applyFont="1">
      <alignment horizontal="center" readingOrder="0"/>
    </xf>
    <xf borderId="3" fillId="25" fontId="79" numFmtId="0" xfId="0" applyAlignment="1" applyBorder="1" applyFont="1">
      <alignment horizontal="center"/>
    </xf>
    <xf borderId="0" fillId="0" fontId="79" numFmtId="0" xfId="0" applyAlignment="1" applyFont="1">
      <alignment horizontal="center" readingOrder="0" shrinkToFit="0" wrapText="0"/>
    </xf>
    <xf borderId="3" fillId="29" fontId="79" numFmtId="0" xfId="0" applyAlignment="1" applyBorder="1" applyFont="1">
      <alignment readingOrder="0"/>
    </xf>
    <xf borderId="1" fillId="0" fontId="79" numFmtId="0" xfId="0" applyAlignment="1" applyBorder="1" applyFont="1">
      <alignment horizontal="center" shrinkToFit="0" vertical="bottom" wrapText="0"/>
    </xf>
    <xf borderId="3" fillId="29" fontId="79" numFmtId="0" xfId="0" applyAlignment="1" applyBorder="1" applyFont="1">
      <alignment horizontal="center" readingOrder="0" shrinkToFit="0" wrapText="0"/>
    </xf>
    <xf borderId="3" fillId="29" fontId="79" numFmtId="0" xfId="0" applyAlignment="1" applyBorder="1" applyFont="1">
      <alignment horizontal="center" readingOrder="0"/>
    </xf>
    <xf borderId="3" fillId="40" fontId="79" numFmtId="0" xfId="0" applyAlignment="1" applyBorder="1" applyFill="1" applyFont="1">
      <alignment horizontal="center" readingOrder="0" shrinkToFit="0" wrapText="0"/>
    </xf>
    <xf borderId="3" fillId="40" fontId="79" numFmtId="0" xfId="0" applyAlignment="1" applyBorder="1" applyFont="1">
      <alignment horizontal="center" readingOrder="0"/>
    </xf>
    <xf borderId="33" fillId="37" fontId="79" numFmtId="0" xfId="0" applyBorder="1" applyFont="1"/>
    <xf borderId="12" fillId="37" fontId="79" numFmtId="0" xfId="0" applyBorder="1" applyFont="1"/>
    <xf borderId="33" fillId="0" fontId="79" numFmtId="0" xfId="0" applyAlignment="1" applyBorder="1" applyFont="1">
      <alignment horizontal="center" readingOrder="0"/>
    </xf>
    <xf borderId="33" fillId="0" fontId="79" numFmtId="0" xfId="0" applyAlignment="1" applyBorder="1" applyFont="1">
      <alignment horizontal="center" readingOrder="0" shrinkToFit="0" wrapText="0"/>
    </xf>
    <xf borderId="1" fillId="0" fontId="86" numFmtId="0" xfId="0" applyAlignment="1" applyBorder="1" applyFont="1">
      <alignment horizontal="center" readingOrder="0" shrinkToFit="0" vertical="bottom" wrapText="0"/>
    </xf>
    <xf borderId="12" fillId="0" fontId="87" numFmtId="0" xfId="0" applyAlignment="1" applyBorder="1" applyFont="1">
      <alignment readingOrder="0"/>
    </xf>
    <xf borderId="10" fillId="0" fontId="88" numFmtId="0" xfId="0" applyAlignment="1" applyBorder="1" applyFont="1">
      <alignment readingOrder="0"/>
    </xf>
    <xf borderId="12" fillId="37" fontId="79" numFmtId="0" xfId="0" applyAlignment="1" applyBorder="1" applyFont="1">
      <alignment horizontal="center" readingOrder="0"/>
    </xf>
    <xf borderId="3" fillId="0" fontId="79" numFmtId="0" xfId="0" applyAlignment="1" applyBorder="1" applyFont="1">
      <alignment shrinkToFit="0" vertical="center" wrapText="1"/>
    </xf>
    <xf borderId="3" fillId="0" fontId="79" numFmtId="0" xfId="0" applyAlignment="1" applyBorder="1" applyFont="1">
      <alignment horizontal="center" readingOrder="0" shrinkToFit="0" vertical="bottom" wrapText="0"/>
    </xf>
    <xf borderId="5" fillId="0" fontId="79" numFmtId="0" xfId="0" applyAlignment="1" applyBorder="1" applyFont="1">
      <alignment readingOrder="0" shrinkToFit="0" wrapText="0"/>
    </xf>
    <xf borderId="3" fillId="10" fontId="79" numFmtId="0" xfId="0" applyBorder="1" applyFont="1"/>
    <xf borderId="0" fillId="0" fontId="80" numFmtId="0" xfId="0" applyAlignment="1" applyFont="1">
      <alignment shrinkToFit="0" vertical="center" wrapText="1"/>
    </xf>
    <xf borderId="0" fillId="0" fontId="80" numFmtId="0" xfId="0" applyAlignment="1" applyFont="1">
      <alignment vertical="bottom"/>
    </xf>
    <xf borderId="0" fillId="0" fontId="80" numFmtId="0" xfId="0" applyAlignment="1" applyFont="1">
      <alignment horizontal="center" shrinkToFit="0" vertical="bottom" wrapText="0"/>
    </xf>
    <xf borderId="3" fillId="0" fontId="80" numFmtId="0" xfId="0" applyAlignment="1" applyBorder="1" applyFont="1">
      <alignment readingOrder="0" shrinkToFit="0" vertical="bottom" wrapText="0"/>
    </xf>
    <xf borderId="3" fillId="0" fontId="80" numFmtId="0" xfId="0" applyAlignment="1" applyBorder="1" applyFont="1">
      <alignment readingOrder="0" vertical="bottom"/>
    </xf>
    <xf borderId="3" fillId="0" fontId="89" numFmtId="0" xfId="0" applyAlignment="1" applyBorder="1" applyFont="1">
      <alignment readingOrder="0" shrinkToFit="0" vertical="bottom" wrapText="0"/>
    </xf>
    <xf borderId="10" fillId="0" fontId="80" numFmtId="0" xfId="0" applyAlignment="1" applyBorder="1" applyFont="1">
      <alignment readingOrder="0" shrinkToFit="0" wrapText="0"/>
    </xf>
    <xf borderId="3" fillId="0" fontId="89" numFmtId="0" xfId="0" applyAlignment="1" applyBorder="1" applyFont="1">
      <alignment readingOrder="0" vertical="bottom"/>
    </xf>
    <xf borderId="0" fillId="0" fontId="44" numFmtId="0" xfId="0" applyAlignment="1" applyFont="1">
      <alignment shrinkToFit="0" vertical="center" wrapText="1"/>
    </xf>
    <xf borderId="3" fillId="0" fontId="90" numFmtId="0" xfId="0" applyAlignment="1" applyBorder="1" applyFont="1">
      <alignment horizontal="center" readingOrder="0"/>
    </xf>
    <xf borderId="3" fillId="0" fontId="91" numFmtId="0" xfId="0" applyAlignment="1" applyBorder="1" applyFont="1">
      <alignment horizontal="center" readingOrder="0"/>
    </xf>
    <xf borderId="0" fillId="0" fontId="91" numFmtId="0" xfId="0" applyAlignment="1" applyFont="1">
      <alignment horizontal="center" readingOrder="0"/>
    </xf>
    <xf borderId="0" fillId="21" fontId="92" numFmtId="0" xfId="0" applyAlignment="1" applyFont="1">
      <alignment horizontal="left" readingOrder="0"/>
    </xf>
    <xf borderId="3" fillId="0" fontId="44" numFmtId="0" xfId="0" applyBorder="1" applyFont="1"/>
    <xf borderId="0" fillId="21" fontId="93" numFmtId="0" xfId="0" applyAlignment="1" applyFont="1">
      <alignment horizontal="left" readingOrder="0"/>
    </xf>
    <xf borderId="0" fillId="21" fontId="92" numFmtId="0" xfId="0" applyAlignment="1" applyFont="1">
      <alignment readingOrder="0"/>
    </xf>
    <xf borderId="3" fillId="0" fontId="11" numFmtId="0" xfId="0" applyAlignment="1" applyBorder="1" applyFont="1">
      <alignment vertical="center"/>
    </xf>
    <xf borderId="3" fillId="0" fontId="11" numFmtId="0" xfId="0" applyAlignment="1" applyBorder="1" applyFont="1">
      <alignment readingOrder="0" vertical="center"/>
    </xf>
    <xf borderId="0" fillId="0" fontId="94" numFmtId="0" xfId="0" applyAlignment="1" applyFont="1">
      <alignment readingOrder="0"/>
    </xf>
    <xf borderId="0" fillId="0" fontId="94" numFmtId="0" xfId="0" applyFont="1"/>
    <xf borderId="3" fillId="0" fontId="95" numFmtId="0" xfId="0" applyAlignment="1" applyBorder="1" applyFont="1">
      <alignment readingOrder="0" shrinkToFit="0" vertical="center" wrapText="1"/>
    </xf>
    <xf borderId="3" fillId="0" fontId="96" numFmtId="0" xfId="0" applyBorder="1" applyFont="1"/>
    <xf borderId="3" fillId="0" fontId="95" numFmtId="0" xfId="0" applyAlignment="1" applyBorder="1" applyFont="1">
      <alignment horizontal="left" readingOrder="0" shrinkToFit="0" vertical="center" wrapText="1"/>
    </xf>
    <xf borderId="12" fillId="0" fontId="69" numFmtId="0" xfId="0" applyAlignment="1" applyBorder="1" applyFont="1">
      <alignment readingOrder="0" shrinkToFit="0" vertical="center" wrapText="1"/>
    </xf>
    <xf borderId="4" fillId="0" fontId="79" numFmtId="0" xfId="0" applyAlignment="1" applyBorder="1" applyFont="1">
      <alignment horizontal="center" readingOrder="0" shrinkToFit="0" vertical="center" wrapText="1"/>
    </xf>
    <xf borderId="7" fillId="7" fontId="69" numFmtId="0" xfId="0" applyAlignment="1" applyBorder="1" applyFont="1">
      <alignment horizontal="left" readingOrder="0" vertical="center"/>
    </xf>
    <xf borderId="13" fillId="0" fontId="79" numFmtId="0" xfId="0" applyAlignment="1" applyBorder="1" applyFont="1">
      <alignment horizontal="center" readingOrder="0" shrinkToFit="0" vertical="center" wrapText="1"/>
    </xf>
    <xf borderId="3" fillId="8" fontId="43" numFmtId="3" xfId="0" applyAlignment="1" applyBorder="1" applyFont="1" applyNumberFormat="1">
      <alignment horizontal="center" readingOrder="0" shrinkToFit="0" vertical="bottom" wrapText="1"/>
    </xf>
    <xf borderId="3" fillId="0" fontId="95" numFmtId="0" xfId="0" applyAlignment="1" applyBorder="1" applyFont="1">
      <alignment readingOrder="0"/>
    </xf>
    <xf borderId="3" fillId="0" fontId="95" numFmtId="0" xfId="0" applyAlignment="1" applyBorder="1" applyFont="1">
      <alignment horizontal="left" readingOrder="0" vertical="center"/>
    </xf>
    <xf borderId="4" fillId="0" fontId="95" numFmtId="0" xfId="0" applyAlignment="1" applyBorder="1" applyFont="1">
      <alignment horizontal="left" readingOrder="0" vertical="center"/>
    </xf>
    <xf borderId="3" fillId="0" fontId="70" numFmtId="0" xfId="0" applyAlignment="1" applyBorder="1" applyFont="1">
      <alignment horizontal="left" readingOrder="0" vertical="center"/>
    </xf>
    <xf borderId="4" fillId="0" fontId="69" numFmtId="0" xfId="0" applyAlignment="1" applyBorder="1" applyFont="1">
      <alignment horizontal="left" readingOrder="0" shrinkToFit="0" vertical="center" wrapText="1"/>
    </xf>
    <xf borderId="5" fillId="7" fontId="69" numFmtId="0" xfId="0" applyAlignment="1" applyBorder="1" applyFont="1">
      <alignment horizontal="left" readingOrder="0" vertical="center"/>
    </xf>
    <xf borderId="4" fillId="0" fontId="95" numFmtId="0" xfId="0" applyAlignment="1" applyBorder="1" applyFont="1">
      <alignment horizontal="left" readingOrder="0" shrinkToFit="0" vertical="center" wrapText="1"/>
    </xf>
    <xf borderId="3" fillId="7" fontId="79" numFmtId="0" xfId="0" applyAlignment="1" applyBorder="1" applyFont="1">
      <alignment horizontal="left" readingOrder="0" shrinkToFit="0" vertical="center" wrapText="1"/>
    </xf>
    <xf borderId="7" fillId="7" fontId="69" numFmtId="0" xfId="0" applyAlignment="1" applyBorder="1" applyFont="1">
      <alignment horizontal="left" readingOrder="0" shrinkToFit="0" vertical="center" wrapText="1"/>
    </xf>
    <xf borderId="13" fillId="7" fontId="79" numFmtId="0" xfId="0" applyAlignment="1" applyBorder="1" applyFont="1">
      <alignment horizontal="left" readingOrder="0" shrinkToFit="0" vertical="center" wrapText="1"/>
    </xf>
    <xf borderId="13" fillId="0" fontId="97" numFmtId="0" xfId="0" applyAlignment="1" applyBorder="1" applyFont="1">
      <alignment horizontal="left" readingOrder="0" shrinkToFit="0" vertical="center" wrapText="1"/>
    </xf>
    <xf borderId="3" fillId="0" fontId="96" numFmtId="0" xfId="0" applyAlignment="1" applyBorder="1" applyFont="1">
      <alignment shrinkToFit="0" vertical="center" wrapText="1"/>
    </xf>
    <xf borderId="4" fillId="0" fontId="79" numFmtId="0" xfId="0" applyAlignment="1" applyBorder="1" applyFont="1">
      <alignment horizontal="center" readingOrder="0" shrinkToFit="0" vertical="center" wrapText="1"/>
    </xf>
    <xf borderId="5" fillId="7" fontId="79" numFmtId="0" xfId="0" applyAlignment="1" applyBorder="1" applyFont="1">
      <alignment horizontal="center" readingOrder="0" shrinkToFit="0" vertical="center" wrapText="1"/>
    </xf>
    <xf borderId="11" fillId="7" fontId="79" numFmtId="0" xfId="0" applyAlignment="1" applyBorder="1" applyFont="1">
      <alignment horizontal="center" readingOrder="0" shrinkToFit="0" vertical="center" wrapText="1"/>
    </xf>
    <xf borderId="0" fillId="0" fontId="94" numFmtId="0" xfId="0" applyAlignment="1" applyFont="1">
      <alignment shrinkToFit="0" vertical="center" wrapText="1"/>
    </xf>
    <xf borderId="3" fillId="0" fontId="98" numFmtId="49" xfId="0" applyAlignment="1" applyBorder="1" applyFont="1" applyNumberFormat="1">
      <alignment horizontal="center" shrinkToFit="0" vertical="center" wrapText="1"/>
    </xf>
    <xf borderId="3" fillId="0" fontId="99" numFmtId="49" xfId="0" applyAlignment="1" applyBorder="1" applyFont="1" applyNumberFormat="1">
      <alignment horizontal="center" shrinkToFit="0" vertical="center" wrapText="1"/>
    </xf>
    <xf borderId="3" fillId="0" fontId="99" numFmtId="49" xfId="0" applyAlignment="1" applyBorder="1" applyFont="1" applyNumberFormat="1">
      <alignment horizontal="center" shrinkToFit="0" wrapText="1"/>
    </xf>
    <xf borderId="3" fillId="0" fontId="100" numFmtId="49" xfId="0" applyAlignment="1" applyBorder="1" applyFont="1" applyNumberFormat="1">
      <alignment horizontal="center" shrinkToFit="0" wrapText="1"/>
    </xf>
    <xf borderId="13" fillId="0" fontId="101" numFmtId="0" xfId="0" applyAlignment="1" applyBorder="1" applyFont="1">
      <alignment horizontal="center" readingOrder="0" shrinkToFit="0" vertical="center" wrapText="1"/>
    </xf>
    <xf borderId="3" fillId="0" fontId="99" numFmtId="49" xfId="0" applyAlignment="1" applyBorder="1" applyFont="1" applyNumberFormat="1">
      <alignment horizontal="center"/>
    </xf>
    <xf borderId="4" fillId="0" fontId="99" numFmtId="49" xfId="0" applyAlignment="1" applyBorder="1" applyFont="1" applyNumberFormat="1">
      <alignment horizontal="center" shrinkToFit="0" wrapText="1"/>
    </xf>
    <xf borderId="12" fillId="0" fontId="69" numFmtId="0" xfId="0" applyAlignment="1" applyBorder="1" applyFont="1">
      <alignment shrinkToFit="0" vertical="center" wrapText="1"/>
    </xf>
    <xf borderId="12" fillId="0" fontId="69" numFmtId="0" xfId="0" applyAlignment="1" applyBorder="1" applyFont="1">
      <alignment shrinkToFit="0" vertical="center" wrapText="1"/>
    </xf>
    <xf borderId="4" fillId="0" fontId="102" numFmtId="49" xfId="0" applyAlignment="1" applyBorder="1" applyFont="1" applyNumberFormat="1">
      <alignment horizontal="center" shrinkToFit="0" wrapText="1"/>
    </xf>
    <xf borderId="12" fillId="0" fontId="69" numFmtId="0" xfId="0" applyAlignment="1" applyBorder="1" applyFont="1">
      <alignment vertical="bottom"/>
    </xf>
    <xf borderId="12" fillId="0" fontId="69" numFmtId="0" xfId="0" applyAlignment="1" applyBorder="1" applyFont="1">
      <alignment readingOrder="0" vertical="top"/>
    </xf>
    <xf borderId="7" fillId="0" fontId="79" numFmtId="0" xfId="0" applyAlignment="1" applyBorder="1" applyFont="1">
      <alignment horizontal="center" readingOrder="0"/>
    </xf>
    <xf borderId="12" fillId="0" fontId="79" numFmtId="0" xfId="0" applyAlignment="1" applyBorder="1" applyFont="1">
      <alignment horizontal="center" readingOrder="0"/>
    </xf>
    <xf borderId="33" fillId="0" fontId="99" numFmtId="49" xfId="0" applyAlignment="1" applyBorder="1" applyFont="1" applyNumberFormat="1">
      <alignment horizontal="center"/>
    </xf>
    <xf borderId="4" fillId="0" fontId="103" numFmtId="0" xfId="0" applyAlignment="1" applyBorder="1" applyFont="1">
      <alignment horizontal="center" readingOrder="0" shrinkToFit="0" vertical="center" wrapText="1"/>
    </xf>
    <xf borderId="0" fillId="0" fontId="94" numFmtId="0" xfId="0" applyAlignment="1" applyFont="1">
      <alignment readingOrder="0" shrinkToFit="0" vertical="center" wrapText="1"/>
    </xf>
    <xf borderId="7" fillId="0" fontId="79" numFmtId="0" xfId="0" applyAlignment="1" applyBorder="1" applyFont="1">
      <alignment horizontal="center" readingOrder="0" shrinkToFit="0" vertical="center" wrapText="1"/>
    </xf>
    <xf borderId="0" fillId="0" fontId="44" numFmtId="0" xfId="0" applyAlignment="1" applyFont="1">
      <alignment readingOrder="0" shrinkToFit="0" vertical="center" wrapText="1"/>
    </xf>
    <xf borderId="12" fillId="11" fontId="40"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s>
  <tableStyles count="1">
    <tableStyle count="3" pivot="0" name="BPHTB-style">
      <tableStyleElement dxfId="1" type="firstRowStripe"/>
      <tableStyleElement dxfId="2" type="secondRowStripe"/>
      <tableStyleElement dxfId="3" type="totalRow"/>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6" Type="http://schemas.openxmlformats.org/officeDocument/2006/relationships/worksheet" Target="worksheets/sheet33.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headerRowCount="0" ref="A2:C222" displayName="Table_1" name="Table_1" id="1">
  <tableColumns count="3">
    <tableColumn totalsRowLabel="221" name="Column1" id="1"/>
    <tableColumn name="Column2" id="2"/>
    <tableColumn totalsRowLabel="Kab. Lanny Jaya" name="Column3" id="3"/>
  </tableColumns>
  <tableStyleInfo name="BPHT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u/3/folders/1feB-RJR4AUOrafNe7dAI-4dzBhFBQdfb" TargetMode="External"/><Relationship Id="rId42" Type="http://schemas.openxmlformats.org/officeDocument/2006/relationships/hyperlink" Target="https://drive.google.com/drive/u/3/folders/1R5o1T2xRoZwqy8m5UPN19R4d9doF5aj6" TargetMode="External"/><Relationship Id="rId41" Type="http://schemas.openxmlformats.org/officeDocument/2006/relationships/hyperlink" Target="https://drive.google.com/drive/folders/1cSSz6_-h1OY4X4QwaVRtTzJla-du5jlJ?usp=sharing" TargetMode="External"/><Relationship Id="rId44" Type="http://schemas.openxmlformats.org/officeDocument/2006/relationships/hyperlink" Target="https://shorturl.at/N6ozd" TargetMode="External"/><Relationship Id="rId43" Type="http://schemas.openxmlformats.org/officeDocument/2006/relationships/hyperlink" Target="https://shorturl.at/wslh3" TargetMode="External"/><Relationship Id="rId46" Type="http://schemas.openxmlformats.org/officeDocument/2006/relationships/hyperlink" Target="https://shorturl.at/AqRci" TargetMode="External"/><Relationship Id="rId45" Type="http://schemas.openxmlformats.org/officeDocument/2006/relationships/hyperlink" Target="https://shorturl.at/FIXVH" TargetMode="External"/><Relationship Id="rId107" Type="http://schemas.openxmlformats.org/officeDocument/2006/relationships/hyperlink" Target="https://drive.google.com/drive/folders/1IUr6pw68EAtnC9168eoOse2GGAwFPuDS?usp=sharing" TargetMode="External"/><Relationship Id="rId106" Type="http://schemas.openxmlformats.org/officeDocument/2006/relationships/hyperlink" Target="https://drive.google.com/drive/folders/1gCMSOwsVDVOjCzb6hB6-UFo5gKHK6GV7?usp=sharing" TargetMode="External"/><Relationship Id="rId105" Type="http://schemas.openxmlformats.org/officeDocument/2006/relationships/hyperlink" Target="https://docs.google.com/spreadsheets/d/1IOfi4S_-66BO87tNrtKcv7HtdrEcGEWJ/edit?gid=2005567560" TargetMode="External"/><Relationship Id="rId104" Type="http://schemas.openxmlformats.org/officeDocument/2006/relationships/hyperlink" Target="https://drive.google.com/drive/folders/1v8xIPCkPPjKJmvlqCIn8oDQGSqrrMlgE?usp=sharing" TargetMode="External"/><Relationship Id="rId109" Type="http://schemas.openxmlformats.org/officeDocument/2006/relationships/hyperlink" Target="https://drive.google.com/file/d/1lXND5i5cmRHKgWiaTieHJvEIvPfNAfLn/view?usp=drive_link" TargetMode="External"/><Relationship Id="rId108" Type="http://schemas.openxmlformats.org/officeDocument/2006/relationships/hyperlink" Target="https://drive.google.com/drive/folders/1yWwhtB6sfkmeBTBr7KSS9XHMB2n6s89W?usp=sharing" TargetMode="External"/><Relationship Id="rId48" Type="http://schemas.openxmlformats.org/officeDocument/2006/relationships/hyperlink" Target="https://lnk.ink/EvidenDataLamteng" TargetMode="External"/><Relationship Id="rId47" Type="http://schemas.openxmlformats.org/officeDocument/2006/relationships/hyperlink" Target="https://kemenpkp-my.sharepoint.com/:f:/g/personal/haifa_damarani_pkp_go_id/EqoMeWqmWlBGi4aKM_K5SRQBR82uxtXVpwNEm3JMwIE4wQ?e=JQcfir" TargetMode="External"/><Relationship Id="rId49" Type="http://schemas.openxmlformats.org/officeDocument/2006/relationships/hyperlink" Target="https://kemenpkp-my.sharepoint.com/:f:/g/personal/haifa_damarani_pkp_go_id/Ej0vkMEqEadKvHI6_ygIsuEBPS4CT7s8odIGdYj_5_7bfg?e=YWVRHI" TargetMode="External"/><Relationship Id="rId103" Type="http://schemas.openxmlformats.org/officeDocument/2006/relationships/hyperlink" Target="https://drive.google.com/drive/folders/14GNbk-_rvjHq1Zoa1E-chvLKhqnbNamu?usp=sharing" TargetMode="External"/><Relationship Id="rId102" Type="http://schemas.openxmlformats.org/officeDocument/2006/relationships/hyperlink" Target="https://shorturl.at/58Yff" TargetMode="External"/><Relationship Id="rId101" Type="http://schemas.openxmlformats.org/officeDocument/2006/relationships/hyperlink" Target="https://kemenpkp-my.sharepoint.com/:f:/g/personal/haifa_damarani_pkp_go_id/Eqc8CjEKskNFhYc9BcukorkBHJPCoonxowGdnjQ7no5IhA?e=fShv2C" TargetMode="External"/><Relationship Id="rId100" Type="http://schemas.openxmlformats.org/officeDocument/2006/relationships/hyperlink" Target="https://drive.google.com/drive/folders/1fF1EGZzzFyvMhXCPn_LMMOoszx39Hd8H?usp=sharing" TargetMode="External"/><Relationship Id="rId31" Type="http://schemas.openxmlformats.org/officeDocument/2006/relationships/hyperlink" Target="https://drive.google.com/drive/folders/1pTb8zoqVjycIw8Ly_kbgbXiSUDXLpGa2" TargetMode="External"/><Relationship Id="rId30" Type="http://schemas.openxmlformats.org/officeDocument/2006/relationships/hyperlink" Target="https://drive.google.com/drive/folders/1UKO4CrHgM7m1gCfnsXeGtIClXd6pHKpX" TargetMode="External"/><Relationship Id="rId33" Type="http://schemas.openxmlformats.org/officeDocument/2006/relationships/hyperlink" Target="https://drive.google.com/drive/u/3/folders/1RHHTpXb-X1mgt0_1BdPdC0wBzRFUTsYi" TargetMode="External"/><Relationship Id="rId32" Type="http://schemas.openxmlformats.org/officeDocument/2006/relationships/hyperlink" Target="https://drive.google.com/drive/folders/1dKWo-F3-20XzhULHpVZZePjWUJocDEoL" TargetMode="External"/><Relationship Id="rId35" Type="http://schemas.openxmlformats.org/officeDocument/2006/relationships/hyperlink" Target="https://drive.google.com/drive/folders/12sabIb1mnCB2gHOC2ZBLIkyEvipOvznA" TargetMode="External"/><Relationship Id="rId34" Type="http://schemas.openxmlformats.org/officeDocument/2006/relationships/hyperlink" Target="https://sikumbang.tapera.go.id/" TargetMode="External"/><Relationship Id="rId37" Type="http://schemas.openxmlformats.org/officeDocument/2006/relationships/hyperlink" Target="https://drive.google.com/drive/folders/1op-SuX_GrHq7np_RHeVEuZg_FkOy5k2g" TargetMode="External"/><Relationship Id="rId36" Type="http://schemas.openxmlformats.org/officeDocument/2006/relationships/hyperlink" Target="https://drive.google.com/drive/folders/1XA3_cspAdM_V_OzBNHTmJcvOY-SVMKZN?usp=sharing" TargetMode="External"/><Relationship Id="rId39" Type="http://schemas.openxmlformats.org/officeDocument/2006/relationships/hyperlink" Target="https://drive.google.com/file/d/1SoQ4N0c3X7uGx30oTzRI7wdfX-474iaH/view?usp=share_link" TargetMode="External"/><Relationship Id="rId38" Type="http://schemas.openxmlformats.org/officeDocument/2006/relationships/hyperlink" Target="https://drive.google.com/drive/u/0/folders/1570hieJ21EZKErR8H4GWe9JinIGuLwNo" TargetMode="External"/><Relationship Id="rId20" Type="http://schemas.openxmlformats.org/officeDocument/2006/relationships/hyperlink" Target="https://drive.google.com/drive/folders/1n58UfEteoKga4st8nP5HV83hWs2MVHUF?usp=sharing" TargetMode="External"/><Relationship Id="rId22" Type="http://schemas.openxmlformats.org/officeDocument/2006/relationships/hyperlink" Target="https://drive.google.com/drive/folders/1qO2ouPU7XflnBsKccfQ43ouPlF8RKst4?usp=sharing" TargetMode="External"/><Relationship Id="rId21" Type="http://schemas.openxmlformats.org/officeDocument/2006/relationships/hyperlink" Target="https://drive.google.com/drive/folders/1lHutrj8dQRQ0z9fZBaxWznmx-KTRlGyY?usp=drive_link" TargetMode="External"/><Relationship Id="rId24" Type="http://schemas.openxmlformats.org/officeDocument/2006/relationships/hyperlink" Target="https://drive.google.com/drive/folders/1IiDVkKMXvT7dV8tzuWPtssrj-o5BuOes?usp=sharing" TargetMode="External"/><Relationship Id="rId23" Type="http://schemas.openxmlformats.org/officeDocument/2006/relationships/hyperlink" Target="https://drive.google.com/drive/folders/1Wp1uUXWRqVYUov03IZHBS5H6VbKt7Xkf?usp=drive_link" TargetMode="External"/><Relationship Id="rId129" Type="http://schemas.openxmlformats.org/officeDocument/2006/relationships/hyperlink" Target="https://docs.google.com/document/d/1D2lEXtwNmueyowHb_en3SlLg_BA5cKZj/edit?usp=drive_link&amp;ouid=109143360475755869220&amp;rtpof=true&amp;sd=true" TargetMode="External"/><Relationship Id="rId128" Type="http://schemas.openxmlformats.org/officeDocument/2006/relationships/hyperlink" Target="https://drive.google.com/file/d/1ti5esmYaBuLVGsJ6_6u7dmdQm8is93da/view?usp=drive_link" TargetMode="External"/><Relationship Id="rId127" Type="http://schemas.openxmlformats.org/officeDocument/2006/relationships/hyperlink" Target="https://drive.google.com/file/d/1igviVz06X76_FpxRD4mpRAiQRrdXFPy2/view?usp=drive_link" TargetMode="External"/><Relationship Id="rId126" Type="http://schemas.openxmlformats.org/officeDocument/2006/relationships/hyperlink" Target="https://docs.google.com/spreadsheets/d/1Iy9mWctNkcttC6GPEaBcAwHjMiu_rShaR1q3pxCfCNE/edit?usp=sharing" TargetMode="External"/><Relationship Id="rId26" Type="http://schemas.openxmlformats.org/officeDocument/2006/relationships/hyperlink" Target="https://drive.google.com/drive/folders/1r153qbJSKrUAal9j2-BZ_5nJjH1RA8IN?usp=sharing" TargetMode="External"/><Relationship Id="rId121" Type="http://schemas.openxmlformats.org/officeDocument/2006/relationships/hyperlink" Target="https://drive.google.com/drive/folders/1RA5eTHd_mZxIxeWcvi8dEKwipz1UrdDt" TargetMode="External"/><Relationship Id="rId25" Type="http://schemas.openxmlformats.org/officeDocument/2006/relationships/hyperlink" Target="https://drive.google.com/drive/folders/13rqwKPBwM2CmhpaRDdBOxmQz8SPsY5OO" TargetMode="External"/><Relationship Id="rId120" Type="http://schemas.openxmlformats.org/officeDocument/2006/relationships/hyperlink" Target="https://drive.google.com/drive/folders/1RA5eTHd_mZxIxeWcvi8dEKwipz1UrdDt" TargetMode="External"/><Relationship Id="rId28" Type="http://schemas.openxmlformats.org/officeDocument/2006/relationships/hyperlink" Target="https://drive.google.com/drive/folders/1Ry51RYT9cJGGXGDNYVYKhtm-UQJI5Ase?usp=sharing" TargetMode="External"/><Relationship Id="rId27" Type="http://schemas.openxmlformats.org/officeDocument/2006/relationships/hyperlink" Target="https://drive.google.com/drive/folders/1rV1VQjY6TP2Yqd1WcUNMGgqgiIhbDBsG?usp=sharing" TargetMode="External"/><Relationship Id="rId125" Type="http://schemas.openxmlformats.org/officeDocument/2006/relationships/hyperlink" Target="https://kemenpkp-my.sharepoint.com/:f:/g/personal/m_febriansyah_pkp_go_id/En_Rg4cI8OpGiF__KohkbysBaNMxSUa1daDI-m3VB7Krlg?e=b7awx2" TargetMode="External"/><Relationship Id="rId29" Type="http://schemas.openxmlformats.org/officeDocument/2006/relationships/hyperlink" Target="https://drive.google.com/drive/folders/1Yro37jYMyFPi0G4EFgWJvzO7hDW37aAF?usp=drive_link" TargetMode="External"/><Relationship Id="rId124" Type="http://schemas.openxmlformats.org/officeDocument/2006/relationships/hyperlink" Target="https://drive.google.com/drive/folders/1IToHybQ55E_p5_UVkgIX_aFiCoOn1iRz?usp=drive_link" TargetMode="External"/><Relationship Id="rId123" Type="http://schemas.openxmlformats.org/officeDocument/2006/relationships/hyperlink" Target="https://drive.google.com/file/d/17rSnmBN9zDWfFny_Yk7u_5VpJIjo3DKL/view?usp=drive_link" TargetMode="External"/><Relationship Id="rId122" Type="http://schemas.openxmlformats.org/officeDocument/2006/relationships/hyperlink" Target="https://drive.google.com/file/d/1lQoEtQ7tNZVzDndGeSAdFRgJs5_YVyPo/view?usp=drive_link" TargetMode="External"/><Relationship Id="rId95" Type="http://schemas.openxmlformats.org/officeDocument/2006/relationships/hyperlink" Target="https://drive.google.com/drive/folders/1zvbpzIOy_ZzqRsqu1bqnMUJpVtLKScGd?usp=drive_link" TargetMode="External"/><Relationship Id="rId94" Type="http://schemas.openxmlformats.org/officeDocument/2006/relationships/hyperlink" Target="https://drive.google.com/drive/folders/1TTNY8rnm_-q1APqGJXIDqlcZ70uv2cTC?usp=drive_link" TargetMode="External"/><Relationship Id="rId97" Type="http://schemas.openxmlformats.org/officeDocument/2006/relationships/hyperlink" Target="https://drive.google.com/drive/folders/1xIkkZjYYjTaeF0o6PxmBJKjADj7QzvJV?usp=drive_link" TargetMode="External"/><Relationship Id="rId96" Type="http://schemas.openxmlformats.org/officeDocument/2006/relationships/hyperlink" Target="https://drive.google.com/drive/folders/1tadIxP7kImVSo-zdEbGqDhkznvtXwHiG?usp=drive_link" TargetMode="External"/><Relationship Id="rId11" Type="http://schemas.openxmlformats.org/officeDocument/2006/relationships/hyperlink" Target="https://drive.google.com/drive/folders/1UKqX3RT8HZlZ9zOd6937j3G364SbPrRL?usp=sharing" TargetMode="External"/><Relationship Id="rId99" Type="http://schemas.openxmlformats.org/officeDocument/2006/relationships/hyperlink" Target="https://drive.google.com/drive/folders/1M73jmFHjhkZlQGvnERAQsU7dR6nofPvE?usp=drive_link" TargetMode="External"/><Relationship Id="rId10" Type="http://schemas.openxmlformats.org/officeDocument/2006/relationships/hyperlink" Target="https://drive.google.com/drive/folders/1TeoDqkT0Yld8BXwpqP8JvXcp-9qwhqUx?usp=drive_link" TargetMode="External"/><Relationship Id="rId98" Type="http://schemas.openxmlformats.org/officeDocument/2006/relationships/hyperlink" Target="https://drive.google.com/drive/folders/1Fh0hLxEkVHr0lnKvqki_kNFlAZK_Ovp2?usp=sharing" TargetMode="External"/><Relationship Id="rId13" Type="http://schemas.openxmlformats.org/officeDocument/2006/relationships/hyperlink" Target="https://drive.google.com/drive/folders/1jRhg2Yu58EHyoPTe-9mt2D7JTAIBmIM6?usp=sharing" TargetMode="External"/><Relationship Id="rId12" Type="http://schemas.openxmlformats.org/officeDocument/2006/relationships/hyperlink" Target="https://drive.google.com/drive/folders/1xLTZumnGeoCuZi7fvOZfh3K118ExGtVQ?usp=drive_link" TargetMode="External"/><Relationship Id="rId91" Type="http://schemas.openxmlformats.org/officeDocument/2006/relationships/hyperlink" Target="https://sikumbang.tapera.go.id/" TargetMode="External"/><Relationship Id="rId90" Type="http://schemas.openxmlformats.org/officeDocument/2006/relationships/hyperlink" Target="https://kemenpkp-my.sharepoint.com/:f:/g/personal/mahardianfarizalr_pkp_go_id/EhfXuxM9AlhJl33bpTmPG9YBZ53g0PcgIEn7Jz-y23GhxA?e=7zdZBo" TargetMode="External"/><Relationship Id="rId93" Type="http://schemas.openxmlformats.org/officeDocument/2006/relationships/hyperlink" Target="https://drive.google.com/drive/folders/1G-2qBzl3JerweyepuqQvNwnxEb-2oWqA?usp=sharing" TargetMode="External"/><Relationship Id="rId92" Type="http://schemas.openxmlformats.org/officeDocument/2006/relationships/hyperlink" Target="https://drive.google.com/drive/folders/1XNNWmWfTMAHFA8qc9gCX5FoBduoxYexa?usp=sharing" TargetMode="External"/><Relationship Id="rId118" Type="http://schemas.openxmlformats.org/officeDocument/2006/relationships/hyperlink" Target="https://docs.google.com/spreadsheets/d/1t1DD19j2s5ViQBue5WHCAdTSUl1auRoI/edit?usp=sharing&amp;ouid=111921605646580223531&amp;rtpof=true&amp;sd=true" TargetMode="External"/><Relationship Id="rId117" Type="http://schemas.openxmlformats.org/officeDocument/2006/relationships/hyperlink" Target="https://docs.google.com/spreadsheets/d/1h2lQaOo6gxy9uHV8Bjq1UDGmhAjwcjgV/edit?gid=1047375049" TargetMode="External"/><Relationship Id="rId116" Type="http://schemas.openxmlformats.org/officeDocument/2006/relationships/hyperlink" Target="https://drive.google.com/drive/folders/1RA5eTHd_mZxIxeWcvi8dEKwipz1UrdDt" TargetMode="External"/><Relationship Id="rId115" Type="http://schemas.openxmlformats.org/officeDocument/2006/relationships/hyperlink" Target="https://drive.google.com/file/d/1Rqql7L-OjjZEyqGPZMlPK3qYIye2INXS/view?usp=drive_link" TargetMode="External"/><Relationship Id="rId119" Type="http://schemas.openxmlformats.org/officeDocument/2006/relationships/hyperlink" Target="https://drive.google.com/drive/folders/1hO40TiFAANAcMsgyPaIdvT8NbTNQcEAA?usp=sharing" TargetMode="External"/><Relationship Id="rId15" Type="http://schemas.openxmlformats.org/officeDocument/2006/relationships/hyperlink" Target="https://drive.google.com/drive/u/0/folders/1szzlzb1Bujll1ZZV5a6bJTgC4kqqKzDc" TargetMode="External"/><Relationship Id="rId110" Type="http://schemas.openxmlformats.org/officeDocument/2006/relationships/hyperlink" Target="https://drive.google.com/drive/folders/15MfS3otxSFzOvNSCymORok7Yv1tzOofZ" TargetMode="External"/><Relationship Id="rId14" Type="http://schemas.openxmlformats.org/officeDocument/2006/relationships/hyperlink" Target="https://drive.google.com/drive/folders/1O78USFL35thfpl-c7ZzFvnV-N6cHma1m?usp=drive_link" TargetMode="External"/><Relationship Id="rId17" Type="http://schemas.openxmlformats.org/officeDocument/2006/relationships/hyperlink" Target="https://drive.google.com/drive/u/0/folders/11UtBILtcocmwQgv585caNFml-h6wZFSs" TargetMode="External"/><Relationship Id="rId16" Type="http://schemas.openxmlformats.org/officeDocument/2006/relationships/hyperlink" Target="https://drive.google.com/drive/u/0/folders/1POlwOlgwllR9-IXW8f7BTwU8Pajg2RAP" TargetMode="External"/><Relationship Id="rId19" Type="http://schemas.openxmlformats.org/officeDocument/2006/relationships/hyperlink" Target="https://drive.google.com/drive/u/0/folders/1q62WzuOD7aYte98dA8yb6fpBiScA093X" TargetMode="External"/><Relationship Id="rId114" Type="http://schemas.openxmlformats.org/officeDocument/2006/relationships/hyperlink" Target="https://drive.google.com/file/d/1Q7XQiKJ6e6nn6-tZVo7UjFKGxKz63GqF/view?usp=drive_link" TargetMode="External"/><Relationship Id="rId18" Type="http://schemas.openxmlformats.org/officeDocument/2006/relationships/hyperlink" Target="https://drive.google.com/drive/u/0/folders/1mC9yC2B8Nq7TML6e_nEQONW4--MOKpY5" TargetMode="External"/><Relationship Id="rId113" Type="http://schemas.openxmlformats.org/officeDocument/2006/relationships/hyperlink" Target="https://docs.google.com/document/d/1NpwvErjrigUaqNL3eSCVI3YM7Zz7iinj/edit?usp=sharing&amp;ouid=106352974718822420781&amp;rtpof=true&amp;sd=true" TargetMode="External"/><Relationship Id="rId112" Type="http://schemas.openxmlformats.org/officeDocument/2006/relationships/hyperlink" Target="https://drive.google.com/file/d/1eOaGhAn8u-cbotZi6sgyvOZB1uBYMFxj/view?usp=drive_link" TargetMode="External"/><Relationship Id="rId111" Type="http://schemas.openxmlformats.org/officeDocument/2006/relationships/hyperlink" Target="https://drive.google.com/file/d/1-pxChbDSlamspVwvF4M8hzfCOofEttEE/view?usp=drive_link" TargetMode="External"/><Relationship Id="rId84" Type="http://schemas.openxmlformats.org/officeDocument/2006/relationships/hyperlink" Target="https://drive.google.com/drive/folders/1GZ36O8_Tn5LOx-ufXdGcnrGXPxLx8uMZ?usp=drive_link" TargetMode="External"/><Relationship Id="rId83" Type="http://schemas.openxmlformats.org/officeDocument/2006/relationships/hyperlink" Target="https://meta.tapera.go.id/public/question/2327d1b3-aab0-4bea-8802-f72764fad569" TargetMode="External"/><Relationship Id="rId86" Type="http://schemas.openxmlformats.org/officeDocument/2006/relationships/hyperlink" Target="https://drive.google.com/drive/folders/1MU7ycNLz7C6cglVcsiHcg9fnJyzmL-yi" TargetMode="External"/><Relationship Id="rId85" Type="http://schemas.openxmlformats.org/officeDocument/2006/relationships/hyperlink" Target="https://meta.tapera.go.id/public/question/2327d1b3-aab0-4bea-8802-f72764fad569" TargetMode="External"/><Relationship Id="rId88" Type="http://schemas.openxmlformats.org/officeDocument/2006/relationships/hyperlink" Target="https://kemenpkp.sharepoint.com/:f:/s/skemabiayaperumdes/EjCobvdXqEVCnPRDaRWtSAwB7Ob7aTXXhfaxfK-Ts9D7vA?e=Gwzklu" TargetMode="External"/><Relationship Id="rId150" Type="http://schemas.openxmlformats.org/officeDocument/2006/relationships/hyperlink" Target="https://drive.google.com/drive/folders/1aOVbFWqD3DEfjDF5sSzDbiB82NsYfPFr" TargetMode="External"/><Relationship Id="rId87" Type="http://schemas.openxmlformats.org/officeDocument/2006/relationships/hyperlink" Target="https://kemenpkp.sharepoint.com/:f:/s/skemabiayaperumdes/Epgkuz3CWWVHhUoI-5yJg9YBDQ3aotjPKTU7nD1tNwdDWw?e=VchbaN" TargetMode="External"/><Relationship Id="rId89" Type="http://schemas.openxmlformats.org/officeDocument/2006/relationships/hyperlink" Target="https://docs.google.com/spreadsheets/d/1S9YJmcKruql-C58bxdOeIDS456njgKAN/edit?usp=share_link&amp;ouid=102477866854178244229&amp;rtpof=true&amp;sd=true" TargetMode="External"/><Relationship Id="rId80" Type="http://schemas.openxmlformats.org/officeDocument/2006/relationships/hyperlink" Target="https://lnk.ink/105KABSRAGEN" TargetMode="External"/><Relationship Id="rId82" Type="http://schemas.openxmlformats.org/officeDocument/2006/relationships/hyperlink" Target="https://meta.tapera.go.id/public/question/2327d1b3-aab0-4bea-8802-f72764fad569" TargetMode="External"/><Relationship Id="rId81" Type="http://schemas.openxmlformats.org/officeDocument/2006/relationships/hyperlink" Target="https://meta.tapera.go.id/public/question/2327d1b3-aab0-4bea-8802-f72764fad569" TargetMode="External"/><Relationship Id="rId1" Type="http://schemas.openxmlformats.org/officeDocument/2006/relationships/comments" Target="../comments1.xml"/><Relationship Id="rId2" Type="http://schemas.openxmlformats.org/officeDocument/2006/relationships/hyperlink" Target="https://drive.google.com/drive/folders/18-EJ68CsQJSWmEecwD3tOEwofxROCpy0?usp=sharing" TargetMode="External"/><Relationship Id="rId3" Type="http://schemas.openxmlformats.org/officeDocument/2006/relationships/hyperlink" Target="https://drive.google.com/drive/folders/1CV6eSHU8BW1UpFjMCGBdUYwnGuN4Hxr7?usp=sharing" TargetMode="External"/><Relationship Id="rId149" Type="http://schemas.openxmlformats.org/officeDocument/2006/relationships/hyperlink" Target="https://drive.google.com/drive/folders/1o2WgvjpssvYItRu5BW75uGJe7EdYe07H" TargetMode="External"/><Relationship Id="rId4" Type="http://schemas.openxmlformats.org/officeDocument/2006/relationships/hyperlink" Target="https://drive.google.com/drive/folders/1KeU3G8OTzC1QYIyUSGQon66rNZzG-u-3?usp=drive_link" TargetMode="External"/><Relationship Id="rId148" Type="http://schemas.openxmlformats.org/officeDocument/2006/relationships/hyperlink" Target="https://drive.google.com/drive/folders/1Ck5TdBALxZH9QP-NsklXRRdqTLNMfHRR?usp=drive_link" TargetMode="External"/><Relationship Id="rId9" Type="http://schemas.openxmlformats.org/officeDocument/2006/relationships/hyperlink" Target="https://drive.google.com/drive/folders/1739lNoA8IThRTenN-4REEk-S0iyz0rY2?usp=drive_link" TargetMode="External"/><Relationship Id="rId143" Type="http://schemas.openxmlformats.org/officeDocument/2006/relationships/hyperlink" Target="https://drive.google.com/drive/folders/1_nlmsKu_NQu5eJ5aWFFcjacCWTnkuKBK" TargetMode="External"/><Relationship Id="rId142" Type="http://schemas.openxmlformats.org/officeDocument/2006/relationships/hyperlink" Target="https://drive.google.com/drive/folders/1Z1Un3NSI-egUVt7gZUVcO_qYi1ohxRX4?usp=drive_link" TargetMode="External"/><Relationship Id="rId141" Type="http://schemas.openxmlformats.org/officeDocument/2006/relationships/hyperlink" Target="https://drive.google.com/drive/folders/1Go9-9dHxgXquz58unGsp3DClJfKg9yo7?usp=drive_link" TargetMode="External"/><Relationship Id="rId140" Type="http://schemas.openxmlformats.org/officeDocument/2006/relationships/hyperlink" Target="https://drive.google.com/drive/folders/1NgGyJkosEI3jXSqRyZimOYi2xhPuiBfs?usp=drive_link" TargetMode="External"/><Relationship Id="rId5" Type="http://schemas.openxmlformats.org/officeDocument/2006/relationships/hyperlink" Target="https://drive.google.com/drive/folders/1kZ314UZCCYKRFuqNKJS86pOs3p6JpLVA?usp=sharing" TargetMode="External"/><Relationship Id="rId147" Type="http://schemas.openxmlformats.org/officeDocument/2006/relationships/hyperlink" Target="https://drive.google.com/drive/u/1/folders/18tKvMs-pJvGN2WTxqMv6cCPAxiRC5Dah" TargetMode="External"/><Relationship Id="rId6" Type="http://schemas.openxmlformats.org/officeDocument/2006/relationships/hyperlink" Target="https://shorturl.at/b55bW" TargetMode="External"/><Relationship Id="rId146" Type="http://schemas.openxmlformats.org/officeDocument/2006/relationships/hyperlink" Target="https://drive.google.com/drive/u/0/folders/131x3o-EYlU4oD9uldk0I01iAIDsWPJ0U" TargetMode="External"/><Relationship Id="rId7" Type="http://schemas.openxmlformats.org/officeDocument/2006/relationships/hyperlink" Target="https://drive.google.com/drive/folders/1Qm8Ux3qX2gYCDnULDBlHNfUKNsoCLG_Y" TargetMode="External"/><Relationship Id="rId145" Type="http://schemas.openxmlformats.org/officeDocument/2006/relationships/hyperlink" Target="https://drive.google.com/drive/folders/1RA5eTHd_mZxIxeWcvi8dEKwipz1UrdDt" TargetMode="External"/><Relationship Id="rId8" Type="http://schemas.openxmlformats.org/officeDocument/2006/relationships/hyperlink" Target="https://docs.google.com/spreadsheets/d/1I3S2Q7tkp1KYb69UkgM1v1U6cno2CGpLQoYMKJSQEyM/edit?usp=sharing" TargetMode="External"/><Relationship Id="rId144" Type="http://schemas.openxmlformats.org/officeDocument/2006/relationships/hyperlink" Target="https://drive.google.com/drive/folders/1pNlVyad9Xouv4DdeztYSmKDR9VOP3iOi?usp=sharing" TargetMode="External"/><Relationship Id="rId73" Type="http://schemas.openxmlformats.org/officeDocument/2006/relationships/hyperlink" Target="https://drive.google.com/drive/folders/1zvgwxJbit039u4IqHM2QH9FxndvHRpUB?usp=sharing" TargetMode="External"/><Relationship Id="rId72" Type="http://schemas.openxmlformats.org/officeDocument/2006/relationships/hyperlink" Target="https://drive.google.com/drive/folders/1Hl-Vg3zHWV4xiv-C-tolQAi4VDdtqkGQ?usp=drive_link" TargetMode="External"/><Relationship Id="rId75" Type="http://schemas.openxmlformats.org/officeDocument/2006/relationships/hyperlink" Target="https://drive.google.com/drive/folders/1zvgwxJbit039u4IqHM2QH9FxndvHRpUB?usp=sharing" TargetMode="External"/><Relationship Id="rId74" Type="http://schemas.openxmlformats.org/officeDocument/2006/relationships/hyperlink" Target="https://drive.google.com/drive/folders/1zvgwxJbit039u4IqHM2QH9FxndvHRpUB?usp=sharing" TargetMode="External"/><Relationship Id="rId77" Type="http://schemas.openxmlformats.org/officeDocument/2006/relationships/hyperlink" Target="https://drive.google.com/file/d/1R61qY26gCVv0COsHpQYT6NrDiE6y2gzK/view?usp=drive_link" TargetMode="External"/><Relationship Id="rId76" Type="http://schemas.openxmlformats.org/officeDocument/2006/relationships/hyperlink" Target="https://drive.google.com/file/d/1XPKTLr-tts7O7k6gYIRwt4Uic4nvncd2/view?usp=drive_link" TargetMode="External"/><Relationship Id="rId79" Type="http://schemas.openxmlformats.org/officeDocument/2006/relationships/hyperlink" Target="https://kemenpkp-my.sharepoint.com/personal/haifa_damarani_pkp_go_id/_layouts/15/onedrive.aspx?id=%2Fpersonal%2Fhaifa%5Fdamarani%5Fpkp%5Fgo%5Fid%2FDocuments%2FRENTEK%20LAHUNDES%2FKoordinasi%20Pendataan%2FEvidence%20Pendataan%2F15%2E%20Kab%2E%20Karanganyar&amp;ga=1" TargetMode="External"/><Relationship Id="rId78" Type="http://schemas.openxmlformats.org/officeDocument/2006/relationships/hyperlink" Target="https://drive.google.com/file/d/1OWQmiVDhlz3PalG9jBxD0aWpe6MXEMIY/view?usp=drive_link" TargetMode="External"/><Relationship Id="rId71" Type="http://schemas.openxmlformats.org/officeDocument/2006/relationships/hyperlink" Target="https://drive.google.com/drive/folders/1xSOfLaZ8Ka-e1lrlHHWoc0lZtRgzqKZ4?usp=drive_link" TargetMode="External"/><Relationship Id="rId70" Type="http://schemas.openxmlformats.org/officeDocument/2006/relationships/hyperlink" Target="https://drive.google.com/file/d/1lk9sMOyVYrvUZwJWOWrr_x43w6MuS5-R/view?usp=drive_link" TargetMode="External"/><Relationship Id="rId139" Type="http://schemas.openxmlformats.org/officeDocument/2006/relationships/hyperlink" Target="https://drive.google.com/drive/folders/1CUXpEKhQyFw8mBjUb4qXK1NBnXegiWgX?usp=sharing" TargetMode="External"/><Relationship Id="rId138" Type="http://schemas.openxmlformats.org/officeDocument/2006/relationships/hyperlink" Target="https://drive.google.com/drive/folders/10Ww8HoS4U_PlWMUj6xM3DVsLa6vGY0zY?usp=sharing" TargetMode="External"/><Relationship Id="rId137" Type="http://schemas.openxmlformats.org/officeDocument/2006/relationships/hyperlink" Target="https://drive.google.com/drive/folders/1btjL-Za2S1G14Cos7Dn98v3v8PSm_mpl?usp=drive_link" TargetMode="External"/><Relationship Id="rId132" Type="http://schemas.openxmlformats.org/officeDocument/2006/relationships/hyperlink" Target="https://bit.ly/linkdukunganberkas2025" TargetMode="External"/><Relationship Id="rId131" Type="http://schemas.openxmlformats.org/officeDocument/2006/relationships/hyperlink" Target="https://bit.ly/linkdukunganberkas2025" TargetMode="External"/><Relationship Id="rId130" Type="http://schemas.openxmlformats.org/officeDocument/2006/relationships/hyperlink" Target="https://bit.ly/linkdukunganberkas2025" TargetMode="External"/><Relationship Id="rId136" Type="http://schemas.openxmlformats.org/officeDocument/2006/relationships/hyperlink" Target="https://drive.google.com/drive/folders/1pNIRXiX0htA0JgrdScUqp9cqPuA8AvI6?usp=drive_link" TargetMode="External"/><Relationship Id="rId135" Type="http://schemas.openxmlformats.org/officeDocument/2006/relationships/hyperlink" Target="https://bit.ly/linkdukunganberkas2025" TargetMode="External"/><Relationship Id="rId134" Type="http://schemas.openxmlformats.org/officeDocument/2006/relationships/hyperlink" Target="https://bit.ly/linkdukunganberkas2025" TargetMode="External"/><Relationship Id="rId133" Type="http://schemas.openxmlformats.org/officeDocument/2006/relationships/hyperlink" Target="https://bit.ly/linkdukunganberkas2025" TargetMode="External"/><Relationship Id="rId62" Type="http://schemas.openxmlformats.org/officeDocument/2006/relationships/hyperlink" Target="https://drive.google.com/drive/folders/1_N2tl0EFcZlzFE6mWHqtTmw0I-mLgKtP?usp=sharing" TargetMode="External"/><Relationship Id="rId61" Type="http://schemas.openxmlformats.org/officeDocument/2006/relationships/hyperlink" Target="https://docs.google.com/spreadsheets/d/1BW61iV6LR8qNisH9n9IvEFH9iVOUZM5N/edit?usp=share_link&amp;ouid=102198927688552069252&amp;rtpof=true&amp;sd=true" TargetMode="External"/><Relationship Id="rId64" Type="http://schemas.openxmlformats.org/officeDocument/2006/relationships/hyperlink" Target="https://drive.google.com/drive/folders/1EZZrOhdnDlklYGJYsUtfjBfdRJGiiDuO?usp=sharing" TargetMode="External"/><Relationship Id="rId63" Type="http://schemas.openxmlformats.org/officeDocument/2006/relationships/hyperlink" Target="https://drive.google.com/drive/folders/13glYc27eE1Q_mwpuTiBxqr7LzDZbfNf4?usp=sharing" TargetMode="External"/><Relationship Id="rId66" Type="http://schemas.openxmlformats.org/officeDocument/2006/relationships/hyperlink" Target="https://drive.google.com/drive/folders/1QpGRLY341SSGHMAChfeQZCux8y5Z0dy4" TargetMode="External"/><Relationship Id="rId172" Type="http://schemas.openxmlformats.org/officeDocument/2006/relationships/vmlDrawing" Target="../drawings/vmlDrawing1.vml"/><Relationship Id="rId65" Type="http://schemas.openxmlformats.org/officeDocument/2006/relationships/hyperlink" Target="https://drive.google.com/drive/folders/1cTkU2JzOZhH1s8UYRv9rIZ4pBfxGy8Bd" TargetMode="External"/><Relationship Id="rId171" Type="http://schemas.openxmlformats.org/officeDocument/2006/relationships/drawing" Target="../drawings/drawing1.xml"/><Relationship Id="rId68" Type="http://schemas.openxmlformats.org/officeDocument/2006/relationships/hyperlink" Target="https://drive.google.com/drive/folders/14EzHZAi5Fv9F4csOTm0srkWmw0Ph3UBM" TargetMode="External"/><Relationship Id="rId170" Type="http://schemas.openxmlformats.org/officeDocument/2006/relationships/hyperlink" Target="https://drive.google.com/drive/folders/1R9L0nOvrmpjuDJHQUx_4s8lpFsZUkbRU?usp=sharing" TargetMode="External"/><Relationship Id="rId67" Type="http://schemas.openxmlformats.org/officeDocument/2006/relationships/hyperlink" Target="https://drive.google.com/drive/folders/1QYP6jKwj_CEtuOeKbokoH8tj1vybfJ9X" TargetMode="External"/><Relationship Id="rId60" Type="http://schemas.openxmlformats.org/officeDocument/2006/relationships/hyperlink" Target="https://drive.google.com/drive/folders/1Y2zJl-f8stjxIQ5JgRRf9Wyrp3iKyqVh?usp=drive_link" TargetMode="External"/><Relationship Id="rId165" Type="http://schemas.openxmlformats.org/officeDocument/2006/relationships/hyperlink" Target="https://drive.google.com/drive/folders/1HdSJnfYyDu2z5ynmfZ2wS_5W6VcmIpha?usp=drive_link" TargetMode="External"/><Relationship Id="rId69" Type="http://schemas.openxmlformats.org/officeDocument/2006/relationships/hyperlink" Target="https://drive.google.com/file/d/1N3Bw24hpTURVK9yU_V34g870tDIu-qlx/view?usp=drive_link" TargetMode="External"/><Relationship Id="rId164" Type="http://schemas.openxmlformats.org/officeDocument/2006/relationships/hyperlink" Target="https://drive.google.com/drive/folders/1HdSJnfYyDu2z5ynmfZ2wS_5W6VcmIpha?usp=drive_link" TargetMode="External"/><Relationship Id="rId163" Type="http://schemas.openxmlformats.org/officeDocument/2006/relationships/hyperlink" Target="https://drive.google.com/drive/folders/1HdSJnfYyDu2z5ynmfZ2wS_5W6VcmIpha?usp=drive_link" TargetMode="External"/><Relationship Id="rId162" Type="http://schemas.openxmlformats.org/officeDocument/2006/relationships/hyperlink" Target="https://drive.google.com/drive/folders/1HdSJnfYyDu2z5ynmfZ2wS_5W6VcmIpha?usp=drive_link" TargetMode="External"/><Relationship Id="rId169" Type="http://schemas.openxmlformats.org/officeDocument/2006/relationships/hyperlink" Target="https://drive.google.com/drive/folders/1caGqPUPeEm9gTyDdnusn1lNyGMLfS8bg?usp=drive_link" TargetMode="External"/><Relationship Id="rId168" Type="http://schemas.openxmlformats.org/officeDocument/2006/relationships/hyperlink" Target="https://drive.google.com/drive/folders/1GFVRmSYg_wlgM9d3mhbu01bm6vGNySKm?usp=sharing" TargetMode="External"/><Relationship Id="rId167" Type="http://schemas.openxmlformats.org/officeDocument/2006/relationships/hyperlink" Target="https://drive.google.com/drive/folders/1HdSJnfYyDu2z5ynmfZ2wS_5W6VcmIpha?usp=drive_link" TargetMode="External"/><Relationship Id="rId166" Type="http://schemas.openxmlformats.org/officeDocument/2006/relationships/hyperlink" Target="https://drive.google.com/drive/folders/1HdSJnfYyDu2z5ynmfZ2wS_5W6VcmIpha?usp=drive_link" TargetMode="External"/><Relationship Id="rId51" Type="http://schemas.openxmlformats.org/officeDocument/2006/relationships/hyperlink" Target="https://kemenpkp-my.sharepoint.com/:f:/g/personal/nisurali_pkp_go_id/EpkudxwyghxCqAB518kAnd0B2rqVrDGKNp2F55FeLigA4g?e=nTX7XG" TargetMode="External"/><Relationship Id="rId50" Type="http://schemas.openxmlformats.org/officeDocument/2006/relationships/hyperlink" Target="https://kemenpkp-my.sharepoint.com/:f:/g/personal/haifa_damarani_pkp_go_id/El6Ev5X_lBVNtkM--mOvZngB_848V-zWScnL97VOD0vX6g?e=50Ow7t" TargetMode="External"/><Relationship Id="rId53" Type="http://schemas.openxmlformats.org/officeDocument/2006/relationships/hyperlink" Target="https://kemenpkp-my.sharepoint.com/:f:/g/personal/haifa_damarani_pkp_go_id/EqX2mXxoidFHqgNiSoLzq6kBScGZPjVtl1iwHEuYwX0maA?e=Bdad2o" TargetMode="External"/><Relationship Id="rId52" Type="http://schemas.openxmlformats.org/officeDocument/2006/relationships/hyperlink" Target="https://kemenpkp-my.sharepoint.com/:f:/g/personal/haifa_damarani_pkp_go_id/EgwH3BFhFvFAhrTnqaCQZ2EBRk4M7d982oyxgw8dajmwGg?e=pfR2ri" TargetMode="External"/><Relationship Id="rId55" Type="http://schemas.openxmlformats.org/officeDocument/2006/relationships/hyperlink" Target="https://kemenpkp-my.sharepoint.com/:f:/g/personal/haifa_damarani_pkp_go_id/EsnsFRmPa39Juf8cx9ikNFoB9EieLsP8JbYOJA7NyXWddQ?e=ya5iia" TargetMode="External"/><Relationship Id="rId161" Type="http://schemas.openxmlformats.org/officeDocument/2006/relationships/hyperlink" Target="https://drive.google.com/drive/folders/1HdSJnfYyDu2z5ynmfZ2wS_5W6VcmIpha?usp=drive_link" TargetMode="External"/><Relationship Id="rId54" Type="http://schemas.openxmlformats.org/officeDocument/2006/relationships/hyperlink" Target="https://kemenpkp-my.sharepoint.com/personal/haifa_damarani_pkp_go_id/_layouts/15/onedrive.aspx?id=%2Fpersonal%2Fhaifa%5Fdamarani%5Fpkp%5Fgo%5Fid%2FDocuments%2FRENTEK%20LAHUNDES%2FKoordinasi%20Pendataan%2FEvidence%20Pendataan%2F13%2E%20Kab%2E%20Mesuji&amp;ga=1" TargetMode="External"/><Relationship Id="rId160" Type="http://schemas.openxmlformats.org/officeDocument/2006/relationships/hyperlink" Target="https://drive.google.com/file/d/1GNMI9KTSeMNaC7eAR2_kUJDzPC-IKKR-/view?usp=drive_link" TargetMode="External"/><Relationship Id="rId57" Type="http://schemas.openxmlformats.org/officeDocument/2006/relationships/hyperlink" Target="https://drive.google.com/drive/folders/1N9y3aWPOnxk_9K5xGnpVZUcMpr3JiSpJ?usp=drive_link" TargetMode="External"/><Relationship Id="rId56" Type="http://schemas.openxmlformats.org/officeDocument/2006/relationships/hyperlink" Target="https://drive.google.com/drive/folders/1NMjQWlNLDN20Lmzp_v6eblE01k_7U7Yc?usp=drive_link" TargetMode="External"/><Relationship Id="rId159" Type="http://schemas.openxmlformats.org/officeDocument/2006/relationships/hyperlink" Target="https://drive.google.com/drive/folders/1HdSJnfYyDu2z5ynmfZ2wS_5W6VcmIpha?usp=sharing" TargetMode="External"/><Relationship Id="rId59" Type="http://schemas.openxmlformats.org/officeDocument/2006/relationships/hyperlink" Target="https://drive.google.com/drive/folders/1JOmUa_W0GwJYNuoZsCvL4gE_4qElXxkH?usp=drive_link" TargetMode="External"/><Relationship Id="rId154" Type="http://schemas.openxmlformats.org/officeDocument/2006/relationships/hyperlink" Target="https://drive.google.com/drive/folders/1HdSJnfYyDu2z5ynmfZ2wS_5W6VcmIpha?usp=drive_link" TargetMode="External"/><Relationship Id="rId58" Type="http://schemas.openxmlformats.org/officeDocument/2006/relationships/hyperlink" Target="https://drive.google.com/drive/folders/1Gt7zb3y2Qi88HJgOpKj-LfEBlIPQE0By?usp=sharing" TargetMode="External"/><Relationship Id="rId153" Type="http://schemas.openxmlformats.org/officeDocument/2006/relationships/hyperlink" Target="https://drive.google.com/drive/folders/1HdSJnfYyDu2z5ynmfZ2wS_5W6VcmIpha?usp=drive_link" TargetMode="External"/><Relationship Id="rId152" Type="http://schemas.openxmlformats.org/officeDocument/2006/relationships/hyperlink" Target="https://drive.google.com/drive/folders/1HdSJnfYyDu2z5ynmfZ2wS_5W6VcmIpha?usp=drive_link" TargetMode="External"/><Relationship Id="rId151" Type="http://schemas.openxmlformats.org/officeDocument/2006/relationships/hyperlink" Target="https://drive.google.com/drive/folders/1HdSJnfYyDu2z5ynmfZ2wS_5W6VcmIpha?usp=drive_link" TargetMode="External"/><Relationship Id="rId158" Type="http://schemas.openxmlformats.org/officeDocument/2006/relationships/hyperlink" Target="https://drive.google.com/drive/folders/1HdSJnfYyDu2z5ynmfZ2wS_5W6VcmIpha?usp=sharing" TargetMode="External"/><Relationship Id="rId157" Type="http://schemas.openxmlformats.org/officeDocument/2006/relationships/hyperlink" Target="https://drive.google.com/drive/folders/1HdSJnfYyDu2z5ynmfZ2wS_5W6VcmIpha?usp=sharing" TargetMode="External"/><Relationship Id="rId156" Type="http://schemas.openxmlformats.org/officeDocument/2006/relationships/hyperlink" Target="https://drive.google.com/drive/folders/1HdSJnfYyDu2z5ynmfZ2wS_5W6VcmIpha?usp=drive_link" TargetMode="External"/><Relationship Id="rId155" Type="http://schemas.openxmlformats.org/officeDocument/2006/relationships/hyperlink" Target="https://drive.google.com/drive/folders/1HdSJnfYyDu2z5ynmfZ2wS_5W6VcmIpha?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i/" TargetMode="External"/><Relationship Id="rId3" Type="http://schemas.openxmlformats.org/officeDocument/2006/relationships/hyperlink" Target="http://m.si/" TargetMode="External"/><Relationship Id="rId4" Type="http://schemas.openxmlformats.org/officeDocument/2006/relationships/hyperlink" Target="http://m.si/" TargetMode="External"/><Relationship Id="rId5" Type="http://schemas.openxmlformats.org/officeDocument/2006/relationships/hyperlink" Target="http://m.si/" TargetMode="External"/><Relationship Id="rId6" Type="http://schemas.openxmlformats.org/officeDocument/2006/relationships/drawing" Target="../drawings/drawing6.xml"/><Relationship Id="rId7"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1" Type="http://schemas.openxmlformats.org/officeDocument/2006/relationships/drawing" Target="../drawings/drawing7.xml"/><Relationship Id="rId30" Type="http://schemas.openxmlformats.org/officeDocument/2006/relationships/hyperlink" Target="http://m.si/" TargetMode="External"/><Relationship Id="rId20" Type="http://schemas.openxmlformats.org/officeDocument/2006/relationships/hyperlink" Target="https://wa.me/6285695440263" TargetMode="External"/><Relationship Id="rId22" Type="http://schemas.openxmlformats.org/officeDocument/2006/relationships/hyperlink" Target="https://drive.google.com/drive/folders/1HdSJnfYyDu2z5ynmfZ2wS_5W6VcmIpha?usp=drive_link" TargetMode="External"/><Relationship Id="rId21" Type="http://schemas.openxmlformats.org/officeDocument/2006/relationships/hyperlink" Target="https://drive.google.com/drive/folders/10LghyvWf8TccwU3Y1tHPRHH3PuJHcO9k?usp=drive_link" TargetMode="External"/><Relationship Id="rId24" Type="http://schemas.openxmlformats.org/officeDocument/2006/relationships/hyperlink" Target="https://drive.google.com/drive/folders/1mR_42PdxnMFtKEe3Qs68tmDbDMYst3Cl?usp=drive_link" TargetMode="External"/><Relationship Id="rId23" Type="http://schemas.openxmlformats.org/officeDocument/2006/relationships/hyperlink" Target="https://drive.google.com/drive/folders/10HdLeGaUuPsEy62yrZTv2jyMdZS5iZuC?usp=drive_link" TargetMode="External"/><Relationship Id="rId26" Type="http://schemas.openxmlformats.org/officeDocument/2006/relationships/hyperlink" Target="https://drive.google.com/file/d/1GNMI9KTSeMNaC7eAR2_kUJDzPC-IKKR-/view?usp=drive_link" TargetMode="External"/><Relationship Id="rId25" Type="http://schemas.openxmlformats.org/officeDocument/2006/relationships/hyperlink" Target="https://drive.google.com/drive/folders/1Uy_QQQimxKmoIkejHnEo8b7Kr5AuDT-M?usp=drive_link" TargetMode="External"/><Relationship Id="rId28" Type="http://schemas.openxmlformats.org/officeDocument/2006/relationships/hyperlink" Target="https://drive.google.com/drive/folders/1n5bzlKW15jJfCsBkG4wWt4yWjVhevnlG?usp=drive_link" TargetMode="External"/><Relationship Id="rId27" Type="http://schemas.openxmlformats.org/officeDocument/2006/relationships/hyperlink" Target="https://drive.google.com/drive/folders/10LaEpB_TG_qOKgfaUMwUwteEYrNCLRgm?usp=drive_link" TargetMode="External"/><Relationship Id="rId29" Type="http://schemas.openxmlformats.org/officeDocument/2006/relationships/hyperlink" Target="https://drive.google.com/drive/folders/1mm2whN0HSghvBVmLRM5gjaklqshjEJua?usp=drive_link" TargetMode="External"/><Relationship Id="rId11" Type="http://schemas.openxmlformats.org/officeDocument/2006/relationships/hyperlink" Target="https://wa.me/628119501301" TargetMode="External"/><Relationship Id="rId10" Type="http://schemas.openxmlformats.org/officeDocument/2006/relationships/hyperlink" Target="https://wa.me/6281219990195" TargetMode="External"/><Relationship Id="rId13" Type="http://schemas.openxmlformats.org/officeDocument/2006/relationships/hyperlink" Target="https://wa.me/6285777906687" TargetMode="External"/><Relationship Id="rId12" Type="http://schemas.openxmlformats.org/officeDocument/2006/relationships/hyperlink" Target="https://wa.me/6281227816156" TargetMode="External"/><Relationship Id="rId15" Type="http://schemas.openxmlformats.org/officeDocument/2006/relationships/hyperlink" Target="http://m.si/" TargetMode="External"/><Relationship Id="rId14" Type="http://schemas.openxmlformats.org/officeDocument/2006/relationships/hyperlink" Target="https://wa.me/628122324094" TargetMode="External"/><Relationship Id="rId17" Type="http://schemas.openxmlformats.org/officeDocument/2006/relationships/hyperlink" Target="https://drive.google.com/drive/folders/1R1_6OhLG-D_4nyEoIYSANO4KzEB9biec" TargetMode="External"/><Relationship Id="rId16" Type="http://schemas.openxmlformats.org/officeDocument/2006/relationships/hyperlink" Target="https://drive.google.com/drive/folders/1NgGyJkosEI3jXSqRyZimOYi2xhPuiBfs" TargetMode="External"/><Relationship Id="rId19" Type="http://schemas.openxmlformats.org/officeDocument/2006/relationships/hyperlink" Target="https://wa.me/6282114503864" TargetMode="External"/><Relationship Id="rId18" Type="http://schemas.openxmlformats.org/officeDocument/2006/relationships/hyperlink" Target="https://drive.google.com/drive/folders/1Z1Un3NSI-egUVt7gZUVcO_qYi1ohxRX4" TargetMode="External"/><Relationship Id="rId1" Type="http://schemas.openxmlformats.org/officeDocument/2006/relationships/hyperlink" Target="https://wa.me/6285258839471" TargetMode="External"/><Relationship Id="rId2" Type="http://schemas.openxmlformats.org/officeDocument/2006/relationships/hyperlink" Target="https://wa.me/628179123781" TargetMode="External"/><Relationship Id="rId3" Type="http://schemas.openxmlformats.org/officeDocument/2006/relationships/hyperlink" Target="https://wa.me/6287738788667" TargetMode="External"/><Relationship Id="rId4" Type="http://schemas.openxmlformats.org/officeDocument/2006/relationships/hyperlink" Target="http://a.md/" TargetMode="External"/><Relationship Id="rId9" Type="http://schemas.openxmlformats.org/officeDocument/2006/relationships/hyperlink" Target="https://wa.me/6282376071223" TargetMode="External"/><Relationship Id="rId5" Type="http://schemas.openxmlformats.org/officeDocument/2006/relationships/hyperlink" Target="http://m.tr/" TargetMode="External"/><Relationship Id="rId6" Type="http://schemas.openxmlformats.org/officeDocument/2006/relationships/hyperlink" Target="https://wa.me/6282168370520" TargetMode="External"/><Relationship Id="rId7" Type="http://schemas.openxmlformats.org/officeDocument/2006/relationships/hyperlink" Target="https://wa.me/6281211267171" TargetMode="External"/><Relationship Id="rId8" Type="http://schemas.openxmlformats.org/officeDocument/2006/relationships/hyperlink" Target="https://wa.me/628211175848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fNZZWKx2XTu4AzXZa1eIk6I_q3YnOEFM" TargetMode="External"/><Relationship Id="rId2" Type="http://schemas.openxmlformats.org/officeDocument/2006/relationships/drawing" Target="../drawings/drawing8.xml"/><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a.md/"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a.me/628119501301"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a.me/628122324094" TargetMode="External"/><Relationship Id="rId2" Type="http://schemas.openxmlformats.org/officeDocument/2006/relationships/hyperlink" Target="http://m.si/"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a.me/628179123781"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2.63" defaultRowHeight="15.75"/>
  <cols>
    <col customWidth="1" min="1" max="1" width="0.88"/>
    <col customWidth="1" min="2" max="2" width="5.38"/>
    <col customWidth="1" min="3" max="3" width="28.38"/>
    <col customWidth="1" min="4" max="4" width="28.0"/>
    <col customWidth="1" min="5" max="5" width="19.63"/>
    <col customWidth="1" min="6" max="6" width="11.5"/>
    <col customWidth="1" min="7" max="7" width="14.38"/>
    <col customWidth="1" min="8" max="8" width="14.88"/>
    <col customWidth="1" min="9" max="9" width="8.38"/>
    <col customWidth="1" min="10" max="10" width="10.5"/>
    <col customWidth="1" min="11" max="11" width="16.75"/>
    <col customWidth="1" min="12" max="12" width="12.25"/>
    <col customWidth="1" min="13" max="13" width="8.38"/>
    <col customWidth="1" min="14" max="14" width="12.13"/>
    <col customWidth="1" min="15" max="15" width="15.75"/>
    <col customWidth="1" min="16" max="16" width="14.25"/>
    <col customWidth="1" min="17" max="17" width="12.88"/>
    <col customWidth="1" min="18" max="18" width="8.25"/>
    <col customWidth="1" min="19" max="19" width="9.25"/>
    <col customWidth="1" min="20" max="20" width="9.5"/>
    <col customWidth="1" min="21" max="21" width="17.13"/>
    <col customWidth="1" min="22" max="22" width="16.75"/>
    <col customWidth="1" min="23" max="23" width="10.75"/>
    <col customWidth="1" min="24" max="25" width="13.63"/>
    <col customWidth="1" min="26" max="26" width="8.88"/>
    <col customWidth="1" min="27" max="27" width="91.5"/>
    <col customWidth="1" hidden="1" min="28" max="28" width="29.88"/>
    <col customWidth="1" hidden="1" min="29" max="29" width="24.13"/>
    <col customWidth="1" min="30" max="30" width="20.63"/>
  </cols>
  <sheetData>
    <row r="1">
      <c r="A1" s="1" t="s">
        <v>0</v>
      </c>
      <c r="B1" s="2"/>
      <c r="C1" s="2"/>
      <c r="D1" s="2"/>
      <c r="E1" s="3"/>
      <c r="F1" s="2"/>
      <c r="G1" s="2"/>
      <c r="H1" s="2"/>
      <c r="I1" s="2"/>
      <c r="J1" s="2"/>
      <c r="K1" s="2"/>
      <c r="L1" s="2"/>
      <c r="M1" s="2"/>
      <c r="N1" s="2"/>
      <c r="O1" s="2"/>
      <c r="P1" s="2"/>
      <c r="Q1" s="2"/>
      <c r="R1" s="2"/>
      <c r="S1" s="2"/>
      <c r="T1" s="2"/>
      <c r="U1" s="2"/>
      <c r="V1" s="2"/>
      <c r="W1" s="3"/>
      <c r="X1" s="3" t="s">
        <v>1</v>
      </c>
      <c r="Y1" s="2"/>
      <c r="Z1" s="2"/>
      <c r="AA1" s="4"/>
      <c r="AB1" s="5"/>
      <c r="AC1" s="5"/>
      <c r="AD1" s="5"/>
      <c r="AE1" s="5"/>
      <c r="AF1" s="5"/>
      <c r="AG1" s="5"/>
      <c r="AH1" s="5"/>
      <c r="AI1" s="5"/>
      <c r="AJ1" s="5"/>
    </row>
    <row r="2" hidden="1">
      <c r="A2" s="6"/>
      <c r="B2" s="7" t="s">
        <v>2</v>
      </c>
      <c r="C2" s="8"/>
      <c r="D2" s="8"/>
      <c r="E2" s="9"/>
      <c r="F2" s="8"/>
      <c r="G2" s="8"/>
      <c r="H2" s="8"/>
      <c r="I2" s="8"/>
      <c r="J2" s="8"/>
      <c r="K2" s="8"/>
      <c r="L2" s="8"/>
      <c r="M2" s="8"/>
      <c r="N2" s="8"/>
      <c r="O2" s="8"/>
      <c r="P2" s="8"/>
      <c r="Q2" s="8"/>
      <c r="R2" s="8"/>
      <c r="S2" s="8"/>
      <c r="T2" s="8"/>
      <c r="U2" s="8"/>
      <c r="V2" s="8"/>
      <c r="W2" s="9"/>
      <c r="X2" s="9"/>
      <c r="Y2" s="8"/>
      <c r="Z2" s="8"/>
      <c r="AA2" s="10"/>
      <c r="AB2" s="5"/>
      <c r="AC2" s="5"/>
      <c r="AD2" s="5"/>
      <c r="AE2" s="5"/>
      <c r="AF2" s="5"/>
      <c r="AG2" s="5"/>
      <c r="AH2" s="5"/>
      <c r="AI2" s="5"/>
      <c r="AJ2" s="5"/>
    </row>
    <row r="3" hidden="1">
      <c r="A3" s="5"/>
      <c r="B3" s="5"/>
      <c r="C3" s="5"/>
      <c r="D3" s="5"/>
      <c r="E3" s="11"/>
      <c r="F3" s="12"/>
      <c r="G3" s="5"/>
      <c r="H3" s="12"/>
      <c r="I3" s="12"/>
      <c r="J3" s="12"/>
      <c r="K3" s="12"/>
      <c r="L3" s="12"/>
      <c r="M3" s="12"/>
      <c r="N3" s="5"/>
      <c r="O3" s="5"/>
      <c r="P3" s="5"/>
      <c r="Q3" s="5"/>
      <c r="R3" s="5"/>
      <c r="S3" s="5"/>
      <c r="T3" s="5"/>
      <c r="U3" s="12"/>
      <c r="V3" s="5"/>
      <c r="W3" s="11"/>
      <c r="X3" s="11"/>
      <c r="Y3" s="13"/>
      <c r="Z3" s="5"/>
      <c r="AA3" s="14"/>
      <c r="AB3" s="5"/>
      <c r="AC3" s="5"/>
      <c r="AD3" s="5"/>
      <c r="AE3" s="5"/>
      <c r="AF3" s="5"/>
      <c r="AG3" s="5"/>
      <c r="AH3" s="5"/>
      <c r="AI3" s="5"/>
      <c r="AJ3" s="5"/>
    </row>
    <row r="4">
      <c r="A4" s="15"/>
      <c r="B4" s="16" t="s">
        <v>3</v>
      </c>
      <c r="C4" s="17" t="s">
        <v>4</v>
      </c>
      <c r="D4" s="17" t="s">
        <v>5</v>
      </c>
      <c r="E4" s="18" t="s">
        <v>6</v>
      </c>
      <c r="F4" s="19"/>
      <c r="G4" s="19"/>
      <c r="H4" s="19"/>
      <c r="I4" s="19"/>
      <c r="J4" s="19"/>
      <c r="K4" s="19"/>
      <c r="L4" s="19"/>
      <c r="M4" s="20"/>
      <c r="N4" s="21" t="s">
        <v>7</v>
      </c>
      <c r="O4" s="19"/>
      <c r="P4" s="19"/>
      <c r="Q4" s="19"/>
      <c r="R4" s="19"/>
      <c r="S4" s="19"/>
      <c r="T4" s="19"/>
      <c r="U4" s="20"/>
      <c r="V4" s="22" t="s">
        <v>8</v>
      </c>
      <c r="W4" s="23"/>
      <c r="X4" s="24" t="s">
        <v>9</v>
      </c>
      <c r="Y4" s="20"/>
      <c r="Z4" s="25" t="s">
        <v>10</v>
      </c>
      <c r="AA4" s="25" t="s">
        <v>11</v>
      </c>
      <c r="AB4" s="5"/>
      <c r="AC4" s="26" t="s">
        <v>12</v>
      </c>
      <c r="AD4" s="5"/>
      <c r="AE4" s="5"/>
      <c r="AF4" s="5"/>
      <c r="AG4" s="5"/>
      <c r="AH4" s="5"/>
      <c r="AI4" s="5"/>
      <c r="AJ4" s="5"/>
    </row>
    <row r="5">
      <c r="A5" s="15"/>
      <c r="B5" s="16"/>
      <c r="C5" s="27"/>
      <c r="D5" s="27"/>
      <c r="E5" s="28" t="s">
        <v>13</v>
      </c>
      <c r="F5" s="19"/>
      <c r="G5" s="20"/>
      <c r="H5" s="29" t="s">
        <v>14</v>
      </c>
      <c r="I5" s="19"/>
      <c r="J5" s="19"/>
      <c r="K5" s="19"/>
      <c r="L5" s="19"/>
      <c r="M5" s="20"/>
      <c r="N5" s="21" t="s">
        <v>15</v>
      </c>
      <c r="O5" s="19"/>
      <c r="P5" s="19"/>
      <c r="Q5" s="19"/>
      <c r="R5" s="19"/>
      <c r="S5" s="19"/>
      <c r="T5" s="19"/>
      <c r="U5" s="20"/>
      <c r="V5" s="30"/>
      <c r="W5" s="31"/>
      <c r="X5" s="32" t="s">
        <v>16</v>
      </c>
      <c r="Y5" s="33" t="s">
        <v>17</v>
      </c>
      <c r="Z5" s="27"/>
      <c r="AA5" s="27"/>
      <c r="AB5" s="5"/>
      <c r="AD5" s="34"/>
      <c r="AE5" s="5"/>
      <c r="AF5" s="5"/>
      <c r="AG5" s="5"/>
      <c r="AH5" s="5"/>
      <c r="AI5" s="5"/>
      <c r="AJ5" s="5"/>
    </row>
    <row r="6">
      <c r="A6" s="15"/>
      <c r="B6" s="16"/>
      <c r="C6" s="27"/>
      <c r="D6" s="27"/>
      <c r="E6" s="35" t="s">
        <v>18</v>
      </c>
      <c r="F6" s="35" t="s">
        <v>19</v>
      </c>
      <c r="G6" s="35" t="s">
        <v>20</v>
      </c>
      <c r="H6" s="35" t="s">
        <v>21</v>
      </c>
      <c r="I6" s="35" t="s">
        <v>22</v>
      </c>
      <c r="J6" s="28" t="s">
        <v>23</v>
      </c>
      <c r="K6" s="20"/>
      <c r="L6" s="35" t="s">
        <v>24</v>
      </c>
      <c r="M6" s="36" t="s">
        <v>25</v>
      </c>
      <c r="N6" s="37" t="s">
        <v>23</v>
      </c>
      <c r="O6" s="20"/>
      <c r="P6" s="38" t="s">
        <v>26</v>
      </c>
      <c r="Q6" s="38" t="s">
        <v>24</v>
      </c>
      <c r="R6" s="38" t="s">
        <v>27</v>
      </c>
      <c r="S6" s="38" t="s">
        <v>22</v>
      </c>
      <c r="T6" s="38" t="s">
        <v>28</v>
      </c>
      <c r="U6" s="38" t="s">
        <v>29</v>
      </c>
      <c r="V6" s="39" t="s">
        <v>30</v>
      </c>
      <c r="W6" s="39" t="s">
        <v>31</v>
      </c>
      <c r="X6" s="40"/>
      <c r="Y6" s="40"/>
      <c r="Z6" s="27"/>
      <c r="AA6" s="27"/>
      <c r="AB6" s="11"/>
      <c r="AD6" s="11"/>
      <c r="AE6" s="11"/>
      <c r="AF6" s="11"/>
      <c r="AG6" s="11"/>
      <c r="AH6" s="11"/>
      <c r="AI6" s="11"/>
      <c r="AJ6" s="11"/>
    </row>
    <row r="7">
      <c r="A7" s="15"/>
      <c r="B7" s="16"/>
      <c r="C7" s="40"/>
      <c r="D7" s="40"/>
      <c r="E7" s="40"/>
      <c r="F7" s="40"/>
      <c r="G7" s="40"/>
      <c r="H7" s="40"/>
      <c r="I7" s="40"/>
      <c r="J7" s="36" t="s">
        <v>32</v>
      </c>
      <c r="K7" s="36" t="s">
        <v>33</v>
      </c>
      <c r="L7" s="40"/>
      <c r="M7" s="36"/>
      <c r="N7" s="41" t="s">
        <v>32</v>
      </c>
      <c r="O7" s="41" t="s">
        <v>33</v>
      </c>
      <c r="P7" s="40"/>
      <c r="Q7" s="40"/>
      <c r="R7" s="40"/>
      <c r="S7" s="40"/>
      <c r="T7" s="40"/>
      <c r="U7" s="40"/>
      <c r="V7" s="39"/>
      <c r="W7" s="39"/>
      <c r="X7" s="39"/>
      <c r="Y7" s="42"/>
      <c r="Z7" s="40"/>
      <c r="AA7" s="40"/>
      <c r="AB7" s="11"/>
      <c r="AD7" s="11"/>
      <c r="AE7" s="11"/>
      <c r="AF7" s="11"/>
      <c r="AG7" s="11"/>
      <c r="AH7" s="11"/>
      <c r="AI7" s="11"/>
      <c r="AJ7" s="11"/>
    </row>
    <row r="8">
      <c r="A8" s="43"/>
      <c r="B8" s="44">
        <v>1.0</v>
      </c>
      <c r="C8" s="45" t="s">
        <v>34</v>
      </c>
      <c r="D8" s="45" t="s">
        <v>35</v>
      </c>
      <c r="E8" s="46">
        <v>71.0</v>
      </c>
      <c r="F8" s="44"/>
      <c r="G8" s="47"/>
      <c r="H8" s="47"/>
      <c r="I8" s="47"/>
      <c r="J8" s="47"/>
      <c r="K8" s="47"/>
      <c r="L8" s="47"/>
      <c r="M8" s="44">
        <v>11.0</v>
      </c>
      <c r="N8" s="47"/>
      <c r="O8" s="47"/>
      <c r="P8" s="47"/>
      <c r="Q8" s="47"/>
      <c r="R8" s="44">
        <v>48.0</v>
      </c>
      <c r="S8" s="47"/>
      <c r="T8" s="47"/>
      <c r="U8" s="47"/>
      <c r="V8" s="47"/>
      <c r="W8" s="48"/>
      <c r="X8" s="48"/>
      <c r="Y8" s="49"/>
      <c r="Z8" s="47">
        <f t="shared" ref="Z8:Z228" si="1">SUM(E8:U8)</f>
        <v>130</v>
      </c>
      <c r="AA8" s="50" t="s">
        <v>36</v>
      </c>
      <c r="AB8" s="5"/>
      <c r="AC8" s="5"/>
      <c r="AD8" s="5"/>
      <c r="AE8" s="5"/>
      <c r="AF8" s="5"/>
      <c r="AG8" s="5"/>
      <c r="AH8" s="5"/>
      <c r="AI8" s="5"/>
      <c r="AJ8" s="5"/>
    </row>
    <row r="9">
      <c r="A9" s="43"/>
      <c r="B9" s="44">
        <v>2.0</v>
      </c>
      <c r="C9" s="51"/>
      <c r="D9" s="45" t="s">
        <v>37</v>
      </c>
      <c r="E9" s="46">
        <v>6.0</v>
      </c>
      <c r="F9" s="52"/>
      <c r="G9" s="47"/>
      <c r="H9" s="44">
        <v>154.0</v>
      </c>
      <c r="I9" s="44">
        <v>2.0</v>
      </c>
      <c r="J9" s="44"/>
      <c r="K9" s="44"/>
      <c r="L9" s="47"/>
      <c r="M9" s="47"/>
      <c r="N9" s="44"/>
      <c r="O9" s="47"/>
      <c r="P9" s="47"/>
      <c r="Q9" s="47"/>
      <c r="R9" s="44"/>
      <c r="S9" s="44">
        <v>11.0</v>
      </c>
      <c r="T9" s="47"/>
      <c r="U9" s="44">
        <v>294.0</v>
      </c>
      <c r="V9" s="47"/>
      <c r="W9" s="48"/>
      <c r="X9" s="48"/>
      <c r="Y9" s="49"/>
      <c r="Z9" s="47">
        <f t="shared" si="1"/>
        <v>467</v>
      </c>
      <c r="AA9" s="27"/>
      <c r="AB9" s="5"/>
      <c r="AC9" s="5"/>
      <c r="AD9" s="5"/>
      <c r="AE9" s="5"/>
      <c r="AF9" s="5"/>
      <c r="AG9" s="5"/>
      <c r="AH9" s="5"/>
      <c r="AI9" s="5"/>
      <c r="AJ9" s="5"/>
    </row>
    <row r="10">
      <c r="A10" s="43"/>
      <c r="B10" s="44">
        <v>3.0</v>
      </c>
      <c r="C10" s="51"/>
      <c r="D10" s="45" t="s">
        <v>38</v>
      </c>
      <c r="E10" s="46">
        <v>390.0</v>
      </c>
      <c r="F10" s="47"/>
      <c r="G10" s="47"/>
      <c r="H10" s="44">
        <v>15.0</v>
      </c>
      <c r="I10" s="47"/>
      <c r="J10" s="47"/>
      <c r="K10" s="47"/>
      <c r="L10" s="44"/>
      <c r="M10" s="44">
        <v>15.0</v>
      </c>
      <c r="N10" s="47"/>
      <c r="O10" s="47"/>
      <c r="P10" s="44"/>
      <c r="Q10" s="44">
        <v>2.0</v>
      </c>
      <c r="R10" s="44">
        <v>36.0</v>
      </c>
      <c r="S10" s="47"/>
      <c r="T10" s="47"/>
      <c r="U10" s="44">
        <v>72.0</v>
      </c>
      <c r="V10" s="47"/>
      <c r="W10" s="48"/>
      <c r="X10" s="48"/>
      <c r="Y10" s="49"/>
      <c r="Z10" s="47">
        <f t="shared" si="1"/>
        <v>530</v>
      </c>
      <c r="AA10" s="27"/>
      <c r="AB10" s="5"/>
      <c r="AC10" s="5"/>
      <c r="AD10" s="5"/>
      <c r="AE10" s="5"/>
      <c r="AF10" s="5"/>
      <c r="AG10" s="5"/>
      <c r="AH10" s="5"/>
      <c r="AI10" s="5"/>
      <c r="AJ10" s="5"/>
    </row>
    <row r="11">
      <c r="A11" s="43"/>
      <c r="B11" s="44">
        <v>4.0</v>
      </c>
      <c r="C11" s="51"/>
      <c r="D11" s="45" t="s">
        <v>39</v>
      </c>
      <c r="E11" s="53">
        <v>10.0</v>
      </c>
      <c r="F11" s="47"/>
      <c r="G11" s="47"/>
      <c r="H11" s="44">
        <v>13.0</v>
      </c>
      <c r="I11" s="44">
        <v>44.0</v>
      </c>
      <c r="J11" s="44"/>
      <c r="K11" s="44"/>
      <c r="L11" s="44">
        <v>37.0</v>
      </c>
      <c r="M11" s="44">
        <v>114.0</v>
      </c>
      <c r="N11" s="47"/>
      <c r="O11" s="47"/>
      <c r="P11" s="44"/>
      <c r="Q11" s="54">
        <v>139.0</v>
      </c>
      <c r="R11" s="44">
        <v>6.0</v>
      </c>
      <c r="S11" s="44">
        <v>36.0</v>
      </c>
      <c r="T11" s="47"/>
      <c r="U11" s="44"/>
      <c r="V11" s="47"/>
      <c r="W11" s="48"/>
      <c r="X11" s="54" t="s">
        <v>40</v>
      </c>
      <c r="Y11" s="55" t="s">
        <v>41</v>
      </c>
      <c r="Z11" s="47">
        <f t="shared" si="1"/>
        <v>399</v>
      </c>
      <c r="AA11" s="27"/>
      <c r="AB11" s="5"/>
      <c r="AC11" s="5"/>
      <c r="AD11" s="5"/>
      <c r="AE11" s="5"/>
      <c r="AF11" s="5"/>
      <c r="AG11" s="5"/>
      <c r="AH11" s="5"/>
      <c r="AI11" s="5"/>
      <c r="AJ11" s="5"/>
    </row>
    <row r="12">
      <c r="A12" s="43"/>
      <c r="B12" s="44">
        <v>5.0</v>
      </c>
      <c r="C12" s="51"/>
      <c r="D12" s="45" t="s">
        <v>42</v>
      </c>
      <c r="E12" s="46">
        <v>69.0</v>
      </c>
      <c r="F12" s="47"/>
      <c r="G12" s="47"/>
      <c r="H12" s="47"/>
      <c r="I12" s="44"/>
      <c r="J12" s="47"/>
      <c r="K12" s="47"/>
      <c r="L12" s="47"/>
      <c r="M12" s="47"/>
      <c r="N12" s="47"/>
      <c r="O12" s="47"/>
      <c r="P12" s="47"/>
      <c r="Q12" s="47"/>
      <c r="R12" s="47"/>
      <c r="S12" s="44">
        <v>33.0</v>
      </c>
      <c r="T12" s="47"/>
      <c r="U12" s="47"/>
      <c r="V12" s="47"/>
      <c r="W12" s="48"/>
      <c r="X12" s="48"/>
      <c r="Y12" s="49"/>
      <c r="Z12" s="47">
        <f t="shared" si="1"/>
        <v>102</v>
      </c>
      <c r="AA12" s="27"/>
      <c r="AB12" s="5"/>
      <c r="AC12" s="5"/>
      <c r="AD12" s="5"/>
      <c r="AE12" s="5"/>
      <c r="AF12" s="5"/>
      <c r="AG12" s="5"/>
      <c r="AH12" s="5"/>
      <c r="AI12" s="5"/>
      <c r="AJ12" s="5"/>
    </row>
    <row r="13">
      <c r="A13" s="43"/>
      <c r="B13" s="44">
        <v>6.0</v>
      </c>
      <c r="C13" s="51"/>
      <c r="D13" s="45" t="s">
        <v>43</v>
      </c>
      <c r="E13" s="46">
        <v>3.0</v>
      </c>
      <c r="F13" s="47"/>
      <c r="G13" s="47"/>
      <c r="H13" s="56"/>
      <c r="I13" s="47"/>
      <c r="J13" s="47"/>
      <c r="K13" s="47"/>
      <c r="L13" s="47"/>
      <c r="M13" s="47"/>
      <c r="N13" s="44"/>
      <c r="O13" s="44"/>
      <c r="P13" s="44"/>
      <c r="Q13" s="44"/>
      <c r="R13" s="44"/>
      <c r="S13" s="47"/>
      <c r="T13" s="47"/>
      <c r="U13" s="47"/>
      <c r="V13" s="47"/>
      <c r="W13" s="48"/>
      <c r="X13" s="48"/>
      <c r="Y13" s="57">
        <v>0.0755</v>
      </c>
      <c r="Z13" s="47">
        <f t="shared" si="1"/>
        <v>3</v>
      </c>
      <c r="AA13" s="27"/>
      <c r="AB13" s="5"/>
      <c r="AC13" s="5"/>
      <c r="AD13" s="5"/>
      <c r="AE13" s="5"/>
      <c r="AF13" s="5"/>
      <c r="AG13" s="5"/>
      <c r="AH13" s="5"/>
      <c r="AI13" s="5"/>
      <c r="AJ13" s="5"/>
    </row>
    <row r="14">
      <c r="A14" s="43"/>
      <c r="B14" s="44">
        <v>7.0</v>
      </c>
      <c r="C14" s="51"/>
      <c r="D14" s="45" t="s">
        <v>44</v>
      </c>
      <c r="E14" s="46">
        <v>148.0</v>
      </c>
      <c r="F14" s="44">
        <v>20.0</v>
      </c>
      <c r="G14" s="47"/>
      <c r="H14" s="44">
        <v>50.0</v>
      </c>
      <c r="I14" s="47"/>
      <c r="J14" s="47"/>
      <c r="K14" s="44"/>
      <c r="L14" s="44"/>
      <c r="M14" s="44">
        <v>0.0</v>
      </c>
      <c r="N14" s="47"/>
      <c r="O14" s="47"/>
      <c r="P14" s="44"/>
      <c r="Q14" s="44">
        <v>18.0</v>
      </c>
      <c r="R14" s="47"/>
      <c r="S14" s="44">
        <v>1.0</v>
      </c>
      <c r="T14" s="47"/>
      <c r="U14" s="44">
        <v>56.0</v>
      </c>
      <c r="V14" s="47"/>
      <c r="W14" s="48"/>
      <c r="X14" s="54" t="s">
        <v>45</v>
      </c>
      <c r="Y14" s="55" t="s">
        <v>46</v>
      </c>
      <c r="Z14" s="47">
        <f t="shared" si="1"/>
        <v>293</v>
      </c>
      <c r="AA14" s="27"/>
      <c r="AB14" s="5"/>
      <c r="AC14" s="5"/>
      <c r="AD14" s="5"/>
      <c r="AE14" s="5"/>
      <c r="AF14" s="5"/>
      <c r="AG14" s="5"/>
      <c r="AH14" s="5"/>
      <c r="AI14" s="5"/>
      <c r="AJ14" s="5"/>
    </row>
    <row r="15">
      <c r="A15" s="43"/>
      <c r="B15" s="44">
        <v>8.0</v>
      </c>
      <c r="C15" s="51"/>
      <c r="D15" s="45" t="s">
        <v>47</v>
      </c>
      <c r="E15" s="46">
        <v>18.0</v>
      </c>
      <c r="F15" s="47"/>
      <c r="G15" s="47"/>
      <c r="H15" s="47"/>
      <c r="I15" s="47"/>
      <c r="J15" s="47"/>
      <c r="K15" s="47"/>
      <c r="L15" s="47"/>
      <c r="M15" s="44">
        <v>1.0</v>
      </c>
      <c r="N15" s="47"/>
      <c r="O15" s="47"/>
      <c r="P15" s="47"/>
      <c r="Q15" s="47"/>
      <c r="R15" s="44">
        <v>5.0</v>
      </c>
      <c r="S15" s="47"/>
      <c r="T15" s="47"/>
      <c r="U15" s="47"/>
      <c r="V15" s="47"/>
      <c r="W15" s="48"/>
      <c r="X15" s="48"/>
      <c r="Y15" s="49"/>
      <c r="Z15" s="47">
        <f t="shared" si="1"/>
        <v>24</v>
      </c>
      <c r="AA15" s="27"/>
      <c r="AB15" s="5"/>
      <c r="AC15" s="5"/>
      <c r="AD15" s="5"/>
      <c r="AE15" s="5"/>
      <c r="AF15" s="5"/>
      <c r="AG15" s="5"/>
      <c r="AH15" s="5"/>
      <c r="AI15" s="5"/>
      <c r="AJ15" s="5"/>
    </row>
    <row r="16">
      <c r="A16" s="43"/>
      <c r="B16" s="44">
        <v>9.0</v>
      </c>
      <c r="C16" s="45" t="s">
        <v>48</v>
      </c>
      <c r="D16" s="45" t="s">
        <v>49</v>
      </c>
      <c r="E16" s="46">
        <v>44.0</v>
      </c>
      <c r="F16" s="44"/>
      <c r="G16" s="47"/>
      <c r="H16" s="44">
        <v>1.0</v>
      </c>
      <c r="I16" s="47"/>
      <c r="J16" s="47"/>
      <c r="K16" s="47"/>
      <c r="L16" s="47"/>
      <c r="M16" s="44"/>
      <c r="N16" s="47"/>
      <c r="O16" s="47"/>
      <c r="P16" s="47"/>
      <c r="Q16" s="47"/>
      <c r="R16" s="44">
        <v>15.0</v>
      </c>
      <c r="S16" s="47"/>
      <c r="T16" s="47"/>
      <c r="U16" s="47"/>
      <c r="V16" s="47"/>
      <c r="W16" s="48"/>
      <c r="X16" s="48"/>
      <c r="Y16" s="49"/>
      <c r="Z16" s="47">
        <f t="shared" si="1"/>
        <v>60</v>
      </c>
      <c r="AA16" s="27"/>
      <c r="AB16" s="5"/>
      <c r="AC16" s="5"/>
      <c r="AD16" s="5"/>
      <c r="AE16" s="5"/>
      <c r="AF16" s="5"/>
      <c r="AG16" s="5"/>
      <c r="AH16" s="5"/>
      <c r="AI16" s="5"/>
      <c r="AJ16" s="5"/>
    </row>
    <row r="17">
      <c r="A17" s="43"/>
      <c r="B17" s="44">
        <v>10.0</v>
      </c>
      <c r="C17" s="51"/>
      <c r="D17" s="45" t="s">
        <v>50</v>
      </c>
      <c r="E17" s="46">
        <v>26.0</v>
      </c>
      <c r="F17" s="47"/>
      <c r="G17" s="47"/>
      <c r="H17" s="44">
        <v>264.0</v>
      </c>
      <c r="I17" s="47"/>
      <c r="J17" s="47"/>
      <c r="K17" s="47"/>
      <c r="L17" s="44">
        <v>2.0</v>
      </c>
      <c r="M17" s="47"/>
      <c r="N17" s="47"/>
      <c r="O17" s="47"/>
      <c r="P17" s="44"/>
      <c r="Q17" s="44"/>
      <c r="R17" s="44"/>
      <c r="S17" s="47"/>
      <c r="T17" s="47"/>
      <c r="U17" s="44">
        <v>23.0</v>
      </c>
      <c r="V17" s="47"/>
      <c r="W17" s="48"/>
      <c r="X17" s="48"/>
      <c r="Y17" s="49"/>
      <c r="Z17" s="47">
        <f t="shared" si="1"/>
        <v>315</v>
      </c>
      <c r="AA17" s="27"/>
      <c r="AB17" s="5"/>
      <c r="AC17" s="5"/>
      <c r="AD17" s="5"/>
      <c r="AE17" s="5"/>
      <c r="AF17" s="5"/>
      <c r="AG17" s="5"/>
      <c r="AH17" s="5"/>
      <c r="AI17" s="5"/>
      <c r="AJ17" s="5"/>
    </row>
    <row r="18">
      <c r="A18" s="43"/>
      <c r="B18" s="44">
        <v>11.0</v>
      </c>
      <c r="C18" s="51"/>
      <c r="D18" s="45" t="s">
        <v>51</v>
      </c>
      <c r="E18" s="46">
        <v>278.0</v>
      </c>
      <c r="F18" s="47"/>
      <c r="G18" s="47"/>
      <c r="H18" s="44"/>
      <c r="I18" s="47"/>
      <c r="J18" s="47"/>
      <c r="K18" s="47"/>
      <c r="L18" s="47"/>
      <c r="M18" s="47"/>
      <c r="N18" s="47"/>
      <c r="O18" s="47"/>
      <c r="P18" s="47"/>
      <c r="Q18" s="47"/>
      <c r="R18" s="47"/>
      <c r="S18" s="47"/>
      <c r="T18" s="47"/>
      <c r="U18" s="47"/>
      <c r="V18" s="47"/>
      <c r="W18" s="48"/>
      <c r="X18" s="48"/>
      <c r="Y18" s="49"/>
      <c r="Z18" s="47">
        <f t="shared" si="1"/>
        <v>278</v>
      </c>
      <c r="AA18" s="27"/>
      <c r="AB18" s="5"/>
      <c r="AC18" s="5"/>
      <c r="AD18" s="5"/>
      <c r="AE18" s="5"/>
      <c r="AF18" s="5"/>
      <c r="AG18" s="5"/>
      <c r="AH18" s="5"/>
      <c r="AI18" s="5"/>
      <c r="AJ18" s="5"/>
    </row>
    <row r="19">
      <c r="A19" s="43"/>
      <c r="B19" s="44">
        <v>12.0</v>
      </c>
      <c r="C19" s="51"/>
      <c r="D19" s="45" t="s">
        <v>52</v>
      </c>
      <c r="E19" s="46">
        <v>400.0</v>
      </c>
      <c r="F19" s="44"/>
      <c r="G19" s="47"/>
      <c r="H19" s="44">
        <v>33.0</v>
      </c>
      <c r="I19" s="47"/>
      <c r="J19" s="47"/>
      <c r="K19" s="47"/>
      <c r="L19" s="47"/>
      <c r="M19" s="47"/>
      <c r="N19" s="47"/>
      <c r="O19" s="47"/>
      <c r="P19" s="47"/>
      <c r="Q19" s="47"/>
      <c r="R19" s="47"/>
      <c r="S19" s="44">
        <v>1.0</v>
      </c>
      <c r="T19" s="47"/>
      <c r="U19" s="47"/>
      <c r="V19" s="44"/>
      <c r="W19" s="54"/>
      <c r="X19" s="58" t="s">
        <v>53</v>
      </c>
      <c r="Y19" s="55">
        <v>18.0</v>
      </c>
      <c r="Z19" s="47">
        <f t="shared" si="1"/>
        <v>434</v>
      </c>
      <c r="AA19" s="27"/>
      <c r="AB19" s="5"/>
      <c r="AC19" s="5"/>
      <c r="AD19" s="5"/>
      <c r="AE19" s="5"/>
      <c r="AF19" s="5"/>
      <c r="AG19" s="5"/>
      <c r="AH19" s="5"/>
      <c r="AI19" s="5"/>
      <c r="AJ19" s="5"/>
    </row>
    <row r="20">
      <c r="A20" s="43"/>
      <c r="B20" s="44">
        <v>13.0</v>
      </c>
      <c r="C20" s="51"/>
      <c r="D20" s="45" t="s">
        <v>54</v>
      </c>
      <c r="E20" s="46">
        <v>735.0</v>
      </c>
      <c r="F20" s="44">
        <v>74.0</v>
      </c>
      <c r="G20" s="47"/>
      <c r="H20" s="44">
        <f>139+2</f>
        <v>141</v>
      </c>
      <c r="I20" s="44">
        <v>31.0</v>
      </c>
      <c r="J20" s="47"/>
      <c r="K20" s="47"/>
      <c r="L20" s="44">
        <v>1.0</v>
      </c>
      <c r="M20" s="44">
        <v>65.0</v>
      </c>
      <c r="N20" s="47"/>
      <c r="O20" s="47"/>
      <c r="P20" s="47"/>
      <c r="Q20" s="44">
        <v>67.0</v>
      </c>
      <c r="R20" s="44">
        <v>18.0</v>
      </c>
      <c r="S20" s="44">
        <f>15+53</f>
        <v>68</v>
      </c>
      <c r="T20" s="47"/>
      <c r="U20" s="44">
        <f>178+1</f>
        <v>179</v>
      </c>
      <c r="V20" s="47"/>
      <c r="W20" s="48"/>
      <c r="X20" s="58" t="s">
        <v>55</v>
      </c>
      <c r="Y20" s="55">
        <f>10+2+1.6+1+0.5+0.5+0.04+1+0.02+0.4+0.0294+365</f>
        <v>382.0894</v>
      </c>
      <c r="Z20" s="47">
        <f t="shared" si="1"/>
        <v>1379</v>
      </c>
      <c r="AA20" s="27"/>
      <c r="AB20" s="5"/>
      <c r="AC20" s="5"/>
      <c r="AD20" s="5"/>
      <c r="AE20" s="5"/>
      <c r="AF20" s="5"/>
      <c r="AG20" s="5"/>
      <c r="AH20" s="5"/>
      <c r="AI20" s="5"/>
      <c r="AJ20" s="5"/>
    </row>
    <row r="21">
      <c r="A21" s="43"/>
      <c r="B21" s="44">
        <v>14.0</v>
      </c>
      <c r="C21" s="51"/>
      <c r="D21" s="45" t="s">
        <v>56</v>
      </c>
      <c r="E21" s="46">
        <v>132.0</v>
      </c>
      <c r="F21" s="44">
        <v>652.0</v>
      </c>
      <c r="G21" s="47"/>
      <c r="H21" s="44">
        <f>189+2+1+3+8+2+1+3+4</f>
        <v>213</v>
      </c>
      <c r="I21" s="47"/>
      <c r="J21" s="59"/>
      <c r="K21" s="59"/>
      <c r="L21" s="47"/>
      <c r="M21" s="59"/>
      <c r="N21" s="47"/>
      <c r="O21" s="47"/>
      <c r="P21" s="47"/>
      <c r="Q21" s="47"/>
      <c r="R21" s="47"/>
      <c r="S21" s="47"/>
      <c r="T21" s="47"/>
      <c r="U21" s="44">
        <f>125+1+1+3+2+8+1+2</f>
        <v>143</v>
      </c>
      <c r="V21" s="47"/>
      <c r="W21" s="48"/>
      <c r="X21" s="48"/>
      <c r="Y21" s="49"/>
      <c r="Z21" s="47">
        <f t="shared" si="1"/>
        <v>1140</v>
      </c>
      <c r="AA21" s="27"/>
      <c r="AB21" s="5"/>
      <c r="AC21" s="5"/>
      <c r="AD21" s="5"/>
      <c r="AE21" s="5"/>
      <c r="AF21" s="5"/>
      <c r="AG21" s="5"/>
      <c r="AH21" s="5"/>
      <c r="AI21" s="5"/>
      <c r="AJ21" s="5"/>
    </row>
    <row r="22">
      <c r="A22" s="43"/>
      <c r="B22" s="44">
        <v>15.0</v>
      </c>
      <c r="C22" s="51"/>
      <c r="D22" s="45" t="s">
        <v>57</v>
      </c>
      <c r="E22" s="46">
        <v>97.0</v>
      </c>
      <c r="F22" s="47"/>
      <c r="G22" s="47"/>
      <c r="H22" s="47"/>
      <c r="I22" s="47"/>
      <c r="J22" s="47"/>
      <c r="K22" s="47"/>
      <c r="L22" s="47"/>
      <c r="M22" s="47"/>
      <c r="N22" s="59"/>
      <c r="O22" s="47"/>
      <c r="P22" s="47"/>
      <c r="Q22" s="47"/>
      <c r="R22" s="47"/>
      <c r="S22" s="47"/>
      <c r="T22" s="47"/>
      <c r="U22" s="44">
        <v>1.0</v>
      </c>
      <c r="V22" s="47"/>
      <c r="W22" s="48"/>
      <c r="X22" s="48"/>
      <c r="Y22" s="49"/>
      <c r="Z22" s="47">
        <f t="shared" si="1"/>
        <v>98</v>
      </c>
      <c r="AA22" s="27"/>
      <c r="AB22" s="5"/>
      <c r="AC22" s="5"/>
      <c r="AD22" s="5"/>
      <c r="AE22" s="5"/>
      <c r="AF22" s="5"/>
      <c r="AG22" s="5"/>
      <c r="AH22" s="5"/>
      <c r="AI22" s="5"/>
      <c r="AJ22" s="5"/>
    </row>
    <row r="23">
      <c r="A23" s="43"/>
      <c r="B23" s="44">
        <v>16.0</v>
      </c>
      <c r="C23" s="51"/>
      <c r="D23" s="45" t="s">
        <v>58</v>
      </c>
      <c r="E23" s="46">
        <v>5896.0</v>
      </c>
      <c r="F23" s="47"/>
      <c r="G23" s="47"/>
      <c r="H23" s="44">
        <v>6.0</v>
      </c>
      <c r="I23" s="47"/>
      <c r="J23" s="47"/>
      <c r="K23" s="47"/>
      <c r="L23" s="44"/>
      <c r="M23" s="44">
        <v>35.0</v>
      </c>
      <c r="N23" s="47"/>
      <c r="O23" s="47"/>
      <c r="P23" s="47"/>
      <c r="Q23" s="47"/>
      <c r="R23" s="47"/>
      <c r="S23" s="47"/>
      <c r="T23" s="47"/>
      <c r="U23" s="44">
        <v>5.0</v>
      </c>
      <c r="V23" s="47"/>
      <c r="W23" s="48"/>
      <c r="X23" s="48"/>
      <c r="Y23" s="49"/>
      <c r="Z23" s="47">
        <f t="shared" si="1"/>
        <v>5942</v>
      </c>
      <c r="AA23" s="27"/>
      <c r="AB23" s="5"/>
      <c r="AC23" s="5"/>
      <c r="AD23" s="5"/>
      <c r="AE23" s="5"/>
      <c r="AF23" s="5"/>
      <c r="AG23" s="5"/>
      <c r="AH23" s="5"/>
      <c r="AI23" s="5"/>
      <c r="AJ23" s="5"/>
    </row>
    <row r="24">
      <c r="A24" s="43"/>
      <c r="B24" s="44">
        <v>17.0</v>
      </c>
      <c r="C24" s="51"/>
      <c r="D24" s="45" t="s">
        <v>59</v>
      </c>
      <c r="E24" s="46">
        <v>449.0</v>
      </c>
      <c r="F24" s="44">
        <v>12.0</v>
      </c>
      <c r="G24" s="47"/>
      <c r="H24" s="44">
        <v>10.0</v>
      </c>
      <c r="I24" s="47"/>
      <c r="J24" s="47"/>
      <c r="K24" s="47"/>
      <c r="L24" s="44">
        <v>3.0</v>
      </c>
      <c r="M24" s="47"/>
      <c r="N24" s="47"/>
      <c r="O24" s="47"/>
      <c r="P24" s="47"/>
      <c r="Q24" s="47"/>
      <c r="R24" s="44">
        <v>251.0</v>
      </c>
      <c r="S24" s="44">
        <v>2.0</v>
      </c>
      <c r="T24" s="47"/>
      <c r="U24" s="44">
        <v>9.0</v>
      </c>
      <c r="V24" s="47"/>
      <c r="W24" s="48"/>
      <c r="X24" s="48"/>
      <c r="Y24" s="49"/>
      <c r="Z24" s="47">
        <f t="shared" si="1"/>
        <v>736</v>
      </c>
      <c r="AA24" s="27"/>
      <c r="AB24" s="5"/>
      <c r="AC24" s="5"/>
      <c r="AD24" s="5"/>
      <c r="AE24" s="5"/>
      <c r="AF24" s="5"/>
      <c r="AG24" s="5"/>
      <c r="AH24" s="5"/>
      <c r="AI24" s="5"/>
      <c r="AJ24" s="5"/>
    </row>
    <row r="25">
      <c r="A25" s="43"/>
      <c r="B25" s="44">
        <v>18.0</v>
      </c>
      <c r="C25" s="51"/>
      <c r="D25" s="45" t="s">
        <v>60</v>
      </c>
      <c r="E25" s="46">
        <v>8.0</v>
      </c>
      <c r="F25" s="44">
        <v>17.0</v>
      </c>
      <c r="G25" s="47"/>
      <c r="H25" s="44">
        <v>120.0</v>
      </c>
      <c r="I25" s="47"/>
      <c r="J25" s="47"/>
      <c r="K25" s="44">
        <v>6.0</v>
      </c>
      <c r="L25" s="47"/>
      <c r="M25" s="47"/>
      <c r="N25" s="47"/>
      <c r="O25" s="47"/>
      <c r="P25" s="47"/>
      <c r="Q25" s="47"/>
      <c r="R25" s="47"/>
      <c r="S25" s="47"/>
      <c r="T25" s="47"/>
      <c r="U25" s="44">
        <v>72.0</v>
      </c>
      <c r="V25" s="47"/>
      <c r="W25" s="48"/>
      <c r="X25" s="54" t="s">
        <v>61</v>
      </c>
      <c r="Y25" s="55" t="s">
        <v>62</v>
      </c>
      <c r="Z25" s="47">
        <f t="shared" si="1"/>
        <v>223</v>
      </c>
      <c r="AA25" s="40"/>
      <c r="AB25" s="5"/>
      <c r="AC25" s="5"/>
      <c r="AD25" s="5"/>
      <c r="AE25" s="5"/>
      <c r="AF25" s="5"/>
      <c r="AG25" s="5"/>
      <c r="AH25" s="5"/>
      <c r="AI25" s="5"/>
      <c r="AJ25" s="5"/>
    </row>
    <row r="26">
      <c r="A26" s="43"/>
      <c r="B26" s="60">
        <v>19.0</v>
      </c>
      <c r="C26" s="51"/>
      <c r="D26" s="45" t="s">
        <v>63</v>
      </c>
      <c r="E26" s="46">
        <v>8.0</v>
      </c>
      <c r="F26" s="47"/>
      <c r="G26" s="61"/>
      <c r="H26" s="47"/>
      <c r="I26" s="47"/>
      <c r="J26" s="47"/>
      <c r="K26" s="47"/>
      <c r="L26" s="44"/>
      <c r="M26" s="44">
        <v>1.0</v>
      </c>
      <c r="N26" s="47"/>
      <c r="O26" s="61"/>
      <c r="P26" s="44"/>
      <c r="Q26" s="44"/>
      <c r="R26" s="44">
        <v>11.0</v>
      </c>
      <c r="S26" s="61"/>
      <c r="T26" s="61"/>
      <c r="U26" s="47"/>
      <c r="V26" s="47"/>
      <c r="W26" s="48"/>
      <c r="X26" s="48"/>
      <c r="Y26" s="49"/>
      <c r="Z26" s="47">
        <f t="shared" si="1"/>
        <v>20</v>
      </c>
      <c r="AA26" s="62" t="s">
        <v>64</v>
      </c>
      <c r="AB26" s="5"/>
      <c r="AC26" s="5"/>
      <c r="AD26" s="5"/>
      <c r="AE26" s="5"/>
      <c r="AF26" s="5"/>
      <c r="AG26" s="5"/>
      <c r="AH26" s="5"/>
      <c r="AI26" s="5"/>
      <c r="AJ26" s="5"/>
    </row>
    <row r="27">
      <c r="A27" s="43"/>
      <c r="B27" s="60">
        <v>20.0</v>
      </c>
      <c r="C27" s="51"/>
      <c r="D27" s="45" t="s">
        <v>65</v>
      </c>
      <c r="E27" s="46">
        <v>0.0</v>
      </c>
      <c r="F27" s="44">
        <v>61.0</v>
      </c>
      <c r="G27" s="61"/>
      <c r="H27" s="47"/>
      <c r="I27" s="47"/>
      <c r="J27" s="47"/>
      <c r="K27" s="47"/>
      <c r="L27" s="47"/>
      <c r="M27" s="47"/>
      <c r="N27" s="47"/>
      <c r="O27" s="61"/>
      <c r="P27" s="47"/>
      <c r="Q27" s="47"/>
      <c r="R27" s="47"/>
      <c r="S27" s="61"/>
      <c r="T27" s="61"/>
      <c r="U27" s="47"/>
      <c r="V27" s="47"/>
      <c r="W27" s="48"/>
      <c r="X27" s="48"/>
      <c r="Y27" s="49"/>
      <c r="Z27" s="47">
        <f t="shared" si="1"/>
        <v>61</v>
      </c>
      <c r="AA27" s="62" t="s">
        <v>66</v>
      </c>
      <c r="AB27" s="5"/>
      <c r="AC27" s="5"/>
      <c r="AD27" s="5"/>
      <c r="AE27" s="5"/>
      <c r="AF27" s="5"/>
      <c r="AG27" s="5"/>
      <c r="AH27" s="5"/>
      <c r="AI27" s="5"/>
      <c r="AJ27" s="5"/>
    </row>
    <row r="28">
      <c r="A28" s="43"/>
      <c r="B28" s="60">
        <v>21.0</v>
      </c>
      <c r="C28" s="51"/>
      <c r="D28" s="45" t="s">
        <v>67</v>
      </c>
      <c r="E28" s="46">
        <v>169.0</v>
      </c>
      <c r="F28" s="44"/>
      <c r="G28" s="61"/>
      <c r="H28" s="44">
        <v>50.0</v>
      </c>
      <c r="I28" s="44">
        <v>142.0</v>
      </c>
      <c r="J28" s="47"/>
      <c r="K28" s="47"/>
      <c r="L28" s="44">
        <v>31.0</v>
      </c>
      <c r="M28" s="44">
        <v>5.0</v>
      </c>
      <c r="N28" s="47"/>
      <c r="O28" s="61"/>
      <c r="P28" s="44"/>
      <c r="Q28" s="44">
        <v>76.0</v>
      </c>
      <c r="R28" s="47"/>
      <c r="S28" s="44">
        <v>45.0</v>
      </c>
      <c r="T28" s="61"/>
      <c r="U28" s="44">
        <v>74.0</v>
      </c>
      <c r="V28" s="47"/>
      <c r="W28" s="48"/>
      <c r="X28" s="48"/>
      <c r="Y28" s="49"/>
      <c r="Z28" s="47">
        <f t="shared" si="1"/>
        <v>592</v>
      </c>
      <c r="AA28" s="63" t="s">
        <v>68</v>
      </c>
      <c r="AB28" s="5"/>
      <c r="AC28" s="5"/>
      <c r="AD28" s="5"/>
      <c r="AE28" s="5"/>
      <c r="AF28" s="5"/>
      <c r="AG28" s="5"/>
      <c r="AH28" s="5"/>
      <c r="AI28" s="5"/>
      <c r="AJ28" s="5"/>
    </row>
    <row r="29">
      <c r="A29" s="43"/>
      <c r="B29" s="60">
        <v>22.0</v>
      </c>
      <c r="C29" s="51"/>
      <c r="D29" s="45" t="s">
        <v>69</v>
      </c>
      <c r="E29" s="46">
        <v>23.0</v>
      </c>
      <c r="F29" s="47"/>
      <c r="G29" s="61"/>
      <c r="H29" s="44">
        <v>75.0</v>
      </c>
      <c r="I29" s="47"/>
      <c r="J29" s="47"/>
      <c r="K29" s="47"/>
      <c r="L29" s="44">
        <v>4.0</v>
      </c>
      <c r="M29" s="47"/>
      <c r="N29" s="47"/>
      <c r="O29" s="61"/>
      <c r="P29" s="44"/>
      <c r="Q29" s="44">
        <v>29.0</v>
      </c>
      <c r="R29" s="44">
        <v>27.0</v>
      </c>
      <c r="S29" s="61"/>
      <c r="T29" s="61"/>
      <c r="U29" s="44">
        <v>37.0</v>
      </c>
      <c r="V29" s="47"/>
      <c r="W29" s="48"/>
      <c r="X29" s="48"/>
      <c r="Y29" s="49"/>
      <c r="Z29" s="47">
        <f t="shared" si="1"/>
        <v>195</v>
      </c>
      <c r="AA29" s="63" t="s">
        <v>70</v>
      </c>
      <c r="AB29" s="5"/>
      <c r="AC29" s="5"/>
      <c r="AD29" s="5"/>
      <c r="AE29" s="5"/>
      <c r="AF29" s="5"/>
      <c r="AG29" s="5"/>
      <c r="AH29" s="5"/>
      <c r="AI29" s="5"/>
      <c r="AJ29" s="5"/>
    </row>
    <row r="30">
      <c r="A30" s="43"/>
      <c r="B30" s="60">
        <v>23.0</v>
      </c>
      <c r="C30" s="51"/>
      <c r="D30" s="45" t="s">
        <v>71</v>
      </c>
      <c r="E30" s="46">
        <v>0.0</v>
      </c>
      <c r="F30" s="47"/>
      <c r="G30" s="61"/>
      <c r="H30" s="44">
        <v>93.0</v>
      </c>
      <c r="I30" s="47"/>
      <c r="J30" s="47"/>
      <c r="K30" s="47"/>
      <c r="L30" s="47"/>
      <c r="M30" s="47"/>
      <c r="N30" s="47"/>
      <c r="O30" s="61"/>
      <c r="P30" s="47"/>
      <c r="Q30" s="47"/>
      <c r="R30" s="47"/>
      <c r="S30" s="61"/>
      <c r="T30" s="61"/>
      <c r="U30" s="44">
        <v>22.0</v>
      </c>
      <c r="V30" s="47"/>
      <c r="W30" s="48"/>
      <c r="X30" s="48"/>
      <c r="Y30" s="49"/>
      <c r="Z30" s="47">
        <f t="shared" si="1"/>
        <v>115</v>
      </c>
      <c r="AA30" s="64" t="s">
        <v>72</v>
      </c>
      <c r="AB30" s="5"/>
      <c r="AC30" s="5"/>
      <c r="AD30" s="5"/>
      <c r="AE30" s="5"/>
      <c r="AF30" s="5"/>
      <c r="AG30" s="5"/>
      <c r="AH30" s="5"/>
      <c r="AI30" s="5"/>
      <c r="AJ30" s="5"/>
    </row>
    <row r="31">
      <c r="A31" s="43"/>
      <c r="B31" s="60">
        <v>24.0</v>
      </c>
      <c r="C31" s="51"/>
      <c r="D31" s="45" t="s">
        <v>73</v>
      </c>
      <c r="E31" s="46">
        <v>175.0</v>
      </c>
      <c r="F31" s="47"/>
      <c r="G31" s="61"/>
      <c r="H31" s="44">
        <v>50.0</v>
      </c>
      <c r="I31" s="47"/>
      <c r="J31" s="47"/>
      <c r="K31" s="47"/>
      <c r="L31" s="44"/>
      <c r="M31" s="47"/>
      <c r="N31" s="47"/>
      <c r="O31" s="61"/>
      <c r="P31" s="59"/>
      <c r="Q31" s="59">
        <v>2.0</v>
      </c>
      <c r="R31" s="59">
        <v>65.0</v>
      </c>
      <c r="S31" s="61"/>
      <c r="T31" s="61"/>
      <c r="U31" s="44">
        <v>23.0</v>
      </c>
      <c r="V31" s="47"/>
      <c r="W31" s="48"/>
      <c r="X31" s="48"/>
      <c r="Y31" s="49"/>
      <c r="Z31" s="47">
        <f t="shared" si="1"/>
        <v>315</v>
      </c>
      <c r="AA31" s="65" t="s">
        <v>74</v>
      </c>
      <c r="AB31" s="66" t="s">
        <v>75</v>
      </c>
      <c r="AC31" s="5"/>
      <c r="AD31" s="5"/>
      <c r="AE31" s="5"/>
      <c r="AF31" s="5"/>
      <c r="AG31" s="5"/>
      <c r="AH31" s="5"/>
      <c r="AI31" s="5"/>
      <c r="AJ31" s="5"/>
    </row>
    <row r="32">
      <c r="A32" s="43"/>
      <c r="B32" s="60">
        <v>25.0</v>
      </c>
      <c r="C32" s="51"/>
      <c r="D32" s="45" t="s">
        <v>76</v>
      </c>
      <c r="E32" s="46">
        <v>63.0</v>
      </c>
      <c r="F32" s="44">
        <v>136.0</v>
      </c>
      <c r="G32" s="61"/>
      <c r="H32" s="44">
        <v>16.0</v>
      </c>
      <c r="I32" s="44">
        <v>33.0</v>
      </c>
      <c r="J32" s="47"/>
      <c r="K32" s="47"/>
      <c r="L32" s="47"/>
      <c r="M32" s="47"/>
      <c r="N32" s="47"/>
      <c r="O32" s="61"/>
      <c r="P32" s="59"/>
      <c r="Q32" s="59"/>
      <c r="R32" s="59">
        <v>5.0</v>
      </c>
      <c r="S32" s="61"/>
      <c r="T32" s="61"/>
      <c r="U32" s="44">
        <v>2.0</v>
      </c>
      <c r="V32" s="47"/>
      <c r="W32" s="48"/>
      <c r="X32" s="48"/>
      <c r="Y32" s="49"/>
      <c r="Z32" s="47">
        <f t="shared" si="1"/>
        <v>255</v>
      </c>
      <c r="AA32" s="63" t="s">
        <v>77</v>
      </c>
      <c r="AB32" s="67" t="s">
        <v>78</v>
      </c>
      <c r="AC32" s="5"/>
      <c r="AD32" s="5"/>
      <c r="AE32" s="5"/>
      <c r="AF32" s="5"/>
      <c r="AG32" s="5"/>
      <c r="AH32" s="5"/>
      <c r="AI32" s="5"/>
      <c r="AJ32" s="5"/>
    </row>
    <row r="33">
      <c r="A33" s="43"/>
      <c r="B33" s="44">
        <v>26.0</v>
      </c>
      <c r="C33" s="45" t="s">
        <v>79</v>
      </c>
      <c r="D33" s="45" t="s">
        <v>80</v>
      </c>
      <c r="E33" s="46">
        <v>262.0</v>
      </c>
      <c r="F33" s="44">
        <v>59.0</v>
      </c>
      <c r="G33" s="47"/>
      <c r="H33" s="44">
        <v>420.0</v>
      </c>
      <c r="I33" s="44">
        <v>116.0</v>
      </c>
      <c r="J33" s="47"/>
      <c r="K33" s="47"/>
      <c r="L33" s="47"/>
      <c r="M33" s="44">
        <v>25.0</v>
      </c>
      <c r="N33" s="47"/>
      <c r="O33" s="47"/>
      <c r="P33" s="47"/>
      <c r="Q33" s="47"/>
      <c r="R33" s="44">
        <v>12.0</v>
      </c>
      <c r="S33" s="47"/>
      <c r="T33" s="47"/>
      <c r="U33" s="44">
        <v>144.0</v>
      </c>
      <c r="V33" s="47"/>
      <c r="W33" s="48"/>
      <c r="X33" s="48"/>
      <c r="Y33" s="49"/>
      <c r="Z33" s="47">
        <f t="shared" si="1"/>
        <v>1038</v>
      </c>
      <c r="AA33" s="68"/>
      <c r="AB33" s="69" t="s">
        <v>81</v>
      </c>
      <c r="AC33" s="5"/>
      <c r="AD33" s="5"/>
      <c r="AE33" s="5"/>
      <c r="AF33" s="5"/>
      <c r="AG33" s="5"/>
      <c r="AH33" s="5"/>
      <c r="AI33" s="5"/>
      <c r="AJ33" s="5"/>
    </row>
    <row r="34">
      <c r="A34" s="43"/>
      <c r="B34" s="44">
        <v>27.0</v>
      </c>
      <c r="C34" s="51"/>
      <c r="D34" s="45" t="s">
        <v>82</v>
      </c>
      <c r="E34" s="46">
        <v>313.0</v>
      </c>
      <c r="F34" s="47"/>
      <c r="G34" s="47"/>
      <c r="H34" s="47"/>
      <c r="I34" s="47"/>
      <c r="J34" s="44"/>
      <c r="K34" s="44"/>
      <c r="L34" s="47"/>
      <c r="M34" s="47"/>
      <c r="N34" s="47"/>
      <c r="O34" s="47"/>
      <c r="P34" s="47"/>
      <c r="Q34" s="47"/>
      <c r="R34" s="44">
        <v>17.0</v>
      </c>
      <c r="S34" s="47"/>
      <c r="T34" s="47"/>
      <c r="U34" s="47"/>
      <c r="V34" s="47"/>
      <c r="W34" s="48"/>
      <c r="X34" s="48"/>
      <c r="Y34" s="49"/>
      <c r="Z34" s="47">
        <f t="shared" si="1"/>
        <v>330</v>
      </c>
      <c r="AA34" s="70" t="s">
        <v>83</v>
      </c>
      <c r="AB34" s="5"/>
      <c r="AC34" s="5"/>
      <c r="AD34" s="5"/>
      <c r="AE34" s="5"/>
      <c r="AF34" s="5"/>
      <c r="AG34" s="5"/>
      <c r="AH34" s="5"/>
      <c r="AI34" s="5"/>
      <c r="AJ34" s="5"/>
    </row>
    <row r="35">
      <c r="A35" s="43"/>
      <c r="B35" s="44">
        <v>28.0</v>
      </c>
      <c r="C35" s="51"/>
      <c r="D35" s="45" t="s">
        <v>84</v>
      </c>
      <c r="E35" s="46">
        <v>87.0</v>
      </c>
      <c r="F35" s="47"/>
      <c r="G35" s="47"/>
      <c r="H35" s="47"/>
      <c r="I35" s="47"/>
      <c r="J35" s="44"/>
      <c r="K35" s="44"/>
      <c r="L35" s="44"/>
      <c r="M35" s="47"/>
      <c r="N35" s="47"/>
      <c r="O35" s="47"/>
      <c r="P35" s="47"/>
      <c r="Q35" s="44">
        <v>17.0</v>
      </c>
      <c r="R35" s="47"/>
      <c r="S35" s="44">
        <v>0.0</v>
      </c>
      <c r="T35" s="47"/>
      <c r="U35" s="47"/>
      <c r="V35" s="47"/>
      <c r="W35" s="48"/>
      <c r="X35" s="48"/>
      <c r="Y35" s="49"/>
      <c r="Z35" s="47">
        <f t="shared" si="1"/>
        <v>104</v>
      </c>
      <c r="AA35" s="63" t="s">
        <v>85</v>
      </c>
      <c r="AB35" s="69" t="s">
        <v>81</v>
      </c>
      <c r="AC35" s="5"/>
      <c r="AD35" s="5"/>
      <c r="AE35" s="5"/>
      <c r="AF35" s="5"/>
      <c r="AG35" s="5"/>
      <c r="AH35" s="5"/>
      <c r="AI35" s="5"/>
      <c r="AJ35" s="5"/>
    </row>
    <row r="36">
      <c r="A36" s="43"/>
      <c r="B36" s="44">
        <v>29.0</v>
      </c>
      <c r="C36" s="51"/>
      <c r="D36" s="45" t="s">
        <v>86</v>
      </c>
      <c r="E36" s="46">
        <v>165.0</v>
      </c>
      <c r="F36" s="47"/>
      <c r="G36" s="47"/>
      <c r="H36" s="44">
        <v>45.0</v>
      </c>
      <c r="I36" s="47"/>
      <c r="J36" s="44"/>
      <c r="K36" s="47"/>
      <c r="L36" s="47"/>
      <c r="M36" s="44"/>
      <c r="N36" s="47"/>
      <c r="O36" s="47"/>
      <c r="P36" s="47"/>
      <c r="Q36" s="47"/>
      <c r="R36" s="44">
        <v>101.0</v>
      </c>
      <c r="S36" s="47"/>
      <c r="T36" s="47"/>
      <c r="U36" s="47"/>
      <c r="V36" s="47"/>
      <c r="W36" s="48"/>
      <c r="X36" s="48"/>
      <c r="Y36" s="49"/>
      <c r="Z36" s="47">
        <f t="shared" si="1"/>
        <v>311</v>
      </c>
      <c r="AA36" s="63" t="s">
        <v>87</v>
      </c>
      <c r="AB36" s="69" t="s">
        <v>81</v>
      </c>
      <c r="AC36" s="5"/>
      <c r="AD36" s="5"/>
      <c r="AE36" s="5"/>
      <c r="AF36" s="5"/>
      <c r="AG36" s="5"/>
      <c r="AH36" s="5"/>
      <c r="AI36" s="5"/>
      <c r="AJ36" s="5"/>
    </row>
    <row r="37">
      <c r="A37" s="43"/>
      <c r="B37" s="44">
        <v>30.0</v>
      </c>
      <c r="C37" s="51"/>
      <c r="D37" s="45" t="s">
        <v>88</v>
      </c>
      <c r="E37" s="46">
        <v>74.0</v>
      </c>
      <c r="F37" s="47"/>
      <c r="G37" s="44"/>
      <c r="H37" s="47"/>
      <c r="I37" s="44">
        <v>13.0</v>
      </c>
      <c r="J37" s="44"/>
      <c r="K37" s="47"/>
      <c r="L37" s="44">
        <v>8.0</v>
      </c>
      <c r="M37" s="44">
        <v>11.0</v>
      </c>
      <c r="N37" s="47"/>
      <c r="O37" s="47"/>
      <c r="P37" s="47"/>
      <c r="Q37" s="44">
        <v>40.0</v>
      </c>
      <c r="R37" s="47"/>
      <c r="S37" s="44">
        <v>1.0</v>
      </c>
      <c r="T37" s="47"/>
      <c r="U37" s="44"/>
      <c r="V37" s="47"/>
      <c r="W37" s="48"/>
      <c r="X37" s="48"/>
      <c r="Y37" s="49"/>
      <c r="Z37" s="47">
        <f t="shared" si="1"/>
        <v>147</v>
      </c>
      <c r="AA37" s="71" t="s">
        <v>89</v>
      </c>
      <c r="AB37" s="5"/>
      <c r="AC37" s="5"/>
      <c r="AD37" s="5"/>
      <c r="AE37" s="5"/>
      <c r="AF37" s="5"/>
      <c r="AG37" s="5"/>
      <c r="AH37" s="5"/>
      <c r="AI37" s="5"/>
      <c r="AJ37" s="5"/>
    </row>
    <row r="38">
      <c r="A38" s="43"/>
      <c r="B38" s="44">
        <v>31.0</v>
      </c>
      <c r="C38" s="51"/>
      <c r="D38" s="45" t="s">
        <v>90</v>
      </c>
      <c r="E38" s="46">
        <v>77.0</v>
      </c>
      <c r="F38" s="47"/>
      <c r="G38" s="47"/>
      <c r="H38" s="44">
        <v>204.0</v>
      </c>
      <c r="I38" s="44">
        <v>134.0</v>
      </c>
      <c r="J38" s="47"/>
      <c r="K38" s="47"/>
      <c r="L38" s="44">
        <v>212.0</v>
      </c>
      <c r="M38" s="47"/>
      <c r="N38" s="47"/>
      <c r="O38" s="47"/>
      <c r="P38" s="47"/>
      <c r="Q38" s="44">
        <v>34.0</v>
      </c>
      <c r="R38" s="44"/>
      <c r="S38" s="44">
        <v>17.0</v>
      </c>
      <c r="T38" s="47"/>
      <c r="U38" s="44">
        <v>93.0</v>
      </c>
      <c r="V38" s="47"/>
      <c r="W38" s="48"/>
      <c r="X38" s="48"/>
      <c r="Y38" s="49"/>
      <c r="Z38" s="47">
        <f t="shared" si="1"/>
        <v>771</v>
      </c>
      <c r="AA38" s="64" t="s">
        <v>91</v>
      </c>
      <c r="AB38" s="5"/>
      <c r="AC38" s="5"/>
      <c r="AD38" s="5"/>
      <c r="AE38" s="5"/>
      <c r="AF38" s="5"/>
      <c r="AG38" s="5"/>
      <c r="AH38" s="5"/>
      <c r="AI38" s="5"/>
      <c r="AJ38" s="5"/>
    </row>
    <row r="39">
      <c r="A39" s="43"/>
      <c r="B39" s="44">
        <v>32.0</v>
      </c>
      <c r="C39" s="51"/>
      <c r="D39" s="45" t="s">
        <v>92</v>
      </c>
      <c r="E39" s="46">
        <v>0.0</v>
      </c>
      <c r="F39" s="72">
        <v>8.0</v>
      </c>
      <c r="G39" s="47"/>
      <c r="H39" s="44">
        <v>22.0</v>
      </c>
      <c r="I39" s="47"/>
      <c r="J39" s="47"/>
      <c r="K39" s="47"/>
      <c r="L39" s="47"/>
      <c r="M39" s="44"/>
      <c r="N39" s="47"/>
      <c r="O39" s="47"/>
      <c r="P39" s="47"/>
      <c r="Q39" s="47"/>
      <c r="R39" s="44">
        <v>4.0</v>
      </c>
      <c r="S39" s="47"/>
      <c r="T39" s="47"/>
      <c r="U39" s="44">
        <v>52.0</v>
      </c>
      <c r="V39" s="47"/>
      <c r="W39" s="48"/>
      <c r="X39" s="48"/>
      <c r="Y39" s="49"/>
      <c r="Z39" s="47">
        <f t="shared" si="1"/>
        <v>86</v>
      </c>
      <c r="AA39" s="64" t="s">
        <v>93</v>
      </c>
      <c r="AB39" s="67"/>
      <c r="AC39" s="5"/>
      <c r="AD39" s="5"/>
      <c r="AE39" s="5"/>
      <c r="AF39" s="5"/>
      <c r="AG39" s="5"/>
      <c r="AH39" s="5"/>
      <c r="AI39" s="5"/>
      <c r="AJ39" s="5"/>
    </row>
    <row r="40">
      <c r="A40" s="43"/>
      <c r="B40" s="44">
        <v>33.0</v>
      </c>
      <c r="C40" s="51"/>
      <c r="D40" s="45" t="s">
        <v>94</v>
      </c>
      <c r="E40" s="46">
        <v>291.0</v>
      </c>
      <c r="F40" s="72">
        <v>104.0</v>
      </c>
      <c r="G40" s="47"/>
      <c r="H40" s="47"/>
      <c r="I40" s="44">
        <v>2.0</v>
      </c>
      <c r="J40" s="47"/>
      <c r="K40" s="47"/>
      <c r="L40" s="47"/>
      <c r="M40" s="44">
        <v>11.0</v>
      </c>
      <c r="N40" s="47"/>
      <c r="O40" s="47"/>
      <c r="P40" s="47"/>
      <c r="Q40" s="47"/>
      <c r="R40" s="44"/>
      <c r="S40" s="47"/>
      <c r="T40" s="47"/>
      <c r="U40" s="47"/>
      <c r="V40" s="47"/>
      <c r="W40" s="48"/>
      <c r="X40" s="48"/>
      <c r="Y40" s="49"/>
      <c r="Z40" s="47">
        <f t="shared" si="1"/>
        <v>408</v>
      </c>
      <c r="AA40" s="73" t="s">
        <v>95</v>
      </c>
      <c r="AB40" s="67"/>
      <c r="AC40" s="5"/>
      <c r="AD40" s="5"/>
      <c r="AE40" s="5"/>
      <c r="AF40" s="5"/>
      <c r="AG40" s="5"/>
      <c r="AH40" s="5"/>
      <c r="AI40" s="5"/>
      <c r="AJ40" s="5"/>
    </row>
    <row r="41">
      <c r="A41" s="43"/>
      <c r="B41" s="44">
        <v>34.0</v>
      </c>
      <c r="C41" s="45" t="s">
        <v>96</v>
      </c>
      <c r="D41" s="45" t="s">
        <v>97</v>
      </c>
      <c r="E41" s="46">
        <v>165.0</v>
      </c>
      <c r="F41" s="47"/>
      <c r="G41" s="47"/>
      <c r="H41" s="47"/>
      <c r="I41" s="47"/>
      <c r="J41" s="47"/>
      <c r="K41" s="47"/>
      <c r="L41" s="47"/>
      <c r="M41" s="44">
        <v>3.0</v>
      </c>
      <c r="N41" s="47"/>
      <c r="O41" s="47"/>
      <c r="P41" s="47"/>
      <c r="Q41" s="47"/>
      <c r="R41" s="47"/>
      <c r="S41" s="47"/>
      <c r="T41" s="47"/>
      <c r="U41" s="47"/>
      <c r="V41" s="47"/>
      <c r="W41" s="48"/>
      <c r="X41" s="48"/>
      <c r="Y41" s="55" t="s">
        <v>98</v>
      </c>
      <c r="Z41" s="47">
        <f t="shared" si="1"/>
        <v>168</v>
      </c>
      <c r="AA41" s="74" t="s">
        <v>99</v>
      </c>
      <c r="AB41" s="5"/>
      <c r="AC41" s="5"/>
      <c r="AD41" s="5"/>
      <c r="AE41" s="5"/>
      <c r="AF41" s="5"/>
      <c r="AG41" s="5"/>
      <c r="AH41" s="5"/>
      <c r="AI41" s="5"/>
      <c r="AJ41" s="5"/>
    </row>
    <row r="42">
      <c r="A42" s="43"/>
      <c r="B42" s="44">
        <v>35.0</v>
      </c>
      <c r="C42" s="51"/>
      <c r="D42" s="45" t="s">
        <v>100</v>
      </c>
      <c r="E42" s="46">
        <v>174.0</v>
      </c>
      <c r="F42" s="47"/>
      <c r="G42" s="47"/>
      <c r="H42" s="44">
        <v>18.0</v>
      </c>
      <c r="I42" s="47"/>
      <c r="J42" s="47"/>
      <c r="K42" s="47"/>
      <c r="L42" s="44"/>
      <c r="M42" s="47"/>
      <c r="N42" s="47"/>
      <c r="O42" s="47"/>
      <c r="P42" s="44"/>
      <c r="Q42" s="44"/>
      <c r="R42" s="44"/>
      <c r="S42" s="47"/>
      <c r="T42" s="47"/>
      <c r="U42" s="44">
        <v>41.0</v>
      </c>
      <c r="V42" s="47"/>
      <c r="W42" s="48"/>
      <c r="X42" s="48"/>
      <c r="Y42" s="49"/>
      <c r="Z42" s="47">
        <f t="shared" si="1"/>
        <v>233</v>
      </c>
      <c r="AA42" s="70" t="s">
        <v>101</v>
      </c>
      <c r="AB42" s="5"/>
      <c r="AC42" s="5"/>
      <c r="AD42" s="5"/>
      <c r="AE42" s="5"/>
      <c r="AF42" s="5"/>
      <c r="AG42" s="5"/>
      <c r="AH42" s="5"/>
      <c r="AI42" s="5"/>
      <c r="AJ42" s="5"/>
    </row>
    <row r="43">
      <c r="A43" s="43"/>
      <c r="B43" s="44">
        <v>36.0</v>
      </c>
      <c r="C43" s="51"/>
      <c r="D43" s="45" t="s">
        <v>102</v>
      </c>
      <c r="E43" s="46">
        <v>18.0</v>
      </c>
      <c r="F43" s="47"/>
      <c r="G43" s="47"/>
      <c r="H43" s="47"/>
      <c r="I43" s="47"/>
      <c r="J43" s="47"/>
      <c r="K43" s="47"/>
      <c r="L43" s="47"/>
      <c r="M43" s="47"/>
      <c r="N43" s="47"/>
      <c r="O43" s="47"/>
      <c r="P43" s="47"/>
      <c r="Q43" s="47"/>
      <c r="R43" s="47"/>
      <c r="S43" s="47"/>
      <c r="T43" s="47"/>
      <c r="U43" s="47"/>
      <c r="V43" s="47"/>
      <c r="W43" s="48"/>
      <c r="X43" s="48"/>
      <c r="Y43" s="49"/>
      <c r="Z43" s="47">
        <f t="shared" si="1"/>
        <v>18</v>
      </c>
      <c r="AA43" s="70" t="s">
        <v>103</v>
      </c>
      <c r="AB43" s="5"/>
      <c r="AC43" s="5"/>
      <c r="AD43" s="5"/>
      <c r="AE43" s="5"/>
      <c r="AF43" s="5"/>
      <c r="AG43" s="5"/>
      <c r="AH43" s="5"/>
      <c r="AI43" s="5"/>
      <c r="AJ43" s="5"/>
    </row>
    <row r="44">
      <c r="A44" s="43"/>
      <c r="B44" s="44">
        <v>37.0</v>
      </c>
      <c r="C44" s="51"/>
      <c r="D44" s="45" t="s">
        <v>104</v>
      </c>
      <c r="E44" s="46">
        <v>441.0</v>
      </c>
      <c r="F44" s="47"/>
      <c r="G44" s="47"/>
      <c r="H44" s="47"/>
      <c r="I44" s="47"/>
      <c r="J44" s="47"/>
      <c r="K44" s="47"/>
      <c r="L44" s="47"/>
      <c r="M44" s="47"/>
      <c r="N44" s="47"/>
      <c r="O44" s="47"/>
      <c r="P44" s="47"/>
      <c r="Q44" s="47"/>
      <c r="R44" s="47"/>
      <c r="S44" s="47"/>
      <c r="T44" s="47"/>
      <c r="U44" s="47"/>
      <c r="V44" s="47"/>
      <c r="W44" s="48"/>
      <c r="X44" s="48"/>
      <c r="Y44" s="49"/>
      <c r="Z44" s="47">
        <f t="shared" si="1"/>
        <v>441</v>
      </c>
      <c r="AA44" s="68"/>
      <c r="AB44" s="5"/>
      <c r="AC44" s="5"/>
      <c r="AD44" s="5"/>
      <c r="AE44" s="5"/>
      <c r="AF44" s="5"/>
      <c r="AG44" s="5"/>
      <c r="AH44" s="5"/>
      <c r="AI44" s="5"/>
      <c r="AJ44" s="5"/>
    </row>
    <row r="45">
      <c r="A45" s="43"/>
      <c r="B45" s="44">
        <v>38.0</v>
      </c>
      <c r="C45" s="51"/>
      <c r="D45" s="45" t="s">
        <v>105</v>
      </c>
      <c r="E45" s="46">
        <v>299.0</v>
      </c>
      <c r="F45" s="44">
        <v>977.0</v>
      </c>
      <c r="G45" s="44">
        <v>1.0</v>
      </c>
      <c r="H45" s="44">
        <v>48.0</v>
      </c>
      <c r="I45" s="44"/>
      <c r="J45" s="75"/>
      <c r="K45" s="44"/>
      <c r="L45" s="47"/>
      <c r="M45" s="44">
        <v>9.0</v>
      </c>
      <c r="N45" s="47"/>
      <c r="O45" s="44"/>
      <c r="P45" s="47"/>
      <c r="Q45" s="47"/>
      <c r="R45" s="44">
        <v>122.0</v>
      </c>
      <c r="S45" s="44"/>
      <c r="T45" s="47"/>
      <c r="U45" s="44">
        <v>54.0</v>
      </c>
      <c r="V45" s="47"/>
      <c r="W45" s="48"/>
      <c r="X45" s="48"/>
      <c r="Y45" s="49"/>
      <c r="Z45" s="47">
        <f t="shared" si="1"/>
        <v>1510</v>
      </c>
      <c r="AA45" s="62" t="s">
        <v>106</v>
      </c>
      <c r="AB45" s="5"/>
      <c r="AC45" s="5"/>
      <c r="AD45" s="5"/>
      <c r="AE45" s="5"/>
      <c r="AF45" s="5"/>
      <c r="AG45" s="5"/>
      <c r="AH45" s="5"/>
      <c r="AI45" s="5"/>
      <c r="AJ45" s="5"/>
    </row>
    <row r="46">
      <c r="A46" s="43"/>
      <c r="B46" s="44">
        <v>39.0</v>
      </c>
      <c r="C46" s="51"/>
      <c r="D46" s="45" t="s">
        <v>107</v>
      </c>
      <c r="E46" s="46">
        <v>3983.0</v>
      </c>
      <c r="F46" s="47"/>
      <c r="G46" s="47"/>
      <c r="H46" s="47"/>
      <c r="I46" s="47"/>
      <c r="J46" s="47"/>
      <c r="K46" s="47"/>
      <c r="L46" s="47"/>
      <c r="M46" s="44">
        <v>27.0</v>
      </c>
      <c r="N46" s="47"/>
      <c r="O46" s="47"/>
      <c r="P46" s="47"/>
      <c r="Q46" s="47"/>
      <c r="R46" s="44">
        <v>300.0</v>
      </c>
      <c r="S46" s="47"/>
      <c r="T46" s="47"/>
      <c r="U46" s="47"/>
      <c r="V46" s="47"/>
      <c r="W46" s="48"/>
      <c r="X46" s="48"/>
      <c r="Y46" s="49"/>
      <c r="Z46" s="47">
        <f t="shared" si="1"/>
        <v>4310</v>
      </c>
      <c r="AA46" s="70" t="s">
        <v>108</v>
      </c>
      <c r="AB46" s="5"/>
      <c r="AC46" s="5"/>
      <c r="AD46" s="5"/>
      <c r="AE46" s="5"/>
      <c r="AF46" s="5"/>
      <c r="AG46" s="5"/>
      <c r="AH46" s="5"/>
      <c r="AI46" s="5"/>
      <c r="AJ46" s="5"/>
    </row>
    <row r="47">
      <c r="A47" s="43"/>
      <c r="B47" s="44">
        <v>40.0</v>
      </c>
      <c r="C47" s="51"/>
      <c r="D47" s="45" t="s">
        <v>109</v>
      </c>
      <c r="E47" s="46">
        <v>99.0</v>
      </c>
      <c r="F47" s="47"/>
      <c r="G47" s="47"/>
      <c r="H47" s="44">
        <v>16.0</v>
      </c>
      <c r="I47" s="47"/>
      <c r="J47" s="47"/>
      <c r="K47" s="47"/>
      <c r="L47" s="47"/>
      <c r="M47" s="47"/>
      <c r="N47" s="47"/>
      <c r="O47" s="47"/>
      <c r="P47" s="47"/>
      <c r="Q47" s="47"/>
      <c r="R47" s="47"/>
      <c r="S47" s="47"/>
      <c r="T47" s="47"/>
      <c r="U47" s="44">
        <v>8.0</v>
      </c>
      <c r="V47" s="47"/>
      <c r="W47" s="48"/>
      <c r="X47" s="48"/>
      <c r="Y47" s="49"/>
      <c r="Z47" s="47">
        <f t="shared" si="1"/>
        <v>123</v>
      </c>
      <c r="AA47" s="63" t="s">
        <v>110</v>
      </c>
      <c r="AB47" s="5"/>
      <c r="AC47" s="5"/>
      <c r="AD47" s="5"/>
      <c r="AE47" s="5"/>
      <c r="AF47" s="5"/>
      <c r="AG47" s="5"/>
      <c r="AH47" s="5"/>
      <c r="AI47" s="5"/>
      <c r="AJ47" s="5"/>
    </row>
    <row r="48">
      <c r="A48" s="43"/>
      <c r="B48" s="44">
        <v>41.0</v>
      </c>
      <c r="C48" s="51"/>
      <c r="D48" s="45" t="s">
        <v>111</v>
      </c>
      <c r="E48" s="46">
        <v>381.0</v>
      </c>
      <c r="F48" s="47"/>
      <c r="G48" s="47"/>
      <c r="H48" s="47"/>
      <c r="I48" s="47"/>
      <c r="J48" s="47"/>
      <c r="K48" s="47"/>
      <c r="L48" s="47"/>
      <c r="M48" s="47"/>
      <c r="N48" s="47"/>
      <c r="O48" s="47"/>
      <c r="P48" s="47"/>
      <c r="Q48" s="47"/>
      <c r="R48" s="47"/>
      <c r="S48" s="47"/>
      <c r="T48" s="47"/>
      <c r="U48" s="47"/>
      <c r="V48" s="47"/>
      <c r="W48" s="48"/>
      <c r="X48" s="48"/>
      <c r="Y48" s="49"/>
      <c r="Z48" s="47">
        <f t="shared" si="1"/>
        <v>381</v>
      </c>
      <c r="AA48" s="70" t="s">
        <v>112</v>
      </c>
      <c r="AB48" s="5"/>
      <c r="AC48" s="5"/>
      <c r="AD48" s="5"/>
      <c r="AE48" s="5"/>
      <c r="AF48" s="5"/>
      <c r="AG48" s="5"/>
      <c r="AH48" s="5"/>
      <c r="AI48" s="5"/>
      <c r="AJ48" s="5"/>
    </row>
    <row r="49">
      <c r="A49" s="43"/>
      <c r="B49" s="44">
        <v>42.0</v>
      </c>
      <c r="C49" s="51"/>
      <c r="D49" s="45" t="s">
        <v>113</v>
      </c>
      <c r="E49" s="46">
        <v>27.0</v>
      </c>
      <c r="F49" s="47"/>
      <c r="G49" s="47"/>
      <c r="H49" s="44">
        <v>28.0</v>
      </c>
      <c r="I49" s="44">
        <v>2.0</v>
      </c>
      <c r="J49" s="47"/>
      <c r="K49" s="47"/>
      <c r="L49" s="47"/>
      <c r="M49" s="47"/>
      <c r="N49" s="47"/>
      <c r="O49" s="47"/>
      <c r="P49" s="47"/>
      <c r="Q49" s="47"/>
      <c r="R49" s="47"/>
      <c r="S49" s="44">
        <v>2.0</v>
      </c>
      <c r="T49" s="47"/>
      <c r="U49" s="44">
        <v>44.0</v>
      </c>
      <c r="V49" s="47"/>
      <c r="W49" s="48"/>
      <c r="X49" s="48"/>
      <c r="Y49" s="49"/>
      <c r="Z49" s="47">
        <f t="shared" si="1"/>
        <v>103</v>
      </c>
      <c r="AA49" s="64" t="s">
        <v>114</v>
      </c>
      <c r="AB49" s="5"/>
      <c r="AC49" s="5"/>
      <c r="AD49" s="5"/>
      <c r="AE49" s="5"/>
      <c r="AF49" s="5"/>
      <c r="AG49" s="5"/>
      <c r="AH49" s="5"/>
      <c r="AI49" s="5"/>
      <c r="AJ49" s="5"/>
    </row>
    <row r="50">
      <c r="A50" s="43"/>
      <c r="B50" s="44">
        <v>43.0</v>
      </c>
      <c r="C50" s="45" t="s">
        <v>115</v>
      </c>
      <c r="D50" s="45" t="s">
        <v>116</v>
      </c>
      <c r="E50" s="46">
        <v>0.0</v>
      </c>
      <c r="F50" s="47"/>
      <c r="G50" s="47"/>
      <c r="H50" s="44"/>
      <c r="I50" s="47"/>
      <c r="J50" s="47"/>
      <c r="K50" s="47"/>
      <c r="L50" s="47"/>
      <c r="M50" s="47"/>
      <c r="N50" s="47"/>
      <c r="O50" s="47"/>
      <c r="P50" s="47"/>
      <c r="Q50" s="47"/>
      <c r="R50" s="44">
        <v>36.0</v>
      </c>
      <c r="S50" s="47"/>
      <c r="T50" s="47"/>
      <c r="U50" s="47"/>
      <c r="V50" s="47"/>
      <c r="W50" s="48"/>
      <c r="X50" s="48"/>
      <c r="Y50" s="49"/>
      <c r="Z50" s="47">
        <f t="shared" si="1"/>
        <v>36</v>
      </c>
      <c r="AA50" s="76" t="s">
        <v>117</v>
      </c>
      <c r="AB50" s="5"/>
      <c r="AC50" s="5"/>
      <c r="AD50" s="5"/>
      <c r="AE50" s="5"/>
      <c r="AF50" s="5"/>
      <c r="AG50" s="5"/>
      <c r="AH50" s="5"/>
      <c r="AI50" s="5"/>
      <c r="AJ50" s="5"/>
    </row>
    <row r="51">
      <c r="A51" s="43"/>
      <c r="B51" s="44">
        <v>44.0</v>
      </c>
      <c r="C51" s="51"/>
      <c r="D51" s="45" t="s">
        <v>118</v>
      </c>
      <c r="E51" s="46">
        <v>262.0</v>
      </c>
      <c r="F51" s="47"/>
      <c r="G51" s="47"/>
      <c r="H51" s="44">
        <v>47.0</v>
      </c>
      <c r="I51" s="47"/>
      <c r="J51" s="47"/>
      <c r="K51" s="47"/>
      <c r="L51" s="44">
        <v>10.0</v>
      </c>
      <c r="M51" s="44">
        <v>2.0</v>
      </c>
      <c r="N51" s="47"/>
      <c r="O51" s="47"/>
      <c r="P51" s="47"/>
      <c r="Q51" s="44">
        <v>1.0</v>
      </c>
      <c r="R51" s="44">
        <v>92.0</v>
      </c>
      <c r="S51" s="44">
        <v>11.0</v>
      </c>
      <c r="T51" s="47"/>
      <c r="U51" s="44">
        <v>18.0</v>
      </c>
      <c r="V51" s="47"/>
      <c r="W51" s="48"/>
      <c r="X51" s="48"/>
      <c r="Y51" s="49"/>
      <c r="Z51" s="47">
        <f t="shared" si="1"/>
        <v>443</v>
      </c>
      <c r="AA51" s="77" t="s">
        <v>119</v>
      </c>
      <c r="AB51" s="5"/>
      <c r="AC51" s="5"/>
      <c r="AD51" s="5"/>
      <c r="AE51" s="5"/>
      <c r="AF51" s="5"/>
      <c r="AG51" s="5"/>
      <c r="AH51" s="5"/>
      <c r="AI51" s="5"/>
      <c r="AJ51" s="5"/>
    </row>
    <row r="52">
      <c r="A52" s="43"/>
      <c r="B52" s="44">
        <v>45.0</v>
      </c>
      <c r="C52" s="51"/>
      <c r="D52" s="45" t="s">
        <v>120</v>
      </c>
      <c r="E52" s="46">
        <v>171.0</v>
      </c>
      <c r="F52" s="47"/>
      <c r="G52" s="47"/>
      <c r="H52" s="47"/>
      <c r="I52" s="47"/>
      <c r="J52" s="47"/>
      <c r="K52" s="47"/>
      <c r="L52" s="47"/>
      <c r="M52" s="44">
        <v>3.0</v>
      </c>
      <c r="N52" s="47"/>
      <c r="O52" s="47"/>
      <c r="P52" s="47"/>
      <c r="Q52" s="47"/>
      <c r="R52" s="44">
        <v>57.0</v>
      </c>
      <c r="S52" s="47"/>
      <c r="T52" s="47"/>
      <c r="U52" s="47"/>
      <c r="V52" s="47"/>
      <c r="W52" s="48"/>
      <c r="X52" s="48"/>
      <c r="Y52" s="49"/>
      <c r="Z52" s="47">
        <f t="shared" si="1"/>
        <v>231</v>
      </c>
      <c r="AA52" s="77" t="s">
        <v>121</v>
      </c>
      <c r="AB52" s="5"/>
      <c r="AC52" s="5"/>
      <c r="AD52" s="5"/>
      <c r="AE52" s="5"/>
      <c r="AF52" s="5"/>
      <c r="AG52" s="5"/>
      <c r="AH52" s="5"/>
      <c r="AI52" s="5"/>
      <c r="AJ52" s="5"/>
    </row>
    <row r="53">
      <c r="A53" s="43"/>
      <c r="B53" s="44">
        <v>46.0</v>
      </c>
      <c r="C53" s="51"/>
      <c r="D53" s="45" t="s">
        <v>122</v>
      </c>
      <c r="E53" s="46">
        <v>146.0</v>
      </c>
      <c r="F53" s="47"/>
      <c r="G53" s="47"/>
      <c r="H53" s="47"/>
      <c r="I53" s="47"/>
      <c r="J53" s="47"/>
      <c r="K53" s="47"/>
      <c r="L53" s="47"/>
      <c r="M53" s="47"/>
      <c r="N53" s="47"/>
      <c r="O53" s="47"/>
      <c r="P53" s="47"/>
      <c r="Q53" s="47"/>
      <c r="R53" s="44">
        <v>52.0</v>
      </c>
      <c r="S53" s="47"/>
      <c r="T53" s="47"/>
      <c r="U53" s="47"/>
      <c r="V53" s="47"/>
      <c r="W53" s="48"/>
      <c r="X53" s="48"/>
      <c r="Y53" s="49"/>
      <c r="Z53" s="47">
        <f t="shared" si="1"/>
        <v>198</v>
      </c>
      <c r="AA53" s="68"/>
      <c r="AB53" s="5"/>
      <c r="AC53" s="5"/>
      <c r="AD53" s="5"/>
      <c r="AE53" s="5"/>
      <c r="AF53" s="5"/>
      <c r="AG53" s="5"/>
      <c r="AH53" s="5"/>
      <c r="AI53" s="5"/>
      <c r="AJ53" s="5"/>
    </row>
    <row r="54">
      <c r="A54" s="43"/>
      <c r="B54" s="44">
        <v>47.0</v>
      </c>
      <c r="C54" s="51"/>
      <c r="D54" s="45" t="s">
        <v>123</v>
      </c>
      <c r="E54" s="46">
        <v>0.0</v>
      </c>
      <c r="F54" s="47"/>
      <c r="G54" s="47"/>
      <c r="H54" s="47"/>
      <c r="I54" s="47"/>
      <c r="J54" s="47"/>
      <c r="K54" s="47"/>
      <c r="L54" s="47"/>
      <c r="M54" s="47"/>
      <c r="N54" s="47"/>
      <c r="O54" s="47"/>
      <c r="P54" s="47"/>
      <c r="Q54" s="47"/>
      <c r="R54" s="44">
        <v>64.0</v>
      </c>
      <c r="S54" s="44">
        <v>12.0</v>
      </c>
      <c r="T54" s="47"/>
      <c r="U54" s="47"/>
      <c r="V54" s="47"/>
      <c r="W54" s="48"/>
      <c r="X54" s="48"/>
      <c r="Y54" s="49"/>
      <c r="Z54" s="47">
        <f t="shared" si="1"/>
        <v>76</v>
      </c>
      <c r="AA54" s="77" t="s">
        <v>124</v>
      </c>
      <c r="AB54" s="5"/>
      <c r="AC54" s="5"/>
      <c r="AD54" s="5"/>
      <c r="AE54" s="5"/>
      <c r="AF54" s="5"/>
      <c r="AG54" s="5"/>
      <c r="AH54" s="5"/>
      <c r="AI54" s="5"/>
      <c r="AJ54" s="5"/>
    </row>
    <row r="55">
      <c r="A55" s="43"/>
      <c r="B55" s="44">
        <v>48.0</v>
      </c>
      <c r="C55" s="51"/>
      <c r="D55" s="45" t="s">
        <v>125</v>
      </c>
      <c r="E55" s="46">
        <v>197.0</v>
      </c>
      <c r="F55" s="47"/>
      <c r="G55" s="47"/>
      <c r="H55" s="47"/>
      <c r="I55" s="47"/>
      <c r="J55" s="47"/>
      <c r="K55" s="47"/>
      <c r="L55" s="47"/>
      <c r="M55" s="44">
        <v>2.0</v>
      </c>
      <c r="N55" s="47"/>
      <c r="O55" s="47"/>
      <c r="P55" s="47"/>
      <c r="Q55" s="47"/>
      <c r="R55" s="44">
        <v>185.0</v>
      </c>
      <c r="S55" s="47"/>
      <c r="T55" s="47"/>
      <c r="U55" s="47"/>
      <c r="V55" s="47"/>
      <c r="W55" s="48"/>
      <c r="X55" s="48"/>
      <c r="Y55" s="49"/>
      <c r="Z55" s="47">
        <f t="shared" si="1"/>
        <v>384</v>
      </c>
      <c r="AA55" s="73" t="s">
        <v>126</v>
      </c>
      <c r="AB55" s="5"/>
      <c r="AC55" s="5"/>
      <c r="AD55" s="5"/>
      <c r="AE55" s="5"/>
      <c r="AF55" s="5"/>
      <c r="AG55" s="5"/>
      <c r="AH55" s="5"/>
      <c r="AI55" s="5"/>
      <c r="AJ55" s="5"/>
    </row>
    <row r="56">
      <c r="A56" s="43"/>
      <c r="B56" s="44">
        <v>49.0</v>
      </c>
      <c r="C56" s="51"/>
      <c r="D56" s="45" t="s">
        <v>127</v>
      </c>
      <c r="E56" s="46">
        <v>244.0</v>
      </c>
      <c r="F56" s="47"/>
      <c r="G56" s="47"/>
      <c r="H56" s="44">
        <v>87.0</v>
      </c>
      <c r="I56" s="47"/>
      <c r="J56" s="47"/>
      <c r="K56" s="47"/>
      <c r="L56" s="47"/>
      <c r="M56" s="44">
        <v>2.0</v>
      </c>
      <c r="N56" s="47"/>
      <c r="O56" s="47"/>
      <c r="P56" s="47"/>
      <c r="Q56" s="47"/>
      <c r="R56" s="44">
        <v>85.0</v>
      </c>
      <c r="S56" s="47"/>
      <c r="T56" s="47"/>
      <c r="U56" s="44">
        <v>115.0</v>
      </c>
      <c r="V56" s="47"/>
      <c r="W56" s="48"/>
      <c r="X56" s="48"/>
      <c r="Y56" s="49"/>
      <c r="Z56" s="47">
        <f t="shared" si="1"/>
        <v>533</v>
      </c>
      <c r="AA56" s="78" t="s">
        <v>128</v>
      </c>
      <c r="AB56" s="5"/>
      <c r="AC56" s="5"/>
      <c r="AD56" s="5"/>
      <c r="AE56" s="5"/>
      <c r="AF56" s="5"/>
      <c r="AG56" s="5"/>
      <c r="AH56" s="5"/>
      <c r="AI56" s="5"/>
      <c r="AJ56" s="5"/>
    </row>
    <row r="57">
      <c r="A57" s="43"/>
      <c r="B57" s="44">
        <v>50.0</v>
      </c>
      <c r="C57" s="51"/>
      <c r="D57" s="45" t="s">
        <v>129</v>
      </c>
      <c r="E57" s="46">
        <v>800.0</v>
      </c>
      <c r="F57" s="47"/>
      <c r="G57" s="47"/>
      <c r="H57" s="44">
        <v>29.0</v>
      </c>
      <c r="I57" s="47"/>
      <c r="J57" s="47"/>
      <c r="K57" s="47"/>
      <c r="L57" s="47"/>
      <c r="M57" s="47"/>
      <c r="N57" s="47"/>
      <c r="O57" s="47"/>
      <c r="P57" s="47"/>
      <c r="Q57" s="47"/>
      <c r="R57" s="44">
        <v>40.0</v>
      </c>
      <c r="S57" s="47"/>
      <c r="T57" s="47"/>
      <c r="U57" s="47"/>
      <c r="V57" s="47"/>
      <c r="W57" s="48"/>
      <c r="X57" s="48"/>
      <c r="Y57" s="49"/>
      <c r="Z57" s="47">
        <f t="shared" si="1"/>
        <v>869</v>
      </c>
      <c r="AA57" s="73" t="s">
        <v>130</v>
      </c>
      <c r="AB57" s="5"/>
      <c r="AC57" s="5"/>
      <c r="AD57" s="5"/>
      <c r="AE57" s="5"/>
      <c r="AF57" s="5"/>
      <c r="AG57" s="5"/>
      <c r="AH57" s="5"/>
      <c r="AI57" s="5"/>
      <c r="AJ57" s="5"/>
    </row>
    <row r="58">
      <c r="A58" s="43"/>
      <c r="B58" s="44">
        <v>51.0</v>
      </c>
      <c r="C58" s="45" t="s">
        <v>131</v>
      </c>
      <c r="D58" s="45" t="s">
        <v>132</v>
      </c>
      <c r="E58" s="46">
        <v>893.0</v>
      </c>
      <c r="F58" s="47"/>
      <c r="G58" s="47"/>
      <c r="H58" s="47"/>
      <c r="I58" s="47"/>
      <c r="J58" s="47"/>
      <c r="K58" s="47"/>
      <c r="L58" s="44"/>
      <c r="M58" s="44"/>
      <c r="N58" s="47"/>
      <c r="O58" s="47"/>
      <c r="P58" s="47"/>
      <c r="Q58" s="44">
        <v>1.0</v>
      </c>
      <c r="R58" s="44">
        <v>50.0</v>
      </c>
      <c r="S58" s="44">
        <v>10.0</v>
      </c>
      <c r="T58" s="47"/>
      <c r="U58" s="47"/>
      <c r="V58" s="47"/>
      <c r="W58" s="48"/>
      <c r="X58" s="48"/>
      <c r="Y58" s="49"/>
      <c r="Z58" s="47">
        <f t="shared" si="1"/>
        <v>954</v>
      </c>
      <c r="AA58" s="64" t="s">
        <v>133</v>
      </c>
      <c r="AB58" s="5"/>
      <c r="AC58" s="5"/>
      <c r="AD58" s="5"/>
      <c r="AE58" s="5"/>
      <c r="AF58" s="5"/>
      <c r="AG58" s="5"/>
      <c r="AH58" s="5"/>
      <c r="AI58" s="5"/>
      <c r="AJ58" s="5"/>
    </row>
    <row r="59">
      <c r="A59" s="43"/>
      <c r="B59" s="44">
        <v>52.0</v>
      </c>
      <c r="C59" s="51"/>
      <c r="D59" s="45" t="s">
        <v>134</v>
      </c>
      <c r="E59" s="46">
        <v>362.0</v>
      </c>
      <c r="F59" s="47"/>
      <c r="G59" s="47"/>
      <c r="H59" s="47"/>
      <c r="I59" s="44">
        <v>7.0</v>
      </c>
      <c r="J59" s="47"/>
      <c r="K59" s="47"/>
      <c r="L59" s="47"/>
      <c r="M59" s="47"/>
      <c r="N59" s="47"/>
      <c r="O59" s="47"/>
      <c r="P59" s="47"/>
      <c r="Q59" s="47"/>
      <c r="R59" s="44">
        <v>175.0</v>
      </c>
      <c r="S59" s="44">
        <v>10.0</v>
      </c>
      <c r="T59" s="47"/>
      <c r="U59" s="47"/>
      <c r="V59" s="47"/>
      <c r="W59" s="48"/>
      <c r="X59" s="48"/>
      <c r="Y59" s="49"/>
      <c r="Z59" s="47">
        <f t="shared" si="1"/>
        <v>554</v>
      </c>
      <c r="AA59" s="73" t="s">
        <v>135</v>
      </c>
      <c r="AB59" s="5"/>
      <c r="AC59" s="5"/>
      <c r="AD59" s="5"/>
      <c r="AE59" s="5"/>
      <c r="AF59" s="5"/>
      <c r="AG59" s="5"/>
      <c r="AH59" s="5"/>
      <c r="AI59" s="5"/>
      <c r="AJ59" s="5"/>
    </row>
    <row r="60">
      <c r="A60" s="43"/>
      <c r="B60" s="44">
        <v>53.0</v>
      </c>
      <c r="C60" s="51"/>
      <c r="D60" s="45" t="s">
        <v>136</v>
      </c>
      <c r="E60" s="46">
        <v>576.0</v>
      </c>
      <c r="F60" s="47"/>
      <c r="G60" s="47"/>
      <c r="H60" s="47"/>
      <c r="I60" s="44">
        <v>13.0</v>
      </c>
      <c r="J60" s="47"/>
      <c r="K60" s="47"/>
      <c r="L60" s="44"/>
      <c r="M60" s="44">
        <v>83.0</v>
      </c>
      <c r="N60" s="47"/>
      <c r="O60" s="47"/>
      <c r="P60" s="44"/>
      <c r="Q60" s="44"/>
      <c r="R60" s="44">
        <v>1370.0</v>
      </c>
      <c r="S60" s="47"/>
      <c r="T60" s="47"/>
      <c r="U60" s="47"/>
      <c r="V60" s="47"/>
      <c r="W60" s="48"/>
      <c r="X60" s="48"/>
      <c r="Y60" s="49"/>
      <c r="Z60" s="47">
        <f t="shared" si="1"/>
        <v>2042</v>
      </c>
      <c r="AA60" s="68"/>
      <c r="AB60" s="5"/>
      <c r="AC60" s="5"/>
      <c r="AD60" s="5"/>
      <c r="AE60" s="5"/>
      <c r="AF60" s="5"/>
      <c r="AG60" s="5"/>
      <c r="AH60" s="5"/>
      <c r="AI60" s="5"/>
      <c r="AJ60" s="5"/>
    </row>
    <row r="61">
      <c r="A61" s="43"/>
      <c r="B61" s="44">
        <v>54.0</v>
      </c>
      <c r="C61" s="51"/>
      <c r="D61" s="45" t="s">
        <v>137</v>
      </c>
      <c r="E61" s="46">
        <v>970.0</v>
      </c>
      <c r="F61" s="47"/>
      <c r="G61" s="47"/>
      <c r="H61" s="44">
        <v>68.0</v>
      </c>
      <c r="I61" s="47"/>
      <c r="J61" s="47"/>
      <c r="K61" s="47"/>
      <c r="L61" s="44">
        <v>69.0</v>
      </c>
      <c r="M61" s="44">
        <v>11.0</v>
      </c>
      <c r="N61" s="47"/>
      <c r="O61" s="47"/>
      <c r="P61" s="44"/>
      <c r="Q61" s="44">
        <v>37.0</v>
      </c>
      <c r="R61" s="44">
        <v>562.0</v>
      </c>
      <c r="S61" s="47"/>
      <c r="T61" s="47"/>
      <c r="U61" s="44">
        <v>77.0</v>
      </c>
      <c r="V61" s="47"/>
      <c r="W61" s="48"/>
      <c r="X61" s="48"/>
      <c r="Y61" s="49"/>
      <c r="Z61" s="47">
        <f t="shared" si="1"/>
        <v>1794</v>
      </c>
      <c r="AA61" s="70" t="s">
        <v>138</v>
      </c>
      <c r="AB61" s="5"/>
      <c r="AC61" s="5"/>
      <c r="AD61" s="5"/>
      <c r="AE61" s="5"/>
      <c r="AF61" s="5"/>
      <c r="AG61" s="5"/>
      <c r="AH61" s="5"/>
      <c r="AI61" s="5"/>
      <c r="AJ61" s="5"/>
    </row>
    <row r="62">
      <c r="A62" s="43"/>
      <c r="B62" s="44">
        <v>55.0</v>
      </c>
      <c r="C62" s="51"/>
      <c r="D62" s="45" t="s">
        <v>139</v>
      </c>
      <c r="E62" s="46">
        <v>66.0</v>
      </c>
      <c r="F62" s="47"/>
      <c r="G62" s="47"/>
      <c r="H62" s="47"/>
      <c r="I62" s="44">
        <v>5.0</v>
      </c>
      <c r="J62" s="47"/>
      <c r="K62" s="47"/>
      <c r="L62" s="47"/>
      <c r="M62" s="44">
        <v>2.0</v>
      </c>
      <c r="N62" s="47"/>
      <c r="O62" s="47"/>
      <c r="P62" s="47"/>
      <c r="Q62" s="47"/>
      <c r="R62" s="44">
        <v>144.0</v>
      </c>
      <c r="S62" s="47"/>
      <c r="T62" s="47"/>
      <c r="U62" s="47"/>
      <c r="V62" s="47"/>
      <c r="W62" s="48"/>
      <c r="X62" s="48"/>
      <c r="Y62" s="49"/>
      <c r="Z62" s="47">
        <f t="shared" si="1"/>
        <v>217</v>
      </c>
      <c r="AA62" s="64" t="s">
        <v>140</v>
      </c>
      <c r="AB62" s="5"/>
      <c r="AC62" s="5"/>
      <c r="AD62" s="5"/>
      <c r="AE62" s="5"/>
      <c r="AF62" s="5"/>
      <c r="AG62" s="5"/>
      <c r="AH62" s="5"/>
      <c r="AI62" s="5"/>
      <c r="AJ62" s="5"/>
    </row>
    <row r="63">
      <c r="A63" s="43"/>
      <c r="B63" s="44">
        <v>56.0</v>
      </c>
      <c r="C63" s="51"/>
      <c r="D63" s="45" t="s">
        <v>141</v>
      </c>
      <c r="E63" s="46">
        <v>164.0</v>
      </c>
      <c r="F63" s="47"/>
      <c r="G63" s="47"/>
      <c r="H63" s="47"/>
      <c r="I63" s="44">
        <v>180.0</v>
      </c>
      <c r="J63" s="47"/>
      <c r="K63" s="47"/>
      <c r="L63" s="44"/>
      <c r="M63" s="44">
        <v>376.0</v>
      </c>
      <c r="N63" s="47"/>
      <c r="O63" s="44">
        <v>10.0</v>
      </c>
      <c r="P63" s="44"/>
      <c r="Q63" s="44"/>
      <c r="R63" s="44"/>
      <c r="S63" s="47"/>
      <c r="T63" s="47"/>
      <c r="U63" s="47"/>
      <c r="V63" s="47"/>
      <c r="W63" s="48"/>
      <c r="X63" s="48"/>
      <c r="Y63" s="49"/>
      <c r="Z63" s="47">
        <f t="shared" si="1"/>
        <v>730</v>
      </c>
      <c r="AA63" s="64" t="s">
        <v>142</v>
      </c>
      <c r="AB63" s="5"/>
      <c r="AC63" s="5"/>
      <c r="AD63" s="5"/>
      <c r="AE63" s="5"/>
      <c r="AF63" s="5"/>
      <c r="AG63" s="5"/>
      <c r="AH63" s="5"/>
      <c r="AI63" s="5"/>
      <c r="AJ63" s="5"/>
    </row>
    <row r="64">
      <c r="A64" s="43"/>
      <c r="B64" s="44">
        <v>57.0</v>
      </c>
      <c r="C64" s="51"/>
      <c r="D64" s="45" t="s">
        <v>143</v>
      </c>
      <c r="E64" s="46">
        <v>3749.0</v>
      </c>
      <c r="F64" s="47"/>
      <c r="G64" s="47"/>
      <c r="H64" s="47"/>
      <c r="I64" s="44">
        <v>2.0</v>
      </c>
      <c r="J64" s="47"/>
      <c r="K64" s="47"/>
      <c r="L64" s="47"/>
      <c r="M64" s="44">
        <v>30.0</v>
      </c>
      <c r="N64" s="47"/>
      <c r="O64" s="47"/>
      <c r="P64" s="47"/>
      <c r="Q64" s="44">
        <v>307.0</v>
      </c>
      <c r="R64" s="44">
        <v>124.0</v>
      </c>
      <c r="S64" s="44">
        <v>6.0</v>
      </c>
      <c r="T64" s="47"/>
      <c r="U64" s="47"/>
      <c r="V64" s="47"/>
      <c r="W64" s="48"/>
      <c r="X64" s="48"/>
      <c r="Y64" s="49"/>
      <c r="Z64" s="47">
        <f t="shared" si="1"/>
        <v>4218</v>
      </c>
      <c r="AA64" s="74" t="s">
        <v>143</v>
      </c>
      <c r="AB64" s="5"/>
      <c r="AC64" s="5"/>
      <c r="AD64" s="5"/>
      <c r="AE64" s="5"/>
      <c r="AF64" s="5"/>
      <c r="AG64" s="5"/>
      <c r="AH64" s="5"/>
      <c r="AI64" s="5"/>
      <c r="AJ64" s="5"/>
    </row>
    <row r="65">
      <c r="A65" s="43"/>
      <c r="B65" s="44">
        <v>58.0</v>
      </c>
      <c r="C65" s="51"/>
      <c r="D65" s="45" t="s">
        <v>144</v>
      </c>
      <c r="E65" s="46">
        <v>87.0</v>
      </c>
      <c r="F65" s="47"/>
      <c r="G65" s="47"/>
      <c r="H65" s="47"/>
      <c r="I65" s="47"/>
      <c r="J65" s="47"/>
      <c r="K65" s="47"/>
      <c r="L65" s="47"/>
      <c r="M65" s="47"/>
      <c r="N65" s="47"/>
      <c r="O65" s="47"/>
      <c r="P65" s="44"/>
      <c r="Q65" s="44"/>
      <c r="R65" s="44">
        <v>32.0</v>
      </c>
      <c r="S65" s="44">
        <v>4.0</v>
      </c>
      <c r="T65" s="47"/>
      <c r="U65" s="47"/>
      <c r="V65" s="47"/>
      <c r="W65" s="48"/>
      <c r="X65" s="48"/>
      <c r="Y65" s="49"/>
      <c r="Z65" s="47">
        <f t="shared" si="1"/>
        <v>123</v>
      </c>
      <c r="AA65" s="62" t="s">
        <v>145</v>
      </c>
      <c r="AB65" s="5"/>
      <c r="AC65" s="5"/>
      <c r="AD65" s="5"/>
      <c r="AE65" s="5"/>
      <c r="AF65" s="5"/>
      <c r="AG65" s="5"/>
      <c r="AH65" s="5"/>
      <c r="AI65" s="5"/>
      <c r="AJ65" s="5"/>
    </row>
    <row r="66">
      <c r="A66" s="43"/>
      <c r="B66" s="44">
        <v>59.0</v>
      </c>
      <c r="C66" s="51"/>
      <c r="D66" s="45" t="s">
        <v>146</v>
      </c>
      <c r="E66" s="46">
        <v>146.0</v>
      </c>
      <c r="F66" s="47"/>
      <c r="G66" s="47"/>
      <c r="H66" s="47"/>
      <c r="I66" s="47"/>
      <c r="J66" s="47"/>
      <c r="K66" s="47"/>
      <c r="L66" s="47"/>
      <c r="M66" s="47"/>
      <c r="N66" s="47"/>
      <c r="O66" s="47"/>
      <c r="P66" s="47"/>
      <c r="Q66" s="47"/>
      <c r="R66" s="47"/>
      <c r="S66" s="47"/>
      <c r="T66" s="47"/>
      <c r="U66" s="47"/>
      <c r="V66" s="47"/>
      <c r="W66" s="48"/>
      <c r="X66" s="48"/>
      <c r="Y66" s="49"/>
      <c r="Z66" s="47">
        <f t="shared" si="1"/>
        <v>146</v>
      </c>
      <c r="AA66" s="68"/>
      <c r="AB66" s="5"/>
      <c r="AC66" s="5"/>
      <c r="AD66" s="5"/>
      <c r="AE66" s="5"/>
      <c r="AF66" s="5"/>
      <c r="AG66" s="5"/>
      <c r="AH66" s="5"/>
      <c r="AI66" s="5"/>
      <c r="AJ66" s="5"/>
    </row>
    <row r="67">
      <c r="A67" s="43"/>
      <c r="B67" s="44">
        <v>60.0</v>
      </c>
      <c r="C67" s="51"/>
      <c r="D67" s="45" t="s">
        <v>147</v>
      </c>
      <c r="E67" s="46">
        <v>655.0</v>
      </c>
      <c r="F67" s="47"/>
      <c r="G67" s="47"/>
      <c r="H67" s="47"/>
      <c r="I67" s="47"/>
      <c r="J67" s="47"/>
      <c r="K67" s="47"/>
      <c r="L67" s="44"/>
      <c r="M67" s="44">
        <v>28.0</v>
      </c>
      <c r="N67" s="47"/>
      <c r="O67" s="47"/>
      <c r="P67" s="44"/>
      <c r="Q67" s="44"/>
      <c r="R67" s="44">
        <v>104.0</v>
      </c>
      <c r="S67" s="47"/>
      <c r="T67" s="47"/>
      <c r="U67" s="47"/>
      <c r="V67" s="47"/>
      <c r="W67" s="48"/>
      <c r="X67" s="48"/>
      <c r="Y67" s="49"/>
      <c r="Z67" s="47">
        <f t="shared" si="1"/>
        <v>787</v>
      </c>
      <c r="AA67" s="63" t="s">
        <v>148</v>
      </c>
      <c r="AB67" s="5"/>
      <c r="AC67" s="5"/>
      <c r="AD67" s="5"/>
      <c r="AE67" s="5"/>
      <c r="AF67" s="5"/>
      <c r="AG67" s="5"/>
      <c r="AH67" s="5"/>
      <c r="AI67" s="5"/>
      <c r="AJ67" s="5"/>
    </row>
    <row r="68">
      <c r="A68" s="43"/>
      <c r="B68" s="44">
        <v>61.0</v>
      </c>
      <c r="C68" s="51"/>
      <c r="D68" s="45" t="s">
        <v>149</v>
      </c>
      <c r="E68" s="46">
        <v>39.0</v>
      </c>
      <c r="F68" s="47"/>
      <c r="G68" s="47"/>
      <c r="H68" s="47"/>
      <c r="I68" s="47"/>
      <c r="J68" s="47"/>
      <c r="K68" s="47"/>
      <c r="L68" s="47"/>
      <c r="M68" s="47"/>
      <c r="N68" s="47"/>
      <c r="O68" s="47"/>
      <c r="P68" s="47"/>
      <c r="Q68" s="47"/>
      <c r="R68" s="47"/>
      <c r="S68" s="44">
        <v>2.0</v>
      </c>
      <c r="T68" s="47"/>
      <c r="U68" s="44">
        <v>67.0</v>
      </c>
      <c r="V68" s="47"/>
      <c r="W68" s="48"/>
      <c r="X68" s="48"/>
      <c r="Y68" s="49"/>
      <c r="Z68" s="47">
        <f t="shared" si="1"/>
        <v>108</v>
      </c>
      <c r="AA68" s="64" t="s">
        <v>150</v>
      </c>
      <c r="AB68" s="5"/>
      <c r="AC68" s="5"/>
      <c r="AD68" s="5"/>
      <c r="AE68" s="5"/>
      <c r="AF68" s="5"/>
      <c r="AG68" s="5"/>
      <c r="AH68" s="5"/>
      <c r="AI68" s="5"/>
      <c r="AJ68" s="5"/>
    </row>
    <row r="69">
      <c r="A69" s="43"/>
      <c r="B69" s="44">
        <v>62.0</v>
      </c>
      <c r="C69" s="51"/>
      <c r="D69" s="45" t="s">
        <v>151</v>
      </c>
      <c r="E69" s="46">
        <v>82.0</v>
      </c>
      <c r="F69" s="47"/>
      <c r="G69" s="47"/>
      <c r="H69" s="47"/>
      <c r="I69" s="47"/>
      <c r="J69" s="47"/>
      <c r="K69" s="47"/>
      <c r="L69" s="47"/>
      <c r="M69" s="44">
        <v>20.0</v>
      </c>
      <c r="N69" s="47"/>
      <c r="O69" s="47"/>
      <c r="P69" s="47"/>
      <c r="Q69" s="47"/>
      <c r="R69" s="44">
        <v>374.0</v>
      </c>
      <c r="S69" s="47"/>
      <c r="T69" s="47"/>
      <c r="U69" s="47"/>
      <c r="V69" s="47"/>
      <c r="W69" s="48"/>
      <c r="X69" s="48"/>
      <c r="Y69" s="49"/>
      <c r="Z69" s="47">
        <f t="shared" si="1"/>
        <v>476</v>
      </c>
      <c r="AA69" s="63" t="s">
        <v>152</v>
      </c>
      <c r="AB69" s="5"/>
      <c r="AC69" s="5"/>
      <c r="AD69" s="5"/>
      <c r="AE69" s="5"/>
      <c r="AF69" s="5"/>
      <c r="AG69" s="5"/>
      <c r="AH69" s="5"/>
      <c r="AI69" s="5"/>
      <c r="AJ69" s="5"/>
    </row>
    <row r="70">
      <c r="A70" s="43"/>
      <c r="B70" s="44">
        <v>63.0</v>
      </c>
      <c r="C70" s="51"/>
      <c r="D70" s="45" t="s">
        <v>153</v>
      </c>
      <c r="E70" s="46">
        <v>13.0</v>
      </c>
      <c r="F70" s="47"/>
      <c r="G70" s="47"/>
      <c r="H70" s="47"/>
      <c r="I70" s="47"/>
      <c r="J70" s="47"/>
      <c r="K70" s="47"/>
      <c r="L70" s="44"/>
      <c r="M70" s="44"/>
      <c r="N70" s="47"/>
      <c r="O70" s="47"/>
      <c r="P70" s="44"/>
      <c r="Q70" s="44"/>
      <c r="R70" s="44">
        <v>150.0</v>
      </c>
      <c r="S70" s="47"/>
      <c r="T70" s="47"/>
      <c r="U70" s="47"/>
      <c r="V70" s="47"/>
      <c r="W70" s="48"/>
      <c r="X70" s="58" t="s">
        <v>154</v>
      </c>
      <c r="Y70" s="55">
        <v>1.0</v>
      </c>
      <c r="Z70" s="47">
        <f t="shared" si="1"/>
        <v>163</v>
      </c>
      <c r="AA70" s="64" t="s">
        <v>155</v>
      </c>
      <c r="AB70" s="5"/>
      <c r="AC70" s="5"/>
      <c r="AD70" s="5"/>
      <c r="AE70" s="5"/>
      <c r="AF70" s="5"/>
      <c r="AG70" s="5"/>
      <c r="AH70" s="5"/>
      <c r="AI70" s="5"/>
      <c r="AJ70" s="5"/>
    </row>
    <row r="71">
      <c r="A71" s="43"/>
      <c r="B71" s="44">
        <v>64.0</v>
      </c>
      <c r="C71" s="45" t="s">
        <v>156</v>
      </c>
      <c r="D71" s="45" t="s">
        <v>157</v>
      </c>
      <c r="E71" s="79">
        <v>38.0</v>
      </c>
      <c r="F71" s="44">
        <v>7.0</v>
      </c>
      <c r="G71" s="47"/>
      <c r="H71" s="44">
        <v>75.0</v>
      </c>
      <c r="I71" s="47"/>
      <c r="J71" s="47"/>
      <c r="K71" s="47"/>
      <c r="L71" s="44"/>
      <c r="M71" s="44"/>
      <c r="N71" s="47"/>
      <c r="O71" s="44"/>
      <c r="P71" s="44"/>
      <c r="Q71" s="44"/>
      <c r="R71" s="44"/>
      <c r="S71" s="44"/>
      <c r="T71" s="47"/>
      <c r="U71" s="44">
        <v>25.0</v>
      </c>
      <c r="V71" s="47"/>
      <c r="W71" s="48"/>
      <c r="X71" s="58" t="s">
        <v>158</v>
      </c>
      <c r="Y71" s="55">
        <v>0.66</v>
      </c>
      <c r="Z71" s="47">
        <f t="shared" si="1"/>
        <v>145</v>
      </c>
      <c r="AA71" s="80" t="s">
        <v>159</v>
      </c>
      <c r="AB71" s="5"/>
      <c r="AC71" s="5"/>
      <c r="AD71" s="5"/>
      <c r="AE71" s="5"/>
      <c r="AF71" s="5"/>
      <c r="AG71" s="5"/>
      <c r="AH71" s="5"/>
      <c r="AI71" s="5"/>
      <c r="AJ71" s="5"/>
    </row>
    <row r="72">
      <c r="A72" s="43"/>
      <c r="B72" s="44">
        <v>65.0</v>
      </c>
      <c r="C72" s="51"/>
      <c r="D72" s="45" t="s">
        <v>160</v>
      </c>
      <c r="E72" s="79">
        <v>175.0</v>
      </c>
      <c r="F72" s="44">
        <v>47.0</v>
      </c>
      <c r="G72" s="44"/>
      <c r="H72" s="44">
        <v>135.0</v>
      </c>
      <c r="I72" s="47"/>
      <c r="J72" s="47"/>
      <c r="K72" s="47"/>
      <c r="L72" s="47"/>
      <c r="M72" s="44"/>
      <c r="N72" s="44"/>
      <c r="O72" s="44"/>
      <c r="P72" s="44"/>
      <c r="Q72" s="44"/>
      <c r="R72" s="44">
        <v>143.0</v>
      </c>
      <c r="S72" s="44"/>
      <c r="T72" s="47"/>
      <c r="U72" s="44">
        <v>20.0</v>
      </c>
      <c r="V72" s="47"/>
      <c r="W72" s="48"/>
      <c r="X72" s="48"/>
      <c r="Y72" s="49"/>
      <c r="Z72" s="47">
        <f t="shared" si="1"/>
        <v>520</v>
      </c>
      <c r="AA72" s="73" t="s">
        <v>161</v>
      </c>
      <c r="AB72" s="5"/>
      <c r="AC72" s="5"/>
      <c r="AD72" s="5"/>
      <c r="AE72" s="5"/>
      <c r="AF72" s="5"/>
      <c r="AG72" s="5"/>
      <c r="AH72" s="5"/>
      <c r="AI72" s="5"/>
      <c r="AJ72" s="5"/>
    </row>
    <row r="73">
      <c r="A73" s="43"/>
      <c r="B73" s="44">
        <v>66.0</v>
      </c>
      <c r="C73" s="51"/>
      <c r="D73" s="45" t="s">
        <v>162</v>
      </c>
      <c r="E73" s="79">
        <v>10.0</v>
      </c>
      <c r="F73" s="44">
        <v>3.0</v>
      </c>
      <c r="G73" s="47"/>
      <c r="H73" s="44">
        <v>27.0</v>
      </c>
      <c r="I73" s="47"/>
      <c r="J73" s="47"/>
      <c r="K73" s="47"/>
      <c r="L73" s="47"/>
      <c r="M73" s="47"/>
      <c r="N73" s="44"/>
      <c r="O73" s="44"/>
      <c r="P73" s="47"/>
      <c r="Q73" s="47"/>
      <c r="R73" s="44"/>
      <c r="S73" s="44"/>
      <c r="T73" s="47"/>
      <c r="U73" s="44">
        <v>9.0</v>
      </c>
      <c r="V73" s="47"/>
      <c r="W73" s="48"/>
      <c r="X73" s="48"/>
      <c r="Y73" s="55">
        <v>0.9</v>
      </c>
      <c r="Z73" s="47">
        <f t="shared" si="1"/>
        <v>49</v>
      </c>
      <c r="AA73" s="80" t="s">
        <v>163</v>
      </c>
      <c r="AB73" s="5"/>
      <c r="AC73" s="5"/>
      <c r="AD73" s="5"/>
      <c r="AE73" s="5"/>
      <c r="AF73" s="5"/>
      <c r="AG73" s="5"/>
      <c r="AH73" s="5"/>
      <c r="AI73" s="5"/>
      <c r="AJ73" s="5"/>
    </row>
    <row r="74">
      <c r="A74" s="43"/>
      <c r="B74" s="44">
        <v>67.0</v>
      </c>
      <c r="C74" s="51"/>
      <c r="D74" s="45" t="s">
        <v>164</v>
      </c>
      <c r="E74" s="79">
        <v>53.0</v>
      </c>
      <c r="F74" s="44"/>
      <c r="G74" s="44"/>
      <c r="H74" s="44"/>
      <c r="I74" s="47"/>
      <c r="J74" s="47"/>
      <c r="K74" s="47"/>
      <c r="L74" s="47"/>
      <c r="M74" s="44"/>
      <c r="N74" s="47"/>
      <c r="O74" s="44">
        <v>425.0</v>
      </c>
      <c r="P74" s="47"/>
      <c r="Q74" s="47"/>
      <c r="R74" s="44"/>
      <c r="S74" s="44"/>
      <c r="T74" s="47"/>
      <c r="U74" s="47"/>
      <c r="V74" s="47"/>
      <c r="W74" s="48"/>
      <c r="X74" s="48"/>
      <c r="Y74" s="49"/>
      <c r="Z74" s="47">
        <f t="shared" si="1"/>
        <v>478</v>
      </c>
      <c r="AA74" s="80" t="s">
        <v>165</v>
      </c>
      <c r="AB74" s="5"/>
      <c r="AC74" s="5"/>
      <c r="AD74" s="5"/>
      <c r="AE74" s="5"/>
      <c r="AF74" s="5"/>
      <c r="AG74" s="5"/>
      <c r="AH74" s="5"/>
      <c r="AI74" s="5"/>
      <c r="AJ74" s="5"/>
    </row>
    <row r="75">
      <c r="A75" s="43"/>
      <c r="B75" s="44">
        <v>68.0</v>
      </c>
      <c r="C75" s="45" t="s">
        <v>166</v>
      </c>
      <c r="D75" s="45" t="s">
        <v>167</v>
      </c>
      <c r="E75" s="46">
        <v>0.0</v>
      </c>
      <c r="F75" s="47"/>
      <c r="G75" s="47"/>
      <c r="H75" s="47"/>
      <c r="I75" s="47"/>
      <c r="J75" s="47"/>
      <c r="K75" s="47"/>
      <c r="L75" s="47"/>
      <c r="M75" s="44">
        <v>2.0</v>
      </c>
      <c r="N75" s="47"/>
      <c r="O75" s="47"/>
      <c r="P75" s="44"/>
      <c r="Q75" s="44"/>
      <c r="R75" s="44">
        <v>1212.0</v>
      </c>
      <c r="S75" s="47"/>
      <c r="T75" s="47"/>
      <c r="U75" s="47"/>
      <c r="V75" s="47"/>
      <c r="W75" s="48"/>
      <c r="X75" s="48"/>
      <c r="Y75" s="49"/>
      <c r="Z75" s="47">
        <f t="shared" si="1"/>
        <v>1214</v>
      </c>
      <c r="AA75" s="81" t="s">
        <v>168</v>
      </c>
      <c r="AB75" s="5"/>
      <c r="AC75" s="5"/>
      <c r="AD75" s="5"/>
      <c r="AE75" s="5"/>
      <c r="AF75" s="5"/>
      <c r="AG75" s="5"/>
      <c r="AH75" s="5"/>
      <c r="AI75" s="5"/>
      <c r="AJ75" s="5"/>
    </row>
    <row r="76">
      <c r="A76" s="43"/>
      <c r="B76" s="44">
        <v>69.0</v>
      </c>
      <c r="C76" s="51"/>
      <c r="D76" s="45" t="s">
        <v>169</v>
      </c>
      <c r="E76" s="46">
        <v>177.0</v>
      </c>
      <c r="F76" s="44">
        <v>30.0</v>
      </c>
      <c r="G76" s="44">
        <v>10.0</v>
      </c>
      <c r="H76" s="44">
        <v>23.0</v>
      </c>
      <c r="I76" s="47"/>
      <c r="J76" s="47"/>
      <c r="K76" s="47"/>
      <c r="L76" s="47"/>
      <c r="M76" s="47"/>
      <c r="N76" s="47"/>
      <c r="O76" s="44"/>
      <c r="P76" s="44"/>
      <c r="Q76" s="44"/>
      <c r="R76" s="44">
        <v>240.0</v>
      </c>
      <c r="S76" s="44">
        <v>188.0</v>
      </c>
      <c r="T76" s="47"/>
      <c r="U76" s="47"/>
      <c r="V76" s="47"/>
      <c r="W76" s="48"/>
      <c r="X76" s="48"/>
      <c r="Y76" s="49"/>
      <c r="Z76" s="47">
        <f t="shared" si="1"/>
        <v>668</v>
      </c>
      <c r="AA76" s="80" t="s">
        <v>170</v>
      </c>
      <c r="AB76" s="5"/>
      <c r="AC76" s="5"/>
      <c r="AD76" s="5"/>
      <c r="AE76" s="5"/>
      <c r="AF76" s="5"/>
      <c r="AG76" s="5"/>
      <c r="AH76" s="5"/>
      <c r="AI76" s="5"/>
      <c r="AJ76" s="5"/>
    </row>
    <row r="77">
      <c r="A77" s="43"/>
      <c r="B77" s="44">
        <v>70.0</v>
      </c>
      <c r="C77" s="51"/>
      <c r="D77" s="45" t="s">
        <v>171</v>
      </c>
      <c r="E77" s="46">
        <v>83.0</v>
      </c>
      <c r="F77" s="44">
        <v>31.0</v>
      </c>
      <c r="G77" s="47"/>
      <c r="H77" s="44"/>
      <c r="I77" s="47"/>
      <c r="J77" s="44"/>
      <c r="K77" s="44"/>
      <c r="L77" s="44"/>
      <c r="M77" s="44">
        <v>2.0</v>
      </c>
      <c r="N77" s="47"/>
      <c r="O77" s="47"/>
      <c r="P77" s="47"/>
      <c r="Q77" s="47"/>
      <c r="R77" s="44">
        <v>30.0</v>
      </c>
      <c r="S77" s="47"/>
      <c r="T77" s="47"/>
      <c r="U77" s="44">
        <v>1.0</v>
      </c>
      <c r="V77" s="47"/>
      <c r="W77" s="48"/>
      <c r="X77" s="48"/>
      <c r="Y77" s="55">
        <f>1.2074+1.2609+1.509</f>
        <v>3.9773</v>
      </c>
      <c r="Z77" s="47">
        <f t="shared" si="1"/>
        <v>147</v>
      </c>
      <c r="AA77" s="80" t="s">
        <v>172</v>
      </c>
      <c r="AB77" s="5"/>
      <c r="AC77" s="5"/>
      <c r="AD77" s="5"/>
      <c r="AE77" s="5"/>
      <c r="AF77" s="5"/>
      <c r="AG77" s="5"/>
      <c r="AH77" s="5"/>
      <c r="AI77" s="5"/>
      <c r="AJ77" s="5"/>
    </row>
    <row r="78">
      <c r="A78" s="43"/>
      <c r="B78" s="44">
        <v>71.0</v>
      </c>
      <c r="C78" s="51"/>
      <c r="D78" s="45" t="s">
        <v>173</v>
      </c>
      <c r="E78" s="46">
        <v>13.0</v>
      </c>
      <c r="F78" s="47"/>
      <c r="G78" s="47"/>
      <c r="H78" s="47"/>
      <c r="I78" s="47"/>
      <c r="J78" s="47"/>
      <c r="K78" s="47"/>
      <c r="L78" s="47"/>
      <c r="M78" s="47"/>
      <c r="N78" s="44"/>
      <c r="O78" s="47"/>
      <c r="P78" s="47"/>
      <c r="Q78" s="47"/>
      <c r="R78" s="47"/>
      <c r="S78" s="47"/>
      <c r="T78" s="47"/>
      <c r="U78" s="47"/>
      <c r="V78" s="47"/>
      <c r="W78" s="48"/>
      <c r="X78" s="48"/>
      <c r="Y78" s="49"/>
      <c r="Z78" s="47">
        <f t="shared" si="1"/>
        <v>13</v>
      </c>
      <c r="AA78" s="64" t="s">
        <v>174</v>
      </c>
      <c r="AB78" s="5"/>
      <c r="AC78" s="5"/>
      <c r="AD78" s="5"/>
      <c r="AE78" s="5"/>
      <c r="AF78" s="5"/>
      <c r="AG78" s="5"/>
      <c r="AH78" s="5"/>
      <c r="AI78" s="5"/>
      <c r="AJ78" s="5"/>
    </row>
    <row r="79">
      <c r="A79" s="43"/>
      <c r="B79" s="44">
        <v>72.0</v>
      </c>
      <c r="C79" s="51"/>
      <c r="D79" s="45" t="s">
        <v>175</v>
      </c>
      <c r="E79" s="46">
        <v>7.0</v>
      </c>
      <c r="F79" s="47"/>
      <c r="G79" s="44"/>
      <c r="H79" s="44">
        <v>4.0</v>
      </c>
      <c r="I79" s="44">
        <v>1.0</v>
      </c>
      <c r="J79" s="47"/>
      <c r="K79" s="47"/>
      <c r="L79" s="44">
        <v>1.0</v>
      </c>
      <c r="M79" s="47"/>
      <c r="N79" s="47"/>
      <c r="O79" s="47"/>
      <c r="P79" s="44"/>
      <c r="Q79" s="44"/>
      <c r="R79" s="44">
        <v>43.0</v>
      </c>
      <c r="S79" s="47"/>
      <c r="T79" s="47"/>
      <c r="U79" s="47"/>
      <c r="V79" s="47"/>
      <c r="W79" s="48"/>
      <c r="X79" s="48"/>
      <c r="Y79" s="49"/>
      <c r="Z79" s="47">
        <f t="shared" si="1"/>
        <v>56</v>
      </c>
      <c r="AA79" s="82" t="s">
        <v>176</v>
      </c>
      <c r="AB79" s="5"/>
      <c r="AC79" s="5"/>
      <c r="AD79" s="5"/>
      <c r="AE79" s="5"/>
      <c r="AF79" s="5"/>
      <c r="AG79" s="5"/>
      <c r="AH79" s="5"/>
      <c r="AI79" s="5"/>
      <c r="AJ79" s="5"/>
    </row>
    <row r="80">
      <c r="A80" s="43"/>
      <c r="B80" s="44">
        <v>73.0</v>
      </c>
      <c r="C80" s="51"/>
      <c r="D80" s="45" t="s">
        <v>177</v>
      </c>
      <c r="E80" s="46">
        <v>1042.0</v>
      </c>
      <c r="F80" s="44">
        <v>364.0</v>
      </c>
      <c r="G80" s="44">
        <v>78.0</v>
      </c>
      <c r="H80" s="44">
        <v>3.0</v>
      </c>
      <c r="I80" s="44">
        <v>6.0</v>
      </c>
      <c r="J80" s="47"/>
      <c r="K80" s="47"/>
      <c r="L80" s="44"/>
      <c r="M80" s="44">
        <v>10.0</v>
      </c>
      <c r="N80" s="44"/>
      <c r="O80" s="44"/>
      <c r="P80" s="44"/>
      <c r="Q80" s="44"/>
      <c r="R80" s="44">
        <v>104.0</v>
      </c>
      <c r="S80" s="44">
        <v>51.0</v>
      </c>
      <c r="T80" s="44"/>
      <c r="U80" s="44"/>
      <c r="V80" s="47"/>
      <c r="W80" s="48"/>
      <c r="X80" s="48"/>
      <c r="Y80" s="49"/>
      <c r="Z80" s="47">
        <f t="shared" si="1"/>
        <v>1658</v>
      </c>
      <c r="AA80" s="83" t="s">
        <v>178</v>
      </c>
      <c r="AB80" s="5"/>
      <c r="AC80" s="5"/>
      <c r="AD80" s="5"/>
      <c r="AE80" s="5"/>
      <c r="AF80" s="5"/>
      <c r="AG80" s="5"/>
      <c r="AH80" s="5"/>
      <c r="AI80" s="5"/>
      <c r="AJ80" s="5"/>
    </row>
    <row r="81">
      <c r="A81" s="43"/>
      <c r="B81" s="44">
        <v>74.0</v>
      </c>
      <c r="C81" s="51"/>
      <c r="D81" s="45" t="s">
        <v>179</v>
      </c>
      <c r="E81" s="46">
        <v>0.0</v>
      </c>
      <c r="F81" s="44">
        <v>20.0</v>
      </c>
      <c r="G81" s="44"/>
      <c r="H81" s="44"/>
      <c r="I81" s="44"/>
      <c r="J81" s="47"/>
      <c r="K81" s="47"/>
      <c r="L81" s="44"/>
      <c r="M81" s="44"/>
      <c r="N81" s="44"/>
      <c r="O81" s="44"/>
      <c r="P81" s="44"/>
      <c r="Q81" s="44">
        <v>72.0</v>
      </c>
      <c r="R81" s="44">
        <v>80.0</v>
      </c>
      <c r="S81" s="44">
        <v>29.0</v>
      </c>
      <c r="T81" s="44"/>
      <c r="U81" s="44">
        <v>17.0</v>
      </c>
      <c r="V81" s="47"/>
      <c r="W81" s="48"/>
      <c r="X81" s="48"/>
      <c r="Y81" s="49"/>
      <c r="Z81" s="47">
        <f t="shared" si="1"/>
        <v>218</v>
      </c>
      <c r="AA81" s="76" t="s">
        <v>180</v>
      </c>
      <c r="AB81" s="5"/>
      <c r="AC81" s="5"/>
      <c r="AD81" s="5"/>
      <c r="AE81" s="5"/>
      <c r="AF81" s="5"/>
      <c r="AG81" s="5"/>
      <c r="AH81" s="5"/>
      <c r="AI81" s="5"/>
      <c r="AJ81" s="5"/>
    </row>
    <row r="82">
      <c r="A82" s="43"/>
      <c r="B82" s="44">
        <v>75.0</v>
      </c>
      <c r="C82" s="51"/>
      <c r="D82" s="45" t="s">
        <v>181</v>
      </c>
      <c r="E82" s="46">
        <v>0.0</v>
      </c>
      <c r="F82" s="44"/>
      <c r="G82" s="44"/>
      <c r="H82" s="44">
        <v>13.0</v>
      </c>
      <c r="I82" s="44"/>
      <c r="J82" s="47"/>
      <c r="K82" s="47"/>
      <c r="L82" s="44">
        <v>2.0</v>
      </c>
      <c r="M82" s="44">
        <v>15.0</v>
      </c>
      <c r="N82" s="44"/>
      <c r="O82" s="44"/>
      <c r="P82" s="44"/>
      <c r="Q82" s="44">
        <v>18.0</v>
      </c>
      <c r="R82" s="44">
        <v>26.0</v>
      </c>
      <c r="S82" s="44"/>
      <c r="T82" s="44"/>
      <c r="U82" s="44">
        <v>17.0</v>
      </c>
      <c r="V82" s="47"/>
      <c r="W82" s="48"/>
      <c r="X82" s="54" t="s">
        <v>182</v>
      </c>
      <c r="Y82" s="55">
        <v>2.99</v>
      </c>
      <c r="Z82" s="47">
        <f t="shared" si="1"/>
        <v>91</v>
      </c>
      <c r="AA82" s="76" t="s">
        <v>183</v>
      </c>
      <c r="AB82" s="5"/>
      <c r="AC82" s="5"/>
      <c r="AD82" s="5"/>
      <c r="AE82" s="5"/>
      <c r="AF82" s="5"/>
      <c r="AG82" s="5"/>
      <c r="AH82" s="5"/>
      <c r="AI82" s="5"/>
      <c r="AJ82" s="5"/>
    </row>
    <row r="83">
      <c r="A83" s="43"/>
      <c r="B83" s="44">
        <v>76.0</v>
      </c>
      <c r="C83" s="51"/>
      <c r="D83" s="45" t="s">
        <v>184</v>
      </c>
      <c r="E83" s="46">
        <v>7.0</v>
      </c>
      <c r="F83" s="44"/>
      <c r="G83" s="44"/>
      <c r="H83" s="44">
        <v>21.0</v>
      </c>
      <c r="I83" s="44"/>
      <c r="J83" s="47"/>
      <c r="K83" s="47"/>
      <c r="L83" s="44"/>
      <c r="M83" s="44"/>
      <c r="N83" s="44"/>
      <c r="O83" s="44"/>
      <c r="P83" s="44"/>
      <c r="Q83" s="44"/>
      <c r="R83" s="44">
        <v>20.0</v>
      </c>
      <c r="S83" s="44">
        <v>2.0</v>
      </c>
      <c r="T83" s="44"/>
      <c r="U83" s="44"/>
      <c r="V83" s="47"/>
      <c r="W83" s="48"/>
      <c r="X83" s="48"/>
      <c r="Y83" s="49"/>
      <c r="Z83" s="47">
        <f t="shared" si="1"/>
        <v>50</v>
      </c>
      <c r="AA83" s="73" t="s">
        <v>185</v>
      </c>
      <c r="AB83" s="5"/>
      <c r="AC83" s="5"/>
      <c r="AD83" s="5"/>
      <c r="AE83" s="5"/>
      <c r="AF83" s="5"/>
      <c r="AG83" s="5"/>
      <c r="AH83" s="5"/>
      <c r="AI83" s="5"/>
      <c r="AJ83" s="5"/>
    </row>
    <row r="84">
      <c r="A84" s="43"/>
      <c r="B84" s="44">
        <v>77.0</v>
      </c>
      <c r="C84" s="45" t="s">
        <v>186</v>
      </c>
      <c r="D84" s="45" t="s">
        <v>187</v>
      </c>
      <c r="E84" s="53">
        <v>10382.0</v>
      </c>
      <c r="F84" s="44">
        <v>1788.0</v>
      </c>
      <c r="G84" s="47"/>
      <c r="H84" s="44">
        <v>1177.0</v>
      </c>
      <c r="I84" s="47"/>
      <c r="J84" s="47"/>
      <c r="K84" s="47"/>
      <c r="L84" s="47"/>
      <c r="M84" s="44">
        <v>523.0</v>
      </c>
      <c r="N84" s="47"/>
      <c r="O84" s="47"/>
      <c r="P84" s="47"/>
      <c r="Q84" s="47"/>
      <c r="R84" s="44">
        <v>456.0</v>
      </c>
      <c r="S84" s="44"/>
      <c r="T84" s="47"/>
      <c r="U84" s="47"/>
      <c r="V84" s="47"/>
      <c r="W84" s="48"/>
      <c r="X84" s="48"/>
      <c r="Y84" s="49"/>
      <c r="Z84" s="47">
        <f t="shared" si="1"/>
        <v>14326</v>
      </c>
      <c r="AA84" s="84" t="s">
        <v>188</v>
      </c>
      <c r="AB84" s="5"/>
      <c r="AC84" s="5"/>
      <c r="AD84" s="5"/>
      <c r="AE84" s="5"/>
      <c r="AF84" s="5"/>
      <c r="AG84" s="5"/>
      <c r="AH84" s="5"/>
      <c r="AI84" s="5"/>
      <c r="AJ84" s="5"/>
    </row>
    <row r="85">
      <c r="A85" s="43"/>
      <c r="B85" s="44">
        <v>78.0</v>
      </c>
      <c r="C85" s="51"/>
      <c r="D85" s="45" t="s">
        <v>189</v>
      </c>
      <c r="E85" s="53">
        <v>2048.0</v>
      </c>
      <c r="F85" s="44">
        <v>25.0</v>
      </c>
      <c r="G85" s="47"/>
      <c r="H85" s="44">
        <v>145.0</v>
      </c>
      <c r="I85" s="47"/>
      <c r="J85" s="47"/>
      <c r="K85" s="47"/>
      <c r="L85" s="47"/>
      <c r="M85" s="44">
        <v>16.0</v>
      </c>
      <c r="N85" s="47"/>
      <c r="O85" s="44"/>
      <c r="P85" s="44"/>
      <c r="Q85" s="44">
        <v>253.0</v>
      </c>
      <c r="R85" s="44">
        <v>906.0</v>
      </c>
      <c r="S85" s="47"/>
      <c r="T85" s="47"/>
      <c r="U85" s="47"/>
      <c r="V85" s="47"/>
      <c r="W85" s="48"/>
      <c r="X85" s="48"/>
      <c r="Y85" s="49"/>
      <c r="Z85" s="47">
        <f t="shared" si="1"/>
        <v>3393</v>
      </c>
      <c r="AA85" s="85" t="s">
        <v>189</v>
      </c>
      <c r="AB85" s="5"/>
      <c r="AC85" s="5"/>
      <c r="AD85" s="5"/>
      <c r="AE85" s="5"/>
      <c r="AF85" s="5"/>
      <c r="AG85" s="5"/>
      <c r="AH85" s="5"/>
      <c r="AI85" s="5"/>
      <c r="AJ85" s="5"/>
    </row>
    <row r="86">
      <c r="A86" s="43"/>
      <c r="B86" s="44">
        <v>79.0</v>
      </c>
      <c r="C86" s="51"/>
      <c r="D86" s="45" t="s">
        <v>190</v>
      </c>
      <c r="E86" s="53">
        <v>1519.0</v>
      </c>
      <c r="F86" s="44">
        <v>22.0</v>
      </c>
      <c r="G86" s="47"/>
      <c r="H86" s="44">
        <v>323.0</v>
      </c>
      <c r="I86" s="47"/>
      <c r="J86" s="47"/>
      <c r="K86" s="47"/>
      <c r="L86" s="47"/>
      <c r="M86" s="44">
        <v>9.0</v>
      </c>
      <c r="N86" s="47"/>
      <c r="O86" s="47"/>
      <c r="P86" s="47"/>
      <c r="Q86" s="47"/>
      <c r="R86" s="44">
        <v>24.0</v>
      </c>
      <c r="S86" s="47"/>
      <c r="T86" s="47"/>
      <c r="U86" s="47"/>
      <c r="V86" s="47"/>
      <c r="W86" s="48"/>
      <c r="X86" s="48"/>
      <c r="Y86" s="49"/>
      <c r="Z86" s="47">
        <f t="shared" si="1"/>
        <v>1897</v>
      </c>
      <c r="AA86" s="74" t="s">
        <v>190</v>
      </c>
      <c r="AB86" s="5"/>
      <c r="AC86" s="5"/>
      <c r="AD86" s="5"/>
      <c r="AE86" s="5"/>
      <c r="AF86" s="5"/>
      <c r="AG86" s="5"/>
      <c r="AH86" s="5"/>
      <c r="AI86" s="5"/>
      <c r="AJ86" s="5"/>
    </row>
    <row r="87">
      <c r="A87" s="43"/>
      <c r="B87" s="44">
        <v>80.0</v>
      </c>
      <c r="C87" s="51"/>
      <c r="D87" s="45" t="s">
        <v>191</v>
      </c>
      <c r="E87" s="53">
        <v>3082.0</v>
      </c>
      <c r="F87" s="44">
        <v>394.0</v>
      </c>
      <c r="G87" s="47"/>
      <c r="H87" s="44">
        <v>746.0</v>
      </c>
      <c r="I87" s="47"/>
      <c r="J87" s="47"/>
      <c r="K87" s="47"/>
      <c r="L87" s="47"/>
      <c r="M87" s="47"/>
      <c r="N87" s="47"/>
      <c r="O87" s="47"/>
      <c r="P87" s="47"/>
      <c r="Q87" s="47"/>
      <c r="R87" s="44">
        <v>341.0</v>
      </c>
      <c r="S87" s="44">
        <v>12.0</v>
      </c>
      <c r="T87" s="47"/>
      <c r="U87" s="47"/>
      <c r="V87" s="47"/>
      <c r="W87" s="48"/>
      <c r="X87" s="48"/>
      <c r="Y87" s="49"/>
      <c r="Z87" s="47">
        <f t="shared" si="1"/>
        <v>4575</v>
      </c>
      <c r="AA87" s="64" t="s">
        <v>192</v>
      </c>
      <c r="AB87" s="5"/>
      <c r="AC87" s="5"/>
      <c r="AD87" s="5"/>
      <c r="AE87" s="5"/>
      <c r="AF87" s="5"/>
      <c r="AG87" s="5"/>
      <c r="AH87" s="5"/>
      <c r="AI87" s="5"/>
      <c r="AJ87" s="5"/>
    </row>
    <row r="88">
      <c r="A88" s="43"/>
      <c r="B88" s="44">
        <v>81.0</v>
      </c>
      <c r="C88" s="51"/>
      <c r="D88" s="45" t="s">
        <v>193</v>
      </c>
      <c r="E88" s="53">
        <v>4031.0</v>
      </c>
      <c r="F88" s="44">
        <v>41.0</v>
      </c>
      <c r="G88" s="47"/>
      <c r="H88" s="44">
        <v>79.0</v>
      </c>
      <c r="I88" s="47"/>
      <c r="J88" s="47"/>
      <c r="K88" s="47"/>
      <c r="L88" s="47"/>
      <c r="M88" s="47"/>
      <c r="N88" s="47"/>
      <c r="O88" s="47"/>
      <c r="P88" s="47"/>
      <c r="Q88" s="44">
        <v>9.0</v>
      </c>
      <c r="R88" s="44">
        <v>115.0</v>
      </c>
      <c r="S88" s="44">
        <v>73.0</v>
      </c>
      <c r="T88" s="47"/>
      <c r="U88" s="47"/>
      <c r="V88" s="47"/>
      <c r="W88" s="48"/>
      <c r="X88" s="48"/>
      <c r="Y88" s="49"/>
      <c r="Z88" s="47">
        <f t="shared" si="1"/>
        <v>4348</v>
      </c>
      <c r="AA88" s="86" t="s">
        <v>193</v>
      </c>
      <c r="AB88" s="5"/>
      <c r="AC88" s="5"/>
      <c r="AD88" s="5"/>
      <c r="AE88" s="5"/>
      <c r="AF88" s="5"/>
      <c r="AG88" s="5"/>
      <c r="AH88" s="5"/>
      <c r="AI88" s="5"/>
      <c r="AJ88" s="5"/>
    </row>
    <row r="89">
      <c r="A89" s="43"/>
      <c r="B89" s="44">
        <v>82.0</v>
      </c>
      <c r="C89" s="51"/>
      <c r="D89" s="45" t="s">
        <v>194</v>
      </c>
      <c r="E89" s="53">
        <v>802.0</v>
      </c>
      <c r="F89" s="44">
        <v>2.0</v>
      </c>
      <c r="G89" s="47"/>
      <c r="H89" s="44">
        <v>46.0</v>
      </c>
      <c r="I89" s="44">
        <v>10.0</v>
      </c>
      <c r="J89" s="47"/>
      <c r="K89" s="47"/>
      <c r="L89" s="44">
        <v>101.0</v>
      </c>
      <c r="M89" s="47"/>
      <c r="N89" s="47"/>
      <c r="O89" s="44"/>
      <c r="P89" s="44"/>
      <c r="Q89" s="44">
        <v>93.0</v>
      </c>
      <c r="R89" s="44">
        <v>20.0</v>
      </c>
      <c r="S89" s="44">
        <v>57.0</v>
      </c>
      <c r="T89" s="47"/>
      <c r="U89" s="44">
        <v>48.0</v>
      </c>
      <c r="V89" s="47"/>
      <c r="W89" s="48"/>
      <c r="X89" s="48"/>
      <c r="Y89" s="49"/>
      <c r="Z89" s="47">
        <f t="shared" si="1"/>
        <v>1179</v>
      </c>
      <c r="AA89" s="64" t="s">
        <v>195</v>
      </c>
      <c r="AB89" s="5"/>
      <c r="AC89" s="5"/>
      <c r="AD89" s="5"/>
      <c r="AE89" s="5"/>
      <c r="AF89" s="5"/>
      <c r="AG89" s="5"/>
      <c r="AH89" s="5"/>
      <c r="AI89" s="5"/>
      <c r="AJ89" s="5"/>
    </row>
    <row r="90">
      <c r="A90" s="43"/>
      <c r="B90" s="44">
        <v>83.0</v>
      </c>
      <c r="C90" s="51"/>
      <c r="D90" s="45" t="s">
        <v>196</v>
      </c>
      <c r="E90" s="53">
        <v>657.0</v>
      </c>
      <c r="F90" s="44">
        <v>0.0</v>
      </c>
      <c r="G90" s="47"/>
      <c r="H90" s="44">
        <v>94.0</v>
      </c>
      <c r="I90" s="47"/>
      <c r="J90" s="47"/>
      <c r="K90" s="47"/>
      <c r="L90" s="44"/>
      <c r="M90" s="44">
        <v>2.0</v>
      </c>
      <c r="N90" s="47"/>
      <c r="O90" s="47"/>
      <c r="P90" s="44"/>
      <c r="Q90" s="44">
        <v>33.0</v>
      </c>
      <c r="R90" s="44">
        <v>21.0</v>
      </c>
      <c r="S90" s="47"/>
      <c r="T90" s="47"/>
      <c r="U90" s="44">
        <v>9.0</v>
      </c>
      <c r="V90" s="47"/>
      <c r="W90" s="48"/>
      <c r="X90" s="48"/>
      <c r="Y90" s="49"/>
      <c r="Z90" s="47">
        <f t="shared" si="1"/>
        <v>816</v>
      </c>
      <c r="AA90" s="64" t="s">
        <v>197</v>
      </c>
      <c r="AB90" s="5"/>
      <c r="AC90" s="5"/>
      <c r="AD90" s="5"/>
      <c r="AE90" s="5"/>
      <c r="AF90" s="5"/>
      <c r="AG90" s="5"/>
      <c r="AH90" s="5"/>
      <c r="AI90" s="5"/>
      <c r="AJ90" s="5"/>
    </row>
    <row r="91">
      <c r="A91" s="43"/>
      <c r="B91" s="44">
        <v>84.0</v>
      </c>
      <c r="C91" s="51"/>
      <c r="D91" s="45" t="s">
        <v>198</v>
      </c>
      <c r="E91" s="53">
        <v>1343.0</v>
      </c>
      <c r="F91" s="44">
        <v>3.0</v>
      </c>
      <c r="G91" s="47"/>
      <c r="H91" s="44">
        <v>145.0</v>
      </c>
      <c r="I91" s="47"/>
      <c r="J91" s="47"/>
      <c r="K91" s="47"/>
      <c r="L91" s="47"/>
      <c r="M91" s="47"/>
      <c r="N91" s="47"/>
      <c r="O91" s="47"/>
      <c r="P91" s="44"/>
      <c r="Q91" s="44">
        <v>11.0</v>
      </c>
      <c r="R91" s="44">
        <v>223.0</v>
      </c>
      <c r="S91" s="47"/>
      <c r="T91" s="47"/>
      <c r="U91" s="44">
        <v>63.0</v>
      </c>
      <c r="V91" s="47"/>
      <c r="W91" s="48"/>
      <c r="X91" s="48"/>
      <c r="Y91" s="49"/>
      <c r="Z91" s="47">
        <f t="shared" si="1"/>
        <v>1788</v>
      </c>
      <c r="AA91" s="64" t="s">
        <v>199</v>
      </c>
      <c r="AB91" s="5"/>
      <c r="AC91" s="5"/>
      <c r="AD91" s="5"/>
      <c r="AE91" s="5"/>
      <c r="AF91" s="5"/>
      <c r="AG91" s="5"/>
      <c r="AH91" s="5"/>
      <c r="AI91" s="5"/>
      <c r="AJ91" s="5"/>
    </row>
    <row r="92">
      <c r="A92" s="43"/>
      <c r="B92" s="44">
        <v>85.0</v>
      </c>
      <c r="C92" s="51"/>
      <c r="D92" s="45" t="s">
        <v>200</v>
      </c>
      <c r="E92" s="53">
        <v>1091.0</v>
      </c>
      <c r="F92" s="44">
        <v>0.0</v>
      </c>
      <c r="G92" s="47"/>
      <c r="H92" s="44">
        <v>96.0</v>
      </c>
      <c r="I92" s="47"/>
      <c r="J92" s="47"/>
      <c r="K92" s="47"/>
      <c r="L92" s="47"/>
      <c r="M92" s="47"/>
      <c r="N92" s="47"/>
      <c r="O92" s="47"/>
      <c r="P92" s="47"/>
      <c r="Q92" s="47"/>
      <c r="R92" s="44">
        <v>125.0</v>
      </c>
      <c r="S92" s="47"/>
      <c r="T92" s="47"/>
      <c r="U92" s="47"/>
      <c r="V92" s="47"/>
      <c r="W92" s="48"/>
      <c r="X92" s="48"/>
      <c r="Y92" s="49"/>
      <c r="Z92" s="47">
        <f t="shared" si="1"/>
        <v>1312</v>
      </c>
      <c r="AA92" s="64" t="s">
        <v>201</v>
      </c>
      <c r="AB92" s="5"/>
      <c r="AC92" s="5"/>
      <c r="AD92" s="5"/>
      <c r="AE92" s="5"/>
      <c r="AF92" s="5"/>
      <c r="AG92" s="5"/>
      <c r="AH92" s="5"/>
      <c r="AI92" s="5"/>
      <c r="AJ92" s="5"/>
    </row>
    <row r="93">
      <c r="A93" s="43"/>
      <c r="B93" s="44">
        <v>86.0</v>
      </c>
      <c r="C93" s="51"/>
      <c r="D93" s="45" t="s">
        <v>202</v>
      </c>
      <c r="E93" s="53">
        <v>2766.0</v>
      </c>
      <c r="F93" s="44">
        <v>47.0</v>
      </c>
      <c r="G93" s="44"/>
      <c r="H93" s="44">
        <v>93.0</v>
      </c>
      <c r="I93" s="47"/>
      <c r="J93" s="47"/>
      <c r="K93" s="47"/>
      <c r="L93" s="44">
        <v>1.0</v>
      </c>
      <c r="M93" s="47"/>
      <c r="N93" s="47"/>
      <c r="O93" s="47"/>
      <c r="P93" s="44"/>
      <c r="Q93" s="44">
        <v>123.0</v>
      </c>
      <c r="R93" s="44">
        <v>26.0</v>
      </c>
      <c r="S93" s="47"/>
      <c r="T93" s="47"/>
      <c r="U93" s="47"/>
      <c r="V93" s="47"/>
      <c r="W93" s="48"/>
      <c r="X93" s="48"/>
      <c r="Y93" s="49"/>
      <c r="Z93" s="47">
        <f t="shared" si="1"/>
        <v>3056</v>
      </c>
      <c r="AA93" s="63" t="s">
        <v>202</v>
      </c>
      <c r="AB93" s="5"/>
      <c r="AC93" s="5"/>
      <c r="AD93" s="5"/>
      <c r="AE93" s="5"/>
      <c r="AF93" s="5"/>
      <c r="AG93" s="5"/>
      <c r="AH93" s="5"/>
      <c r="AI93" s="5"/>
      <c r="AJ93" s="5"/>
    </row>
    <row r="94">
      <c r="A94" s="43"/>
      <c r="B94" s="44">
        <v>87.0</v>
      </c>
      <c r="C94" s="51"/>
      <c r="D94" s="45" t="s">
        <v>203</v>
      </c>
      <c r="E94" s="53">
        <v>1789.0</v>
      </c>
      <c r="F94" s="44">
        <v>5.0</v>
      </c>
      <c r="G94" s="44"/>
      <c r="H94" s="44">
        <v>127.0</v>
      </c>
      <c r="I94" s="47"/>
      <c r="J94" s="47"/>
      <c r="K94" s="47"/>
      <c r="L94" s="44">
        <v>65.0</v>
      </c>
      <c r="M94" s="44">
        <v>136.0</v>
      </c>
      <c r="N94" s="75"/>
      <c r="O94" s="75"/>
      <c r="P94" s="47"/>
      <c r="Q94" s="44">
        <v>49.0</v>
      </c>
      <c r="R94" s="47"/>
      <c r="S94" s="47"/>
      <c r="T94" s="47"/>
      <c r="U94" s="44">
        <v>1.0</v>
      </c>
      <c r="V94" s="47"/>
      <c r="W94" s="48"/>
      <c r="X94" s="48"/>
      <c r="Y94" s="49"/>
      <c r="Z94" s="47">
        <f t="shared" si="1"/>
        <v>2172</v>
      </c>
      <c r="AA94" s="63" t="s">
        <v>204</v>
      </c>
      <c r="AB94" s="5"/>
      <c r="AC94" s="5"/>
      <c r="AD94" s="5"/>
      <c r="AE94" s="5"/>
      <c r="AF94" s="5"/>
      <c r="AG94" s="5"/>
      <c r="AH94" s="5"/>
      <c r="AI94" s="5"/>
      <c r="AJ94" s="5"/>
    </row>
    <row r="95">
      <c r="A95" s="43"/>
      <c r="B95" s="44">
        <v>88.0</v>
      </c>
      <c r="C95" s="51"/>
      <c r="D95" s="45" t="s">
        <v>205</v>
      </c>
      <c r="E95" s="53">
        <v>1077.0</v>
      </c>
      <c r="F95" s="44">
        <v>228.0</v>
      </c>
      <c r="G95" s="44"/>
      <c r="H95" s="44">
        <v>163.0</v>
      </c>
      <c r="I95" s="47"/>
      <c r="J95" s="47"/>
      <c r="K95" s="47"/>
      <c r="L95" s="47"/>
      <c r="M95" s="44">
        <v>3.0</v>
      </c>
      <c r="N95" s="47"/>
      <c r="O95" s="47"/>
      <c r="P95" s="44"/>
      <c r="Q95" s="44"/>
      <c r="R95" s="44">
        <v>60.0</v>
      </c>
      <c r="S95" s="47"/>
      <c r="T95" s="47"/>
      <c r="U95" s="47"/>
      <c r="V95" s="47"/>
      <c r="W95" s="48"/>
      <c r="X95" s="48"/>
      <c r="Y95" s="49"/>
      <c r="Z95" s="47">
        <f t="shared" si="1"/>
        <v>1531</v>
      </c>
      <c r="AA95" s="62" t="s">
        <v>205</v>
      </c>
      <c r="AB95" s="5"/>
      <c r="AC95" s="5"/>
      <c r="AD95" s="5"/>
      <c r="AE95" s="5"/>
      <c r="AF95" s="5"/>
      <c r="AG95" s="5"/>
      <c r="AH95" s="5"/>
      <c r="AI95" s="5"/>
      <c r="AJ95" s="5"/>
    </row>
    <row r="96">
      <c r="A96" s="43"/>
      <c r="B96" s="44">
        <v>89.0</v>
      </c>
      <c r="C96" s="51"/>
      <c r="D96" s="45" t="s">
        <v>206</v>
      </c>
      <c r="E96" s="53">
        <v>7575.0</v>
      </c>
      <c r="F96" s="44">
        <v>175.0</v>
      </c>
      <c r="G96" s="47"/>
      <c r="H96" s="44">
        <v>823.0</v>
      </c>
      <c r="I96" s="47"/>
      <c r="J96" s="47"/>
      <c r="K96" s="47"/>
      <c r="L96" s="47"/>
      <c r="M96" s="44">
        <v>23.0</v>
      </c>
      <c r="N96" s="47"/>
      <c r="O96" s="47"/>
      <c r="P96" s="47"/>
      <c r="Q96" s="47"/>
      <c r="R96" s="44">
        <v>2249.0</v>
      </c>
      <c r="S96" s="44">
        <v>3.0</v>
      </c>
      <c r="T96" s="47"/>
      <c r="U96" s="47"/>
      <c r="V96" s="47"/>
      <c r="W96" s="48"/>
      <c r="X96" s="48"/>
      <c r="Y96" s="49"/>
      <c r="Z96" s="47">
        <f t="shared" si="1"/>
        <v>10848</v>
      </c>
      <c r="AA96" s="58" t="s">
        <v>207</v>
      </c>
      <c r="AB96" s="5"/>
      <c r="AC96" s="26" t="s">
        <v>208</v>
      </c>
      <c r="AD96" s="5"/>
      <c r="AE96" s="5"/>
      <c r="AF96" s="5"/>
      <c r="AG96" s="5"/>
      <c r="AH96" s="5"/>
      <c r="AI96" s="5"/>
      <c r="AJ96" s="5"/>
    </row>
    <row r="97">
      <c r="A97" s="43"/>
      <c r="B97" s="44">
        <v>90.0</v>
      </c>
      <c r="C97" s="51"/>
      <c r="D97" s="45" t="s">
        <v>209</v>
      </c>
      <c r="E97" s="53">
        <v>14960.0</v>
      </c>
      <c r="F97" s="44">
        <v>725.0</v>
      </c>
      <c r="G97" s="47"/>
      <c r="H97" s="44">
        <v>1211.0</v>
      </c>
      <c r="I97" s="47"/>
      <c r="J97" s="47"/>
      <c r="K97" s="47"/>
      <c r="L97" s="44">
        <v>16.0</v>
      </c>
      <c r="M97" s="44">
        <v>50.0</v>
      </c>
      <c r="N97" s="47"/>
      <c r="O97" s="47"/>
      <c r="P97" s="44"/>
      <c r="Q97" s="44"/>
      <c r="R97" s="44">
        <v>40.0</v>
      </c>
      <c r="S97" s="47"/>
      <c r="T97" s="47"/>
      <c r="U97" s="47"/>
      <c r="V97" s="47"/>
      <c r="W97" s="48"/>
      <c r="X97" s="48"/>
      <c r="Y97" s="49"/>
      <c r="Z97" s="47">
        <f t="shared" si="1"/>
        <v>17002</v>
      </c>
      <c r="AA97" s="87" t="s">
        <v>210</v>
      </c>
      <c r="AB97" s="5"/>
      <c r="AC97" s="5"/>
      <c r="AD97" s="5"/>
      <c r="AE97" s="5"/>
      <c r="AF97" s="5"/>
      <c r="AG97" s="5"/>
      <c r="AH97" s="5"/>
      <c r="AI97" s="5"/>
      <c r="AJ97" s="5"/>
    </row>
    <row r="98">
      <c r="A98" s="43"/>
      <c r="B98" s="44">
        <v>91.0</v>
      </c>
      <c r="C98" s="51"/>
      <c r="D98" s="45" t="s">
        <v>211</v>
      </c>
      <c r="E98" s="53">
        <v>1410.0</v>
      </c>
      <c r="F98" s="44">
        <v>159.0</v>
      </c>
      <c r="G98" s="47"/>
      <c r="H98" s="44">
        <v>380.0</v>
      </c>
      <c r="I98" s="47"/>
      <c r="J98" s="47"/>
      <c r="K98" s="47"/>
      <c r="L98" s="47"/>
      <c r="M98" s="47"/>
      <c r="N98" s="47"/>
      <c r="O98" s="47"/>
      <c r="P98" s="47"/>
      <c r="Q98" s="47"/>
      <c r="R98" s="44">
        <v>310.0</v>
      </c>
      <c r="S98" s="47"/>
      <c r="T98" s="47"/>
      <c r="U98" s="47"/>
      <c r="V98" s="47"/>
      <c r="W98" s="48"/>
      <c r="X98" s="48"/>
      <c r="Y98" s="49"/>
      <c r="Z98" s="47">
        <f t="shared" si="1"/>
        <v>2259</v>
      </c>
      <c r="AA98" s="87" t="s">
        <v>212</v>
      </c>
      <c r="AB98" s="5"/>
      <c r="AC98" s="5"/>
      <c r="AD98" s="5"/>
      <c r="AE98" s="5"/>
      <c r="AF98" s="5"/>
      <c r="AG98" s="5"/>
      <c r="AH98" s="5"/>
      <c r="AI98" s="5"/>
      <c r="AJ98" s="5"/>
    </row>
    <row r="99">
      <c r="A99" s="43"/>
      <c r="B99" s="44">
        <v>92.0</v>
      </c>
      <c r="C99" s="45" t="s">
        <v>213</v>
      </c>
      <c r="D99" s="45" t="s">
        <v>214</v>
      </c>
      <c r="E99" s="53">
        <v>334.0</v>
      </c>
      <c r="F99" s="44"/>
      <c r="G99" s="47"/>
      <c r="H99" s="47"/>
      <c r="I99" s="44">
        <v>1.0</v>
      </c>
      <c r="J99" s="47"/>
      <c r="K99" s="47"/>
      <c r="L99" s="47"/>
      <c r="M99" s="47"/>
      <c r="N99" s="47"/>
      <c r="O99" s="47"/>
      <c r="P99" s="47"/>
      <c r="Q99" s="47"/>
      <c r="R99" s="44">
        <v>154.0</v>
      </c>
      <c r="S99" s="44">
        <v>24.0</v>
      </c>
      <c r="T99" s="47"/>
      <c r="U99" s="44">
        <v>6318.0</v>
      </c>
      <c r="V99" s="47"/>
      <c r="W99" s="48"/>
      <c r="X99" s="48"/>
      <c r="Y99" s="49"/>
      <c r="Z99" s="47">
        <f t="shared" si="1"/>
        <v>6831</v>
      </c>
      <c r="AA99" s="76" t="s">
        <v>215</v>
      </c>
      <c r="AB99" s="5"/>
      <c r="AC99" s="26" t="s">
        <v>216</v>
      </c>
      <c r="AD99" s="5"/>
      <c r="AE99" s="5"/>
      <c r="AF99" s="5"/>
      <c r="AG99" s="5"/>
      <c r="AH99" s="5"/>
      <c r="AI99" s="5"/>
      <c r="AJ99" s="5"/>
    </row>
    <row r="100">
      <c r="A100" s="43"/>
      <c r="B100" s="44">
        <v>93.0</v>
      </c>
      <c r="C100" s="45"/>
      <c r="D100" s="45" t="s">
        <v>217</v>
      </c>
      <c r="E100" s="53">
        <v>454.0</v>
      </c>
      <c r="F100" s="44">
        <v>46.0</v>
      </c>
      <c r="G100" s="47"/>
      <c r="H100" s="44">
        <v>4.0</v>
      </c>
      <c r="I100" s="47"/>
      <c r="J100" s="47"/>
      <c r="K100" s="47"/>
      <c r="L100" s="47"/>
      <c r="M100" s="44">
        <v>39.0</v>
      </c>
      <c r="N100" s="47"/>
      <c r="O100" s="47"/>
      <c r="P100" s="47"/>
      <c r="Q100" s="47"/>
      <c r="R100" s="44">
        <v>595.0</v>
      </c>
      <c r="S100" s="44">
        <v>530.0</v>
      </c>
      <c r="T100" s="47"/>
      <c r="U100" s="44">
        <v>11980.0</v>
      </c>
      <c r="V100" s="47"/>
      <c r="W100" s="48"/>
      <c r="X100" s="48"/>
      <c r="Y100" s="49"/>
      <c r="Z100" s="47">
        <f t="shared" si="1"/>
        <v>13648</v>
      </c>
      <c r="AA100" s="80" t="s">
        <v>218</v>
      </c>
      <c r="AB100" s="5"/>
      <c r="AC100" s="5"/>
      <c r="AD100" s="5"/>
      <c r="AE100" s="5"/>
      <c r="AF100" s="5"/>
      <c r="AG100" s="5"/>
      <c r="AH100" s="5"/>
      <c r="AI100" s="5"/>
      <c r="AJ100" s="5"/>
    </row>
    <row r="101">
      <c r="A101" s="43"/>
      <c r="B101" s="44">
        <v>94.0</v>
      </c>
      <c r="C101" s="51"/>
      <c r="D101" s="45" t="s">
        <v>219</v>
      </c>
      <c r="E101" s="53">
        <v>209.0</v>
      </c>
      <c r="F101" s="44">
        <v>196.0</v>
      </c>
      <c r="G101" s="47"/>
      <c r="H101" s="44">
        <v>2.0</v>
      </c>
      <c r="I101" s="47"/>
      <c r="J101" s="47"/>
      <c r="K101" s="47"/>
      <c r="L101" s="47"/>
      <c r="M101" s="47"/>
      <c r="N101" s="47"/>
      <c r="O101" s="47"/>
      <c r="P101" s="47"/>
      <c r="Q101" s="47"/>
      <c r="R101" s="44">
        <v>117.0</v>
      </c>
      <c r="S101" s="44">
        <v>78.0</v>
      </c>
      <c r="T101" s="47"/>
      <c r="U101" s="44">
        <v>4933.0</v>
      </c>
      <c r="V101" s="47"/>
      <c r="W101" s="48"/>
      <c r="X101" s="48"/>
      <c r="Y101" s="49"/>
      <c r="Z101" s="47">
        <f t="shared" si="1"/>
        <v>5535</v>
      </c>
      <c r="AA101" s="76" t="s">
        <v>220</v>
      </c>
      <c r="AB101" s="5"/>
      <c r="AC101" s="5"/>
      <c r="AD101" s="5"/>
      <c r="AE101" s="5"/>
      <c r="AF101" s="5"/>
      <c r="AG101" s="5"/>
      <c r="AH101" s="5"/>
      <c r="AI101" s="5"/>
      <c r="AJ101" s="5"/>
    </row>
    <row r="102">
      <c r="A102" s="88"/>
      <c r="B102" s="89">
        <v>95.0</v>
      </c>
      <c r="C102" s="90"/>
      <c r="D102" s="45" t="s">
        <v>221</v>
      </c>
      <c r="E102" s="53">
        <v>66.0</v>
      </c>
      <c r="F102" s="89">
        <v>2.0</v>
      </c>
      <c r="G102" s="91"/>
      <c r="H102" s="89">
        <v>2.0</v>
      </c>
      <c r="I102" s="91"/>
      <c r="J102" s="91"/>
      <c r="K102" s="91"/>
      <c r="L102" s="91"/>
      <c r="M102" s="89">
        <v>10.0</v>
      </c>
      <c r="N102" s="91"/>
      <c r="O102" s="91"/>
      <c r="P102" s="91"/>
      <c r="Q102" s="91"/>
      <c r="R102" s="89">
        <v>15.0</v>
      </c>
      <c r="S102" s="89">
        <v>8.0</v>
      </c>
      <c r="T102" s="91"/>
      <c r="U102" s="89">
        <v>2630.0</v>
      </c>
      <c r="V102" s="91"/>
      <c r="W102" s="92"/>
      <c r="X102" s="92"/>
      <c r="Y102" s="93"/>
      <c r="Z102" s="47">
        <f t="shared" si="1"/>
        <v>2733</v>
      </c>
      <c r="AA102" s="94" t="s">
        <v>222</v>
      </c>
      <c r="AB102" s="95" t="s">
        <v>223</v>
      </c>
      <c r="AC102" s="96" t="s">
        <v>224</v>
      </c>
      <c r="AD102" s="97"/>
      <c r="AE102" s="97"/>
      <c r="AF102" s="97"/>
      <c r="AG102" s="97"/>
      <c r="AH102" s="97"/>
      <c r="AI102" s="97"/>
      <c r="AJ102" s="97"/>
    </row>
    <row r="103">
      <c r="A103" s="88"/>
      <c r="B103" s="89">
        <v>96.0</v>
      </c>
      <c r="C103" s="90"/>
      <c r="D103" s="45" t="s">
        <v>225</v>
      </c>
      <c r="E103" s="53">
        <v>70.0</v>
      </c>
      <c r="F103" s="89">
        <v>3.0</v>
      </c>
      <c r="G103" s="91"/>
      <c r="H103" s="89">
        <v>1.0</v>
      </c>
      <c r="I103" s="91"/>
      <c r="J103" s="91"/>
      <c r="K103" s="91"/>
      <c r="L103" s="91"/>
      <c r="M103" s="91"/>
      <c r="N103" s="91"/>
      <c r="O103" s="91"/>
      <c r="P103" s="89"/>
      <c r="Q103" s="89"/>
      <c r="R103" s="89">
        <v>42.0</v>
      </c>
      <c r="S103" s="89">
        <v>14.0</v>
      </c>
      <c r="T103" s="91"/>
      <c r="U103" s="89">
        <v>2855.0</v>
      </c>
      <c r="V103" s="91"/>
      <c r="W103" s="92"/>
      <c r="X103" s="98" t="s">
        <v>226</v>
      </c>
      <c r="Y103" s="99">
        <v>1.68</v>
      </c>
      <c r="Z103" s="47">
        <f t="shared" si="1"/>
        <v>2985</v>
      </c>
      <c r="AA103" s="100" t="s">
        <v>227</v>
      </c>
      <c r="AB103" s="95" t="s">
        <v>223</v>
      </c>
      <c r="AC103" s="101"/>
      <c r="AD103" s="97"/>
      <c r="AE103" s="97"/>
      <c r="AF103" s="97"/>
      <c r="AG103" s="97"/>
      <c r="AH103" s="97"/>
      <c r="AI103" s="97"/>
      <c r="AJ103" s="97"/>
    </row>
    <row r="104">
      <c r="A104" s="88"/>
      <c r="B104" s="89">
        <v>97.0</v>
      </c>
      <c r="C104" s="90"/>
      <c r="D104" s="45" t="s">
        <v>228</v>
      </c>
      <c r="E104" s="53">
        <v>155.0</v>
      </c>
      <c r="F104" s="89">
        <v>4.0</v>
      </c>
      <c r="G104" s="91"/>
      <c r="H104" s="89">
        <v>12.0</v>
      </c>
      <c r="I104" s="91"/>
      <c r="J104" s="91"/>
      <c r="K104" s="91"/>
      <c r="L104" s="91"/>
      <c r="M104" s="91"/>
      <c r="N104" s="91"/>
      <c r="O104" s="91"/>
      <c r="P104" s="91"/>
      <c r="Q104" s="91"/>
      <c r="R104" s="89">
        <v>64.0</v>
      </c>
      <c r="S104" s="89">
        <v>3.0</v>
      </c>
      <c r="T104" s="91"/>
      <c r="U104" s="89">
        <v>1217.0</v>
      </c>
      <c r="V104" s="91"/>
      <c r="W104" s="92"/>
      <c r="X104" s="92"/>
      <c r="Y104" s="93"/>
      <c r="Z104" s="47">
        <f t="shared" si="1"/>
        <v>1455</v>
      </c>
      <c r="AA104" s="64" t="s">
        <v>229</v>
      </c>
      <c r="AB104" s="95" t="s">
        <v>230</v>
      </c>
      <c r="AC104" s="96" t="s">
        <v>231</v>
      </c>
      <c r="AD104" s="97"/>
      <c r="AE104" s="97"/>
      <c r="AF104" s="97"/>
      <c r="AG104" s="97"/>
      <c r="AH104" s="97"/>
      <c r="AI104" s="97"/>
      <c r="AJ104" s="97"/>
    </row>
    <row r="105">
      <c r="A105" s="43"/>
      <c r="B105" s="44">
        <v>98.0</v>
      </c>
      <c r="C105" s="51"/>
      <c r="D105" s="45" t="s">
        <v>232</v>
      </c>
      <c r="E105" s="53">
        <v>159.0</v>
      </c>
      <c r="F105" s="44">
        <v>20.0</v>
      </c>
      <c r="G105" s="47"/>
      <c r="H105" s="44">
        <v>2.0</v>
      </c>
      <c r="I105" s="47"/>
      <c r="J105" s="47"/>
      <c r="K105" s="47"/>
      <c r="L105" s="44">
        <v>9.0</v>
      </c>
      <c r="M105" s="47"/>
      <c r="N105" s="47"/>
      <c r="O105" s="47"/>
      <c r="P105" s="47"/>
      <c r="Q105" s="47"/>
      <c r="R105" s="44">
        <v>180.0</v>
      </c>
      <c r="S105" s="44">
        <v>10.0</v>
      </c>
      <c r="T105" s="47"/>
      <c r="U105" s="44">
        <v>2505.0</v>
      </c>
      <c r="V105" s="47"/>
      <c r="W105" s="48"/>
      <c r="X105" s="48"/>
      <c r="Y105" s="49"/>
      <c r="Z105" s="47">
        <f t="shared" si="1"/>
        <v>2885</v>
      </c>
      <c r="AA105" s="102" t="s">
        <v>233</v>
      </c>
      <c r="AB105" s="5"/>
      <c r="AC105" s="26" t="s">
        <v>234</v>
      </c>
      <c r="AD105" s="5"/>
      <c r="AE105" s="5"/>
      <c r="AF105" s="5"/>
      <c r="AG105" s="5"/>
      <c r="AH105" s="5"/>
      <c r="AI105" s="5"/>
      <c r="AJ105" s="5"/>
    </row>
    <row r="106">
      <c r="A106" s="43"/>
      <c r="B106" s="44">
        <v>99.0</v>
      </c>
      <c r="C106" s="51"/>
      <c r="D106" s="45" t="s">
        <v>235</v>
      </c>
      <c r="E106" s="53">
        <v>379.0</v>
      </c>
      <c r="F106" s="44">
        <v>0.0</v>
      </c>
      <c r="G106" s="47"/>
      <c r="H106" s="44">
        <v>1.0</v>
      </c>
      <c r="I106" s="47"/>
      <c r="J106" s="47"/>
      <c r="K106" s="47"/>
      <c r="L106" s="47"/>
      <c r="M106" s="44">
        <v>10.0</v>
      </c>
      <c r="N106" s="47"/>
      <c r="O106" s="47"/>
      <c r="P106" s="44"/>
      <c r="Q106" s="44">
        <v>16.0</v>
      </c>
      <c r="R106" s="44">
        <v>272.0</v>
      </c>
      <c r="S106" s="44">
        <v>6.0</v>
      </c>
      <c r="T106" s="47"/>
      <c r="U106" s="44">
        <v>2621.0</v>
      </c>
      <c r="V106" s="47"/>
      <c r="W106" s="48"/>
      <c r="X106" s="54" t="s">
        <v>236</v>
      </c>
      <c r="Y106" s="55">
        <v>1.05</v>
      </c>
      <c r="Z106" s="47">
        <f t="shared" si="1"/>
        <v>3305</v>
      </c>
      <c r="AA106" s="102" t="s">
        <v>237</v>
      </c>
      <c r="AB106" s="5"/>
      <c r="AC106" s="26" t="s">
        <v>234</v>
      </c>
      <c r="AD106" s="5"/>
      <c r="AE106" s="5"/>
      <c r="AF106" s="5"/>
      <c r="AG106" s="5"/>
      <c r="AH106" s="5"/>
      <c r="AI106" s="5"/>
      <c r="AJ106" s="5"/>
    </row>
    <row r="107">
      <c r="A107" s="43"/>
      <c r="B107" s="44">
        <v>100.0</v>
      </c>
      <c r="C107" s="51"/>
      <c r="D107" s="45" t="s">
        <v>238</v>
      </c>
      <c r="E107" s="53">
        <v>695.0</v>
      </c>
      <c r="F107" s="44">
        <v>33.0</v>
      </c>
      <c r="G107" s="47"/>
      <c r="H107" s="44">
        <v>1.0</v>
      </c>
      <c r="I107" s="47"/>
      <c r="J107" s="47"/>
      <c r="K107" s="47"/>
      <c r="L107" s="47"/>
      <c r="M107" s="44">
        <v>66.0</v>
      </c>
      <c r="N107" s="47"/>
      <c r="O107" s="47"/>
      <c r="P107" s="44"/>
      <c r="Q107" s="44">
        <v>527.0</v>
      </c>
      <c r="R107" s="44">
        <v>1194.0</v>
      </c>
      <c r="S107" s="44">
        <v>29.0</v>
      </c>
      <c r="T107" s="47"/>
      <c r="U107" s="44">
        <v>3342.0</v>
      </c>
      <c r="V107" s="47"/>
      <c r="W107" s="48"/>
      <c r="X107" s="54" t="s">
        <v>239</v>
      </c>
      <c r="Y107" s="55">
        <v>56.111</v>
      </c>
      <c r="Z107" s="47">
        <f t="shared" si="1"/>
        <v>5887</v>
      </c>
      <c r="AA107" s="85" t="s">
        <v>240</v>
      </c>
      <c r="AB107" s="5"/>
      <c r="AC107" s="26" t="s">
        <v>234</v>
      </c>
      <c r="AD107" s="5"/>
      <c r="AE107" s="5"/>
      <c r="AF107" s="5"/>
      <c r="AG107" s="5"/>
      <c r="AH107" s="5"/>
      <c r="AI107" s="5"/>
      <c r="AJ107" s="5"/>
    </row>
    <row r="108">
      <c r="A108" s="43"/>
      <c r="B108" s="44">
        <v>101.0</v>
      </c>
      <c r="C108" s="51"/>
      <c r="D108" s="45" t="s">
        <v>241</v>
      </c>
      <c r="E108" s="53">
        <v>90.0</v>
      </c>
      <c r="F108" s="44">
        <v>72.0</v>
      </c>
      <c r="G108" s="47"/>
      <c r="H108" s="47"/>
      <c r="I108" s="44">
        <v>3.0</v>
      </c>
      <c r="J108" s="47"/>
      <c r="K108" s="47"/>
      <c r="L108" s="44">
        <v>238.0</v>
      </c>
      <c r="M108" s="47"/>
      <c r="N108" s="47"/>
      <c r="O108" s="47"/>
      <c r="P108" s="47"/>
      <c r="Q108" s="47"/>
      <c r="R108" s="44">
        <v>43.0</v>
      </c>
      <c r="S108" s="44">
        <v>28.0</v>
      </c>
      <c r="T108" s="47"/>
      <c r="U108" s="44">
        <v>1727.0</v>
      </c>
      <c r="V108" s="47"/>
      <c r="W108" s="48"/>
      <c r="X108" s="48"/>
      <c r="Y108" s="49"/>
      <c r="Z108" s="47">
        <f t="shared" si="1"/>
        <v>2201</v>
      </c>
      <c r="AA108" s="62" t="s">
        <v>242</v>
      </c>
      <c r="AB108" s="5"/>
      <c r="AC108" s="5"/>
      <c r="AD108" s="5"/>
      <c r="AE108" s="5"/>
      <c r="AF108" s="5"/>
      <c r="AG108" s="5"/>
      <c r="AH108" s="5"/>
      <c r="AI108" s="5"/>
      <c r="AJ108" s="5"/>
    </row>
    <row r="109">
      <c r="A109" s="43"/>
      <c r="B109" s="44">
        <v>102.0</v>
      </c>
      <c r="C109" s="51"/>
      <c r="D109" s="45" t="s">
        <v>243</v>
      </c>
      <c r="E109" s="53">
        <v>1292.0</v>
      </c>
      <c r="F109" s="44">
        <v>233.0</v>
      </c>
      <c r="G109" s="47"/>
      <c r="H109" s="44">
        <v>41.0</v>
      </c>
      <c r="I109" s="47"/>
      <c r="J109" s="47"/>
      <c r="K109" s="47"/>
      <c r="L109" s="47"/>
      <c r="M109" s="44">
        <v>19.0</v>
      </c>
      <c r="N109" s="47"/>
      <c r="O109" s="47"/>
      <c r="P109" s="47"/>
      <c r="Q109" s="47"/>
      <c r="R109" s="44">
        <v>58.0</v>
      </c>
      <c r="S109" s="44">
        <v>33.0</v>
      </c>
      <c r="T109" s="47"/>
      <c r="U109" s="44">
        <v>1448.0</v>
      </c>
      <c r="V109" s="47"/>
      <c r="W109" s="48"/>
      <c r="X109" s="48"/>
      <c r="Y109" s="49"/>
      <c r="Z109" s="47">
        <f t="shared" si="1"/>
        <v>3124</v>
      </c>
      <c r="AA109" s="65" t="s">
        <v>244</v>
      </c>
      <c r="AB109" s="5"/>
      <c r="AC109" s="5"/>
      <c r="AD109" s="5"/>
      <c r="AE109" s="5"/>
      <c r="AF109" s="5"/>
      <c r="AG109" s="5"/>
      <c r="AH109" s="5"/>
      <c r="AI109" s="5"/>
      <c r="AJ109" s="5"/>
    </row>
    <row r="110">
      <c r="A110" s="43"/>
      <c r="B110" s="44">
        <v>103.0</v>
      </c>
      <c r="C110" s="51"/>
      <c r="D110" s="45" t="s">
        <v>245</v>
      </c>
      <c r="E110" s="53">
        <v>251.0</v>
      </c>
      <c r="F110" s="44">
        <v>16.0</v>
      </c>
      <c r="G110" s="47"/>
      <c r="H110" s="44">
        <v>23.0</v>
      </c>
      <c r="I110" s="47"/>
      <c r="J110" s="47"/>
      <c r="K110" s="47"/>
      <c r="L110" s="47"/>
      <c r="M110" s="44">
        <v>39.0</v>
      </c>
      <c r="N110" s="47"/>
      <c r="O110" s="47"/>
      <c r="P110" s="47"/>
      <c r="Q110" s="47"/>
      <c r="R110" s="44">
        <v>188.0</v>
      </c>
      <c r="S110" s="44">
        <v>51.0</v>
      </c>
      <c r="T110" s="47"/>
      <c r="U110" s="44">
        <v>2129.0</v>
      </c>
      <c r="V110" s="47"/>
      <c r="W110" s="48"/>
      <c r="X110" s="48"/>
      <c r="Y110" s="49"/>
      <c r="Z110" s="47">
        <f t="shared" si="1"/>
        <v>2697</v>
      </c>
      <c r="AA110" s="65" t="s">
        <v>246</v>
      </c>
      <c r="AB110" s="5"/>
      <c r="AC110" s="5"/>
      <c r="AD110" s="5"/>
      <c r="AE110" s="5"/>
      <c r="AF110" s="5"/>
      <c r="AG110" s="5"/>
      <c r="AH110" s="5"/>
      <c r="AI110" s="5"/>
      <c r="AJ110" s="5"/>
    </row>
    <row r="111">
      <c r="A111" s="43"/>
      <c r="B111" s="44">
        <v>104.0</v>
      </c>
      <c r="C111" s="51"/>
      <c r="D111" s="45" t="s">
        <v>247</v>
      </c>
      <c r="E111" s="53">
        <v>1322.0</v>
      </c>
      <c r="F111" s="44">
        <v>140.0</v>
      </c>
      <c r="G111" s="47"/>
      <c r="H111" s="44">
        <v>17.0</v>
      </c>
      <c r="I111" s="47"/>
      <c r="J111" s="47"/>
      <c r="K111" s="47"/>
      <c r="L111" s="47"/>
      <c r="M111" s="44">
        <v>2.0</v>
      </c>
      <c r="N111" s="47"/>
      <c r="O111" s="47"/>
      <c r="P111" s="44"/>
      <c r="Q111" s="44"/>
      <c r="R111" s="44">
        <v>39.0</v>
      </c>
      <c r="S111" s="44">
        <v>3.0</v>
      </c>
      <c r="T111" s="47"/>
      <c r="U111" s="44">
        <v>1276.0</v>
      </c>
      <c r="V111" s="47"/>
      <c r="W111" s="48"/>
      <c r="X111" s="48"/>
      <c r="Y111" s="49"/>
      <c r="Z111" s="47">
        <f t="shared" si="1"/>
        <v>2799</v>
      </c>
      <c r="AA111" s="103" t="s">
        <v>248</v>
      </c>
      <c r="AB111" s="5"/>
      <c r="AC111" s="5"/>
      <c r="AD111" s="5"/>
      <c r="AE111" s="5"/>
      <c r="AF111" s="5"/>
      <c r="AG111" s="5"/>
      <c r="AH111" s="5"/>
      <c r="AI111" s="5"/>
      <c r="AJ111" s="5"/>
    </row>
    <row r="112">
      <c r="A112" s="43" t="s">
        <v>1</v>
      </c>
      <c r="B112" s="44">
        <v>105.0</v>
      </c>
      <c r="C112" s="51"/>
      <c r="D112" s="45" t="s">
        <v>249</v>
      </c>
      <c r="E112" s="53">
        <v>841.0</v>
      </c>
      <c r="F112" s="44">
        <v>98.0</v>
      </c>
      <c r="G112" s="47"/>
      <c r="H112" s="47"/>
      <c r="I112" s="47"/>
      <c r="J112" s="47"/>
      <c r="K112" s="47"/>
      <c r="L112" s="47"/>
      <c r="M112" s="47"/>
      <c r="N112" s="47"/>
      <c r="O112" s="44"/>
      <c r="P112" s="47"/>
      <c r="Q112" s="44">
        <v>50.0</v>
      </c>
      <c r="R112" s="44">
        <v>119.0</v>
      </c>
      <c r="S112" s="44">
        <v>29.0</v>
      </c>
      <c r="T112" s="44"/>
      <c r="U112" s="44">
        <v>3062.0</v>
      </c>
      <c r="V112" s="47"/>
      <c r="W112" s="48"/>
      <c r="X112" s="48"/>
      <c r="Y112" s="49"/>
      <c r="Z112" s="47">
        <f t="shared" si="1"/>
        <v>4199</v>
      </c>
      <c r="AA112" s="73" t="s">
        <v>250</v>
      </c>
      <c r="AB112" s="5"/>
      <c r="AC112" s="69" t="s">
        <v>251</v>
      </c>
      <c r="AD112" s="5"/>
      <c r="AE112" s="5"/>
      <c r="AF112" s="5"/>
      <c r="AG112" s="5"/>
      <c r="AH112" s="5"/>
      <c r="AI112" s="5"/>
      <c r="AJ112" s="5"/>
    </row>
    <row r="113">
      <c r="A113" s="43"/>
      <c r="B113" s="44">
        <v>106.0</v>
      </c>
      <c r="C113" s="51"/>
      <c r="D113" s="45" t="s">
        <v>252</v>
      </c>
      <c r="E113" s="53">
        <v>264.0</v>
      </c>
      <c r="F113" s="44">
        <v>769.0</v>
      </c>
      <c r="G113" s="47"/>
      <c r="H113" s="47"/>
      <c r="I113" s="47"/>
      <c r="J113" s="47"/>
      <c r="K113" s="47"/>
      <c r="L113" s="44"/>
      <c r="M113" s="44"/>
      <c r="N113" s="47"/>
      <c r="O113" s="44"/>
      <c r="P113" s="47"/>
      <c r="Q113" s="44">
        <v>104.0</v>
      </c>
      <c r="R113" s="44">
        <v>90.0</v>
      </c>
      <c r="S113" s="44">
        <v>17.0</v>
      </c>
      <c r="T113" s="47"/>
      <c r="U113" s="44">
        <v>10727.0</v>
      </c>
      <c r="V113" s="47"/>
      <c r="W113" s="48"/>
      <c r="X113" s="48"/>
      <c r="Y113" s="49"/>
      <c r="Z113" s="47">
        <f t="shared" si="1"/>
        <v>11971</v>
      </c>
      <c r="AA113" s="80" t="s">
        <v>253</v>
      </c>
      <c r="AB113" s="5"/>
      <c r="AC113" s="5"/>
      <c r="AD113" s="5"/>
      <c r="AE113" s="5"/>
      <c r="AF113" s="5"/>
      <c r="AG113" s="5"/>
      <c r="AH113" s="5"/>
      <c r="AI113" s="5"/>
      <c r="AJ113" s="5"/>
    </row>
    <row r="114">
      <c r="A114" s="43"/>
      <c r="B114" s="44">
        <v>107.0</v>
      </c>
      <c r="C114" s="51"/>
      <c r="D114" s="45" t="s">
        <v>254</v>
      </c>
      <c r="E114" s="53">
        <v>150.0</v>
      </c>
      <c r="F114" s="44">
        <v>163.0</v>
      </c>
      <c r="G114" s="44">
        <v>88.0</v>
      </c>
      <c r="H114" s="47"/>
      <c r="I114" s="47"/>
      <c r="J114" s="47"/>
      <c r="K114" s="47"/>
      <c r="L114" s="47"/>
      <c r="M114" s="47"/>
      <c r="N114" s="47"/>
      <c r="O114" s="47"/>
      <c r="P114" s="47"/>
      <c r="Q114" s="47"/>
      <c r="R114" s="44">
        <v>422.0</v>
      </c>
      <c r="S114" s="44">
        <v>20.0</v>
      </c>
      <c r="T114" s="47"/>
      <c r="U114" s="44">
        <v>17254.0</v>
      </c>
      <c r="V114" s="47"/>
      <c r="W114" s="48"/>
      <c r="X114" s="48"/>
      <c r="Y114" s="49"/>
      <c r="Z114" s="47">
        <f t="shared" si="1"/>
        <v>18097</v>
      </c>
      <c r="AA114" s="80" t="s">
        <v>255</v>
      </c>
      <c r="AB114" s="5"/>
      <c r="AC114" s="5"/>
      <c r="AD114" s="5"/>
      <c r="AE114" s="5"/>
      <c r="AF114" s="5"/>
      <c r="AG114" s="5"/>
      <c r="AH114" s="5"/>
      <c r="AI114" s="5"/>
      <c r="AJ114" s="5"/>
    </row>
    <row r="115">
      <c r="A115" s="43"/>
      <c r="B115" s="44">
        <v>108.0</v>
      </c>
      <c r="C115" s="51"/>
      <c r="D115" s="45" t="s">
        <v>256</v>
      </c>
      <c r="E115" s="53">
        <v>376.0</v>
      </c>
      <c r="F115" s="47"/>
      <c r="G115" s="47"/>
      <c r="H115" s="44">
        <v>260.0</v>
      </c>
      <c r="I115" s="44">
        <v>92.0</v>
      </c>
      <c r="J115" s="47"/>
      <c r="K115" s="47"/>
      <c r="L115" s="44">
        <v>21.0</v>
      </c>
      <c r="M115" s="47"/>
      <c r="N115" s="47"/>
      <c r="O115" s="47"/>
      <c r="P115" s="47"/>
      <c r="Q115" s="44">
        <v>228.0</v>
      </c>
      <c r="R115" s="44">
        <v>335.0</v>
      </c>
      <c r="S115" s="44">
        <v>100.0</v>
      </c>
      <c r="T115" s="47"/>
      <c r="U115" s="44">
        <v>8509.0</v>
      </c>
      <c r="V115" s="47"/>
      <c r="W115" s="48"/>
      <c r="X115" s="48"/>
      <c r="Y115" s="49"/>
      <c r="Z115" s="47">
        <f t="shared" si="1"/>
        <v>9921</v>
      </c>
      <c r="AA115" s="64" t="s">
        <v>257</v>
      </c>
      <c r="AB115" s="5"/>
      <c r="AC115" s="5"/>
      <c r="AD115" s="5"/>
      <c r="AE115" s="5"/>
      <c r="AF115" s="5"/>
      <c r="AG115" s="5"/>
      <c r="AH115" s="5"/>
      <c r="AI115" s="5"/>
      <c r="AJ115" s="5"/>
    </row>
    <row r="116">
      <c r="A116" s="43"/>
      <c r="B116" s="44">
        <v>109.0</v>
      </c>
      <c r="C116" s="51"/>
      <c r="D116" s="45" t="s">
        <v>258</v>
      </c>
      <c r="E116" s="53">
        <v>128.0</v>
      </c>
      <c r="F116" s="44">
        <v>203.0</v>
      </c>
      <c r="G116" s="47"/>
      <c r="H116" s="47"/>
      <c r="I116" s="47"/>
      <c r="J116" s="47"/>
      <c r="K116" s="47"/>
      <c r="L116" s="47"/>
      <c r="M116" s="47"/>
      <c r="N116" s="47"/>
      <c r="O116" s="44"/>
      <c r="P116" s="44"/>
      <c r="Q116" s="44"/>
      <c r="R116" s="44">
        <v>11.0</v>
      </c>
      <c r="S116" s="44">
        <v>181.0</v>
      </c>
      <c r="T116" s="47"/>
      <c r="U116" s="44">
        <v>310.0</v>
      </c>
      <c r="V116" s="47"/>
      <c r="W116" s="48"/>
      <c r="X116" s="48"/>
      <c r="Y116" s="49"/>
      <c r="Z116" s="47">
        <f t="shared" si="1"/>
        <v>833</v>
      </c>
      <c r="AA116" s="73" t="s">
        <v>259</v>
      </c>
      <c r="AB116" s="5"/>
      <c r="AC116" s="69" t="s">
        <v>251</v>
      </c>
      <c r="AD116" s="5"/>
      <c r="AE116" s="5"/>
      <c r="AF116" s="5"/>
      <c r="AG116" s="5"/>
      <c r="AH116" s="5"/>
      <c r="AI116" s="5"/>
      <c r="AJ116" s="5"/>
    </row>
    <row r="117">
      <c r="A117" s="43"/>
      <c r="B117" s="44">
        <v>110.0</v>
      </c>
      <c r="C117" s="51"/>
      <c r="D117" s="45" t="s">
        <v>260</v>
      </c>
      <c r="E117" s="53">
        <v>2098.0</v>
      </c>
      <c r="F117" s="47"/>
      <c r="G117" s="47"/>
      <c r="H117" s="47"/>
      <c r="I117" s="47"/>
      <c r="J117" s="47"/>
      <c r="K117" s="47"/>
      <c r="L117" s="44"/>
      <c r="M117" s="44">
        <v>2.0</v>
      </c>
      <c r="N117" s="47"/>
      <c r="O117" s="47"/>
      <c r="P117" s="44"/>
      <c r="Q117" s="44"/>
      <c r="R117" s="44">
        <v>247.0</v>
      </c>
      <c r="S117" s="44">
        <v>79.0</v>
      </c>
      <c r="T117" s="47"/>
      <c r="U117" s="44">
        <v>5487.0</v>
      </c>
      <c r="V117" s="47"/>
      <c r="W117" s="48"/>
      <c r="X117" s="48"/>
      <c r="Y117" s="49"/>
      <c r="Z117" s="47">
        <f t="shared" si="1"/>
        <v>7913</v>
      </c>
      <c r="AA117" s="73" t="s">
        <v>261</v>
      </c>
      <c r="AB117" s="69" t="s">
        <v>262</v>
      </c>
      <c r="AC117" s="5"/>
      <c r="AD117" s="5"/>
      <c r="AE117" s="5"/>
      <c r="AF117" s="5"/>
      <c r="AG117" s="5"/>
      <c r="AH117" s="5"/>
      <c r="AI117" s="5"/>
      <c r="AJ117" s="5"/>
    </row>
    <row r="118">
      <c r="A118" s="43"/>
      <c r="B118" s="44">
        <v>111.0</v>
      </c>
      <c r="C118" s="51"/>
      <c r="D118" s="45" t="s">
        <v>263</v>
      </c>
      <c r="E118" s="53">
        <v>1628.0</v>
      </c>
      <c r="F118" s="44"/>
      <c r="G118" s="47"/>
      <c r="H118" s="44">
        <v>3.0</v>
      </c>
      <c r="I118" s="47"/>
      <c r="J118" s="47"/>
      <c r="K118" s="47"/>
      <c r="L118" s="47"/>
      <c r="M118" s="44">
        <v>88.0</v>
      </c>
      <c r="N118" s="47"/>
      <c r="O118" s="47"/>
      <c r="P118" s="47"/>
      <c r="Q118" s="47"/>
      <c r="R118" s="44">
        <v>40.0</v>
      </c>
      <c r="S118" s="44">
        <v>6.0</v>
      </c>
      <c r="T118" s="47"/>
      <c r="U118" s="44">
        <v>2187.0</v>
      </c>
      <c r="V118" s="47"/>
      <c r="W118" s="48"/>
      <c r="X118" s="48"/>
      <c r="Y118" s="49"/>
      <c r="Z118" s="47">
        <f t="shared" si="1"/>
        <v>3952</v>
      </c>
      <c r="AA118" s="70" t="s">
        <v>264</v>
      </c>
      <c r="AB118" s="69"/>
      <c r="AC118" s="5"/>
      <c r="AD118" s="5"/>
      <c r="AE118" s="5"/>
      <c r="AF118" s="5"/>
      <c r="AG118" s="5"/>
      <c r="AH118" s="5"/>
      <c r="AI118" s="5"/>
      <c r="AJ118" s="5"/>
    </row>
    <row r="119">
      <c r="A119" s="43"/>
      <c r="B119" s="44">
        <v>112.0</v>
      </c>
      <c r="C119" s="51"/>
      <c r="D119" s="45" t="s">
        <v>265</v>
      </c>
      <c r="E119" s="53">
        <v>140.0</v>
      </c>
      <c r="F119" s="44">
        <v>217.0</v>
      </c>
      <c r="G119" s="47"/>
      <c r="H119" s="44">
        <v>41.0</v>
      </c>
      <c r="I119" s="44">
        <v>16.0</v>
      </c>
      <c r="J119" s="47"/>
      <c r="K119" s="47"/>
      <c r="L119" s="44">
        <v>47.0</v>
      </c>
      <c r="M119" s="44"/>
      <c r="N119" s="47"/>
      <c r="O119" s="47"/>
      <c r="P119" s="47"/>
      <c r="Q119" s="44">
        <v>207.0</v>
      </c>
      <c r="R119" s="44">
        <v>30.0</v>
      </c>
      <c r="S119" s="44">
        <v>5.0</v>
      </c>
      <c r="T119" s="44"/>
      <c r="U119" s="44">
        <v>1666.0</v>
      </c>
      <c r="V119" s="47"/>
      <c r="W119" s="48"/>
      <c r="X119" s="48"/>
      <c r="Y119" s="49"/>
      <c r="Z119" s="47">
        <f t="shared" si="1"/>
        <v>2369</v>
      </c>
      <c r="AA119" s="80" t="s">
        <v>266</v>
      </c>
      <c r="AB119" s="69"/>
      <c r="AC119" s="69" t="s">
        <v>267</v>
      </c>
      <c r="AD119" s="5"/>
      <c r="AE119" s="5"/>
      <c r="AF119" s="5"/>
      <c r="AG119" s="5"/>
      <c r="AH119" s="5"/>
      <c r="AI119" s="5"/>
      <c r="AJ119" s="5"/>
    </row>
    <row r="120">
      <c r="A120" s="43"/>
      <c r="B120" s="44">
        <v>113.0</v>
      </c>
      <c r="C120" s="51"/>
      <c r="D120" s="45" t="s">
        <v>268</v>
      </c>
      <c r="E120" s="53">
        <v>4495.0</v>
      </c>
      <c r="F120" s="44">
        <v>256.0</v>
      </c>
      <c r="G120" s="47"/>
      <c r="H120" s="47"/>
      <c r="I120" s="47"/>
      <c r="J120" s="47"/>
      <c r="K120" s="47"/>
      <c r="L120" s="44"/>
      <c r="M120" s="44">
        <v>65.0</v>
      </c>
      <c r="N120" s="47"/>
      <c r="O120" s="47"/>
      <c r="P120" s="44"/>
      <c r="Q120" s="44"/>
      <c r="R120" s="44">
        <v>28.0</v>
      </c>
      <c r="S120" s="44">
        <v>37.0</v>
      </c>
      <c r="T120" s="47"/>
      <c r="U120" s="44">
        <v>2705.0</v>
      </c>
      <c r="V120" s="47"/>
      <c r="W120" s="48"/>
      <c r="X120" s="48"/>
      <c r="Y120" s="49"/>
      <c r="Z120" s="47">
        <f t="shared" si="1"/>
        <v>7586</v>
      </c>
      <c r="AA120" s="73" t="s">
        <v>269</v>
      </c>
      <c r="AB120" s="5"/>
      <c r="AC120" s="104" t="s">
        <v>270</v>
      </c>
      <c r="AD120" s="5"/>
      <c r="AE120" s="5"/>
      <c r="AF120" s="5"/>
      <c r="AG120" s="5"/>
      <c r="AH120" s="5"/>
      <c r="AI120" s="5"/>
      <c r="AJ120" s="5"/>
    </row>
    <row r="121">
      <c r="A121" s="43"/>
      <c r="B121" s="44">
        <v>114.0</v>
      </c>
      <c r="C121" s="51"/>
      <c r="D121" s="105" t="s">
        <v>271</v>
      </c>
      <c r="E121" s="53">
        <v>922.0</v>
      </c>
      <c r="F121" s="44">
        <v>370.0</v>
      </c>
      <c r="G121" s="47"/>
      <c r="H121" s="44">
        <v>5.0</v>
      </c>
      <c r="I121" s="47"/>
      <c r="J121" s="44"/>
      <c r="K121" s="44"/>
      <c r="L121" s="44"/>
      <c r="M121" s="44"/>
      <c r="N121" s="47"/>
      <c r="O121" s="44"/>
      <c r="P121" s="44"/>
      <c r="Q121" s="44">
        <v>20.0</v>
      </c>
      <c r="R121" s="44">
        <v>145.0</v>
      </c>
      <c r="S121" s="44">
        <v>5.0</v>
      </c>
      <c r="T121" s="47"/>
      <c r="U121" s="44">
        <v>2318.0</v>
      </c>
      <c r="V121" s="47"/>
      <c r="W121" s="48"/>
      <c r="X121" s="48"/>
      <c r="Y121" s="49"/>
      <c r="Z121" s="47">
        <f t="shared" si="1"/>
        <v>3785</v>
      </c>
      <c r="AA121" s="73" t="s">
        <v>272</v>
      </c>
      <c r="AB121" s="5"/>
      <c r="AC121" s="69" t="s">
        <v>273</v>
      </c>
      <c r="AD121" s="5"/>
      <c r="AE121" s="5"/>
      <c r="AF121" s="5"/>
      <c r="AG121" s="5"/>
      <c r="AH121" s="5"/>
      <c r="AI121" s="5"/>
      <c r="AJ121" s="5"/>
    </row>
    <row r="122">
      <c r="A122" s="43"/>
      <c r="B122" s="44">
        <v>115.0</v>
      </c>
      <c r="C122" s="51"/>
      <c r="D122" s="45" t="s">
        <v>274</v>
      </c>
      <c r="E122" s="53">
        <v>578.0</v>
      </c>
      <c r="F122" s="47"/>
      <c r="G122" s="47"/>
      <c r="H122" s="44">
        <v>3.0</v>
      </c>
      <c r="I122" s="47"/>
      <c r="J122" s="47"/>
      <c r="K122" s="47"/>
      <c r="L122" s="47"/>
      <c r="M122" s="47"/>
      <c r="N122" s="47"/>
      <c r="O122" s="47"/>
      <c r="P122" s="47"/>
      <c r="Q122" s="47"/>
      <c r="R122" s="44">
        <v>186.0</v>
      </c>
      <c r="S122" s="44">
        <v>5.0</v>
      </c>
      <c r="T122" s="47"/>
      <c r="U122" s="44">
        <v>3518.0</v>
      </c>
      <c r="V122" s="47"/>
      <c r="W122" s="48"/>
      <c r="X122" s="48"/>
      <c r="Y122" s="49"/>
      <c r="Z122" s="47">
        <f t="shared" si="1"/>
        <v>4290</v>
      </c>
      <c r="AA122" s="64" t="s">
        <v>275</v>
      </c>
      <c r="AB122" s="5"/>
      <c r="AC122" s="106" t="s">
        <v>276</v>
      </c>
      <c r="AD122" s="5"/>
      <c r="AE122" s="5"/>
      <c r="AF122" s="5"/>
      <c r="AG122" s="5"/>
      <c r="AH122" s="5"/>
      <c r="AI122" s="5"/>
      <c r="AJ122" s="5"/>
    </row>
    <row r="123">
      <c r="A123" s="43"/>
      <c r="B123" s="44">
        <v>116.0</v>
      </c>
      <c r="C123" s="51"/>
      <c r="D123" s="45" t="s">
        <v>277</v>
      </c>
      <c r="E123" s="53">
        <v>627.0</v>
      </c>
      <c r="F123" s="44"/>
      <c r="G123" s="47"/>
      <c r="H123" s="44">
        <v>46.0</v>
      </c>
      <c r="I123" s="47"/>
      <c r="J123" s="47"/>
      <c r="K123" s="47"/>
      <c r="L123" s="47"/>
      <c r="M123" s="44"/>
      <c r="N123" s="44"/>
      <c r="O123" s="47"/>
      <c r="P123" s="47"/>
      <c r="Q123" s="44">
        <v>25.0</v>
      </c>
      <c r="R123" s="44">
        <v>23.0</v>
      </c>
      <c r="S123" s="44">
        <v>3.0</v>
      </c>
      <c r="T123" s="47"/>
      <c r="U123" s="44">
        <v>1684.0</v>
      </c>
      <c r="V123" s="47"/>
      <c r="W123" s="48"/>
      <c r="X123" s="48"/>
      <c r="Y123" s="49"/>
      <c r="Z123" s="47">
        <f t="shared" si="1"/>
        <v>2408</v>
      </c>
      <c r="AA123" s="86" t="s">
        <v>278</v>
      </c>
      <c r="AB123" s="5"/>
      <c r="AC123" s="5"/>
      <c r="AD123" s="5"/>
      <c r="AE123" s="5"/>
      <c r="AF123" s="5"/>
      <c r="AG123" s="5"/>
      <c r="AH123" s="5"/>
      <c r="AI123" s="5"/>
      <c r="AJ123" s="5"/>
    </row>
    <row r="124">
      <c r="A124" s="43"/>
      <c r="B124" s="44">
        <v>117.0</v>
      </c>
      <c r="C124" s="51"/>
      <c r="D124" s="45" t="s">
        <v>279</v>
      </c>
      <c r="E124" s="53">
        <v>1551.0</v>
      </c>
      <c r="F124" s="44">
        <v>2.0</v>
      </c>
      <c r="G124" s="47"/>
      <c r="H124" s="44">
        <v>1.0</v>
      </c>
      <c r="I124" s="47"/>
      <c r="J124" s="44"/>
      <c r="K124" s="44"/>
      <c r="L124" s="47"/>
      <c r="M124" s="44">
        <v>26.0</v>
      </c>
      <c r="N124" s="44"/>
      <c r="O124" s="44"/>
      <c r="P124" s="47"/>
      <c r="Q124" s="47"/>
      <c r="R124" s="44">
        <v>137.0</v>
      </c>
      <c r="S124" s="44">
        <v>8.0</v>
      </c>
      <c r="T124" s="47"/>
      <c r="U124" s="44">
        <v>3001.0</v>
      </c>
      <c r="V124" s="47"/>
      <c r="W124" s="48"/>
      <c r="X124" s="48"/>
      <c r="Y124" s="49"/>
      <c r="Z124" s="47">
        <f t="shared" si="1"/>
        <v>4726</v>
      </c>
      <c r="AA124" s="86" t="s">
        <v>280</v>
      </c>
      <c r="AB124" s="5"/>
      <c r="AC124" s="5"/>
      <c r="AD124" s="5"/>
      <c r="AE124" s="5"/>
      <c r="AF124" s="5"/>
      <c r="AG124" s="5"/>
      <c r="AH124" s="5"/>
      <c r="AI124" s="5"/>
      <c r="AJ124" s="5"/>
    </row>
    <row r="125">
      <c r="A125" s="43"/>
      <c r="B125" s="44">
        <v>118.0</v>
      </c>
      <c r="C125" s="45" t="s">
        <v>281</v>
      </c>
      <c r="D125" s="45" t="s">
        <v>282</v>
      </c>
      <c r="E125" s="53">
        <v>9.0</v>
      </c>
      <c r="F125" s="44">
        <v>64.0</v>
      </c>
      <c r="G125" s="44"/>
      <c r="H125" s="44">
        <v>16.0</v>
      </c>
      <c r="I125" s="44">
        <v>120.0</v>
      </c>
      <c r="J125" s="47"/>
      <c r="K125" s="47"/>
      <c r="L125" s="44">
        <v>6.0</v>
      </c>
      <c r="M125" s="44">
        <v>89.0</v>
      </c>
      <c r="N125" s="44"/>
      <c r="O125" s="47"/>
      <c r="P125" s="44"/>
      <c r="Q125" s="44"/>
      <c r="R125" s="44">
        <v>59.0</v>
      </c>
      <c r="S125" s="44">
        <v>28.0</v>
      </c>
      <c r="T125" s="47"/>
      <c r="U125" s="44">
        <v>24.0</v>
      </c>
      <c r="V125" s="47"/>
      <c r="W125" s="48"/>
      <c r="X125" s="48"/>
      <c r="Y125" s="49"/>
      <c r="Z125" s="47">
        <f t="shared" si="1"/>
        <v>415</v>
      </c>
      <c r="AA125" s="85" t="s">
        <v>283</v>
      </c>
      <c r="AB125" s="5"/>
      <c r="AC125" s="5"/>
      <c r="AD125" s="5"/>
      <c r="AE125" s="5"/>
      <c r="AF125" s="5"/>
      <c r="AG125" s="5"/>
      <c r="AH125" s="5"/>
      <c r="AI125" s="5"/>
      <c r="AJ125" s="5"/>
    </row>
    <row r="126">
      <c r="A126" s="43"/>
      <c r="B126" s="44">
        <v>119.0</v>
      </c>
      <c r="C126" s="51"/>
      <c r="D126" s="45" t="s">
        <v>284</v>
      </c>
      <c r="E126" s="53">
        <v>234.0</v>
      </c>
      <c r="F126" s="44">
        <v>140.0</v>
      </c>
      <c r="G126" s="47"/>
      <c r="H126" s="47"/>
      <c r="I126" s="44">
        <v>5.0</v>
      </c>
      <c r="J126" s="47"/>
      <c r="K126" s="47"/>
      <c r="L126" s="44"/>
      <c r="M126" s="44">
        <v>84.0</v>
      </c>
      <c r="N126" s="47"/>
      <c r="O126" s="47"/>
      <c r="P126" s="44"/>
      <c r="Q126" s="44"/>
      <c r="R126" s="44">
        <v>54.0</v>
      </c>
      <c r="S126" s="44">
        <v>3.0</v>
      </c>
      <c r="T126" s="47"/>
      <c r="U126" s="47"/>
      <c r="V126" s="47"/>
      <c r="W126" s="48"/>
      <c r="X126" s="48"/>
      <c r="Y126" s="49"/>
      <c r="Z126" s="47">
        <f t="shared" si="1"/>
        <v>520</v>
      </c>
      <c r="AA126" s="85" t="s">
        <v>285</v>
      </c>
      <c r="AB126" s="5"/>
      <c r="AC126" s="5"/>
      <c r="AD126" s="5"/>
      <c r="AE126" s="5"/>
      <c r="AF126" s="5"/>
      <c r="AG126" s="5"/>
      <c r="AH126" s="5"/>
      <c r="AI126" s="5"/>
      <c r="AJ126" s="5"/>
    </row>
    <row r="127">
      <c r="A127" s="43"/>
      <c r="B127" s="44">
        <v>120.0</v>
      </c>
      <c r="C127" s="51"/>
      <c r="D127" s="45" t="s">
        <v>286</v>
      </c>
      <c r="E127" s="53">
        <v>203.0</v>
      </c>
      <c r="F127" s="44">
        <v>18.0</v>
      </c>
      <c r="G127" s="44"/>
      <c r="H127" s="44"/>
      <c r="I127" s="44">
        <v>31.0</v>
      </c>
      <c r="J127" s="44"/>
      <c r="K127" s="44"/>
      <c r="L127" s="44"/>
      <c r="M127" s="44">
        <v>102.0</v>
      </c>
      <c r="N127" s="44"/>
      <c r="O127" s="47"/>
      <c r="P127" s="44"/>
      <c r="Q127" s="44"/>
      <c r="R127" s="44">
        <v>258.0</v>
      </c>
      <c r="S127" s="44">
        <v>28.0</v>
      </c>
      <c r="T127" s="47"/>
      <c r="U127" s="47"/>
      <c r="V127" s="47"/>
      <c r="W127" s="48"/>
      <c r="X127" s="48"/>
      <c r="Y127" s="49"/>
      <c r="Z127" s="47">
        <f t="shared" si="1"/>
        <v>640</v>
      </c>
      <c r="AA127" s="86" t="s">
        <v>287</v>
      </c>
      <c r="AB127" s="5"/>
      <c r="AC127" s="5"/>
      <c r="AD127" s="5"/>
      <c r="AE127" s="5"/>
      <c r="AF127" s="5"/>
      <c r="AG127" s="5"/>
      <c r="AH127" s="5"/>
      <c r="AI127" s="5"/>
      <c r="AJ127" s="5"/>
    </row>
    <row r="128">
      <c r="A128" s="43"/>
      <c r="B128" s="44">
        <v>121.0</v>
      </c>
      <c r="C128" s="51"/>
      <c r="D128" s="45" t="s">
        <v>288</v>
      </c>
      <c r="E128" s="53">
        <v>77.0</v>
      </c>
      <c r="F128" s="47"/>
      <c r="G128" s="47"/>
      <c r="H128" s="44"/>
      <c r="I128" s="47"/>
      <c r="J128" s="47"/>
      <c r="K128" s="47"/>
      <c r="L128" s="47"/>
      <c r="M128" s="44">
        <v>45.0</v>
      </c>
      <c r="N128" s="47"/>
      <c r="O128" s="47"/>
      <c r="P128" s="47"/>
      <c r="Q128" s="47"/>
      <c r="R128" s="44">
        <v>597.0</v>
      </c>
      <c r="S128" s="44">
        <v>17.0</v>
      </c>
      <c r="T128" s="47"/>
      <c r="U128" s="44"/>
      <c r="V128" s="47"/>
      <c r="W128" s="48"/>
      <c r="X128" s="48"/>
      <c r="Y128" s="49"/>
      <c r="Z128" s="47">
        <f t="shared" si="1"/>
        <v>736</v>
      </c>
      <c r="AA128" s="64" t="s">
        <v>289</v>
      </c>
      <c r="AB128" s="5"/>
      <c r="AC128" s="5"/>
      <c r="AD128" s="5"/>
      <c r="AE128" s="5"/>
      <c r="AF128" s="5"/>
      <c r="AG128" s="5"/>
      <c r="AH128" s="5"/>
      <c r="AI128" s="5"/>
      <c r="AJ128" s="5"/>
    </row>
    <row r="129">
      <c r="A129" s="43"/>
      <c r="B129" s="44">
        <v>122.0</v>
      </c>
      <c r="C129" s="45" t="s">
        <v>290</v>
      </c>
      <c r="D129" s="45" t="s">
        <v>291</v>
      </c>
      <c r="E129" s="44">
        <v>0.0</v>
      </c>
      <c r="F129" s="47"/>
      <c r="G129" s="47"/>
      <c r="H129" s="44">
        <v>51.0</v>
      </c>
      <c r="I129" s="44">
        <v>3.0</v>
      </c>
      <c r="J129" s="44">
        <v>25.0</v>
      </c>
      <c r="K129" s="47"/>
      <c r="L129" s="44">
        <v>17.0</v>
      </c>
      <c r="M129" s="44">
        <v>2.0</v>
      </c>
      <c r="N129" s="47"/>
      <c r="O129" s="47"/>
      <c r="P129" s="44"/>
      <c r="Q129" s="44">
        <v>113.0</v>
      </c>
      <c r="R129" s="107">
        <v>22.0</v>
      </c>
      <c r="S129" s="44">
        <v>1.0</v>
      </c>
      <c r="T129" s="47"/>
      <c r="U129" s="44">
        <v>66.0</v>
      </c>
      <c r="V129" s="47"/>
      <c r="W129" s="48"/>
      <c r="X129" s="48"/>
      <c r="Y129" s="49"/>
      <c r="Z129" s="47">
        <f t="shared" si="1"/>
        <v>300</v>
      </c>
      <c r="AA129" s="64" t="s">
        <v>292</v>
      </c>
      <c r="AB129" s="5"/>
      <c r="AC129" s="5"/>
      <c r="AD129" s="5"/>
      <c r="AE129" s="5"/>
      <c r="AF129" s="5"/>
      <c r="AG129" s="5"/>
      <c r="AH129" s="5"/>
      <c r="AI129" s="5"/>
      <c r="AJ129" s="5"/>
    </row>
    <row r="130">
      <c r="A130" s="43"/>
      <c r="B130" s="44">
        <v>123.0</v>
      </c>
      <c r="C130" s="51"/>
      <c r="D130" s="45" t="s">
        <v>293</v>
      </c>
      <c r="E130" s="44">
        <v>16.0</v>
      </c>
      <c r="F130" s="44">
        <v>31.0</v>
      </c>
      <c r="G130" s="47"/>
      <c r="H130" s="47"/>
      <c r="I130" s="47"/>
      <c r="J130" s="47"/>
      <c r="K130" s="47"/>
      <c r="L130" s="47"/>
      <c r="M130" s="47"/>
      <c r="N130" s="47"/>
      <c r="O130" s="47"/>
      <c r="P130" s="47"/>
      <c r="Q130" s="47"/>
      <c r="R130" s="44">
        <v>13.0</v>
      </c>
      <c r="S130" s="47"/>
      <c r="T130" s="47"/>
      <c r="U130" s="47"/>
      <c r="V130" s="47"/>
      <c r="W130" s="48"/>
      <c r="X130" s="48"/>
      <c r="Y130" s="49"/>
      <c r="Z130" s="47">
        <f t="shared" si="1"/>
        <v>60</v>
      </c>
      <c r="AA130" s="64" t="s">
        <v>294</v>
      </c>
      <c r="AB130" s="5"/>
      <c r="AC130" s="5"/>
      <c r="AD130" s="5"/>
      <c r="AE130" s="5"/>
      <c r="AF130" s="5"/>
      <c r="AG130" s="5"/>
      <c r="AH130" s="5"/>
      <c r="AI130" s="5"/>
      <c r="AJ130" s="5"/>
    </row>
    <row r="131">
      <c r="A131" s="43"/>
      <c r="B131" s="44">
        <v>124.0</v>
      </c>
      <c r="C131" s="51"/>
      <c r="D131" s="45" t="s">
        <v>295</v>
      </c>
      <c r="E131" s="44">
        <v>19.0</v>
      </c>
      <c r="F131" s="44">
        <v>2.0</v>
      </c>
      <c r="G131" s="47"/>
      <c r="H131" s="44">
        <v>163.0</v>
      </c>
      <c r="I131" s="47"/>
      <c r="J131" s="47"/>
      <c r="K131" s="47"/>
      <c r="L131" s="47"/>
      <c r="M131" s="47"/>
      <c r="N131" s="44"/>
      <c r="O131" s="44">
        <v>25.0</v>
      </c>
      <c r="P131" s="44"/>
      <c r="Q131" s="44"/>
      <c r="R131" s="44">
        <v>348.0</v>
      </c>
      <c r="S131" s="47"/>
      <c r="T131" s="47"/>
      <c r="U131" s="44">
        <v>251.0</v>
      </c>
      <c r="V131" s="47"/>
      <c r="W131" s="48"/>
      <c r="X131" s="48"/>
      <c r="Y131" s="49"/>
      <c r="Z131" s="47">
        <f t="shared" si="1"/>
        <v>808</v>
      </c>
      <c r="AA131" s="64" t="s">
        <v>296</v>
      </c>
      <c r="AB131" s="5"/>
      <c r="AC131" s="5"/>
      <c r="AD131" s="5"/>
      <c r="AE131" s="5"/>
      <c r="AF131" s="5"/>
      <c r="AG131" s="5"/>
      <c r="AH131" s="5"/>
      <c r="AI131" s="5"/>
      <c r="AJ131" s="5"/>
    </row>
    <row r="132">
      <c r="A132" s="43"/>
      <c r="B132" s="44">
        <v>125.0</v>
      </c>
      <c r="C132" s="51"/>
      <c r="D132" s="45" t="s">
        <v>297</v>
      </c>
      <c r="E132" s="44">
        <v>262.0</v>
      </c>
      <c r="F132" s="44">
        <v>369.0</v>
      </c>
      <c r="G132" s="47"/>
      <c r="H132" s="47"/>
      <c r="I132" s="47"/>
      <c r="J132" s="47"/>
      <c r="K132" s="47"/>
      <c r="L132" s="47"/>
      <c r="M132" s="44">
        <v>8.0</v>
      </c>
      <c r="N132" s="47"/>
      <c r="O132" s="47"/>
      <c r="P132" s="47"/>
      <c r="Q132" s="47"/>
      <c r="R132" s="44">
        <v>8.0</v>
      </c>
      <c r="S132" s="44">
        <v>10.0</v>
      </c>
      <c r="T132" s="47"/>
      <c r="U132" s="47"/>
      <c r="V132" s="47"/>
      <c r="W132" s="48"/>
      <c r="X132" s="58" t="s">
        <v>298</v>
      </c>
      <c r="Y132" s="55">
        <v>4.31</v>
      </c>
      <c r="Z132" s="47">
        <f t="shared" si="1"/>
        <v>657</v>
      </c>
      <c r="AA132" s="108" t="s">
        <v>299</v>
      </c>
      <c r="AB132" s="5"/>
      <c r="AC132" s="5"/>
      <c r="AD132" s="5"/>
      <c r="AE132" s="5"/>
      <c r="AF132" s="5"/>
      <c r="AG132" s="5"/>
      <c r="AH132" s="5"/>
      <c r="AI132" s="5"/>
      <c r="AJ132" s="5"/>
    </row>
    <row r="133">
      <c r="A133" s="43"/>
      <c r="B133" s="44">
        <v>126.0</v>
      </c>
      <c r="C133" s="51"/>
      <c r="D133" s="45" t="s">
        <v>300</v>
      </c>
      <c r="E133" s="44">
        <v>280.0</v>
      </c>
      <c r="F133" s="44"/>
      <c r="G133" s="47"/>
      <c r="H133" s="44"/>
      <c r="I133" s="47"/>
      <c r="J133" s="47"/>
      <c r="K133" s="47"/>
      <c r="L133" s="47"/>
      <c r="M133" s="44">
        <v>4.0</v>
      </c>
      <c r="N133" s="47"/>
      <c r="O133" s="47"/>
      <c r="P133" s="44"/>
      <c r="Q133" s="44"/>
      <c r="R133" s="44">
        <v>188.0</v>
      </c>
      <c r="S133" s="47"/>
      <c r="T133" s="44"/>
      <c r="U133" s="47"/>
      <c r="V133" s="47"/>
      <c r="W133" s="48"/>
      <c r="X133" s="54" t="s">
        <v>182</v>
      </c>
      <c r="Y133" s="55">
        <v>52.0</v>
      </c>
      <c r="Z133" s="47">
        <f t="shared" si="1"/>
        <v>472</v>
      </c>
      <c r="AA133" s="63" t="s">
        <v>301</v>
      </c>
      <c r="AB133" s="5"/>
      <c r="AC133" s="5"/>
      <c r="AD133" s="5"/>
      <c r="AE133" s="5"/>
      <c r="AF133" s="5"/>
      <c r="AG133" s="5"/>
      <c r="AH133" s="5"/>
      <c r="AI133" s="5"/>
      <c r="AJ133" s="5"/>
    </row>
    <row r="134">
      <c r="A134" s="43"/>
      <c r="B134" s="44">
        <v>127.0</v>
      </c>
      <c r="C134" s="51"/>
      <c r="D134" s="45" t="s">
        <v>302</v>
      </c>
      <c r="E134" s="44">
        <v>1150.0</v>
      </c>
      <c r="F134" s="47"/>
      <c r="G134" s="47"/>
      <c r="H134" s="47"/>
      <c r="I134" s="47"/>
      <c r="J134" s="47"/>
      <c r="K134" s="47"/>
      <c r="L134" s="44"/>
      <c r="M134" s="44"/>
      <c r="N134" s="47"/>
      <c r="O134" s="44"/>
      <c r="P134" s="44"/>
      <c r="Q134" s="44">
        <v>337.0</v>
      </c>
      <c r="R134" s="44">
        <v>547.0</v>
      </c>
      <c r="S134" s="44">
        <v>10.0</v>
      </c>
      <c r="T134" s="47"/>
      <c r="U134" s="47"/>
      <c r="V134" s="47"/>
      <c r="W134" s="48"/>
      <c r="X134" s="48"/>
      <c r="Y134" s="49"/>
      <c r="Z134" s="47">
        <f t="shared" si="1"/>
        <v>2044</v>
      </c>
      <c r="AA134" s="109" t="s">
        <v>303</v>
      </c>
      <c r="AB134" s="5"/>
      <c r="AC134" s="5"/>
      <c r="AD134" s="5"/>
      <c r="AE134" s="5"/>
      <c r="AF134" s="5"/>
      <c r="AG134" s="5"/>
      <c r="AH134" s="5"/>
      <c r="AI134" s="5"/>
      <c r="AJ134" s="5"/>
    </row>
    <row r="135">
      <c r="A135" s="43"/>
      <c r="B135" s="44">
        <v>128.0</v>
      </c>
      <c r="C135" s="51"/>
      <c r="D135" s="45" t="s">
        <v>304</v>
      </c>
      <c r="E135" s="44">
        <v>1923.0</v>
      </c>
      <c r="F135" s="44">
        <v>1364.0</v>
      </c>
      <c r="G135" s="47"/>
      <c r="H135" s="44">
        <v>36.0</v>
      </c>
      <c r="I135" s="47"/>
      <c r="J135" s="47"/>
      <c r="K135" s="47"/>
      <c r="L135" s="47"/>
      <c r="M135" s="47"/>
      <c r="N135" s="47"/>
      <c r="O135" s="47"/>
      <c r="P135" s="47"/>
      <c r="Q135" s="44">
        <v>112.0</v>
      </c>
      <c r="R135" s="44">
        <v>298.0</v>
      </c>
      <c r="S135" s="44">
        <v>242.0</v>
      </c>
      <c r="T135" s="47"/>
      <c r="U135" s="44">
        <v>105.0</v>
      </c>
      <c r="V135" s="47"/>
      <c r="W135" s="48"/>
      <c r="X135" s="48"/>
      <c r="Y135" s="49"/>
      <c r="Z135" s="47">
        <f t="shared" si="1"/>
        <v>4080</v>
      </c>
      <c r="AA135" s="109" t="s">
        <v>305</v>
      </c>
      <c r="AB135" s="5"/>
      <c r="AC135" s="5"/>
      <c r="AD135" s="5"/>
      <c r="AE135" s="5"/>
      <c r="AF135" s="5"/>
      <c r="AG135" s="5"/>
      <c r="AH135" s="5"/>
      <c r="AI135" s="5"/>
      <c r="AJ135" s="5"/>
    </row>
    <row r="136">
      <c r="A136" s="43"/>
      <c r="B136" s="44">
        <v>129.0</v>
      </c>
      <c r="C136" s="51"/>
      <c r="D136" s="45" t="s">
        <v>306</v>
      </c>
      <c r="E136" s="44">
        <v>782.0</v>
      </c>
      <c r="F136" s="44">
        <v>52.0</v>
      </c>
      <c r="G136" s="47"/>
      <c r="H136" s="47"/>
      <c r="I136" s="47"/>
      <c r="J136" s="44"/>
      <c r="K136" s="44">
        <v>9.0</v>
      </c>
      <c r="L136" s="47"/>
      <c r="M136" s="47"/>
      <c r="N136" s="44"/>
      <c r="O136" s="44">
        <v>79.0</v>
      </c>
      <c r="P136" s="44"/>
      <c r="Q136" s="44">
        <v>73.0</v>
      </c>
      <c r="R136" s="44">
        <v>176.0</v>
      </c>
      <c r="S136" s="44">
        <v>24.0</v>
      </c>
      <c r="T136" s="47"/>
      <c r="U136" s="47"/>
      <c r="V136" s="44"/>
      <c r="W136" s="54"/>
      <c r="X136" s="54" t="s">
        <v>307</v>
      </c>
      <c r="Y136" s="55">
        <v>2.7</v>
      </c>
      <c r="Z136" s="47">
        <f t="shared" si="1"/>
        <v>1195</v>
      </c>
      <c r="AA136" s="109" t="s">
        <v>308</v>
      </c>
      <c r="AB136" s="5"/>
      <c r="AC136" s="5"/>
      <c r="AD136" s="5"/>
      <c r="AE136" s="5"/>
      <c r="AF136" s="5"/>
      <c r="AG136" s="5"/>
      <c r="AH136" s="5"/>
      <c r="AI136" s="5"/>
      <c r="AJ136" s="5"/>
    </row>
    <row r="137">
      <c r="A137" s="43"/>
      <c r="B137" s="44">
        <v>130.0</v>
      </c>
      <c r="C137" s="51"/>
      <c r="D137" s="45" t="s">
        <v>309</v>
      </c>
      <c r="E137" s="44">
        <v>2870.0</v>
      </c>
      <c r="F137" s="44">
        <v>632.0</v>
      </c>
      <c r="G137" s="47"/>
      <c r="H137" s="47"/>
      <c r="I137" s="47"/>
      <c r="J137" s="47"/>
      <c r="K137" s="47"/>
      <c r="L137" s="47"/>
      <c r="M137" s="47"/>
      <c r="N137" s="47"/>
      <c r="O137" s="44"/>
      <c r="P137" s="44"/>
      <c r="Q137" s="44">
        <v>7.0</v>
      </c>
      <c r="R137" s="44">
        <v>30.0</v>
      </c>
      <c r="S137" s="44"/>
      <c r="T137" s="47"/>
      <c r="U137" s="47"/>
      <c r="V137" s="47"/>
      <c r="W137" s="48"/>
      <c r="X137" s="54">
        <v>8.0</v>
      </c>
      <c r="Y137" s="110">
        <v>26.025</v>
      </c>
      <c r="Z137" s="47">
        <f t="shared" si="1"/>
        <v>3539</v>
      </c>
      <c r="AA137" s="86" t="s">
        <v>310</v>
      </c>
      <c r="AB137" s="5"/>
      <c r="AC137" s="5"/>
      <c r="AD137" s="5"/>
      <c r="AE137" s="5"/>
      <c r="AF137" s="5"/>
      <c r="AG137" s="5"/>
      <c r="AH137" s="5"/>
      <c r="AI137" s="5"/>
      <c r="AJ137" s="5"/>
    </row>
    <row r="138">
      <c r="A138" s="43"/>
      <c r="B138" s="44">
        <v>131.0</v>
      </c>
      <c r="C138" s="51"/>
      <c r="D138" s="45" t="s">
        <v>311</v>
      </c>
      <c r="E138" s="44">
        <v>251.0</v>
      </c>
      <c r="F138" s="47"/>
      <c r="G138" s="47"/>
      <c r="H138" s="47"/>
      <c r="I138" s="47"/>
      <c r="J138" s="47"/>
      <c r="K138" s="47"/>
      <c r="L138" s="47"/>
      <c r="M138" s="44">
        <v>4.0</v>
      </c>
      <c r="N138" s="47"/>
      <c r="O138" s="47"/>
      <c r="P138" s="44"/>
      <c r="Q138" s="44"/>
      <c r="R138" s="44">
        <v>15.0</v>
      </c>
      <c r="S138" s="47"/>
      <c r="T138" s="47"/>
      <c r="U138" s="47"/>
      <c r="V138" s="47"/>
      <c r="W138" s="48"/>
      <c r="X138" s="48"/>
      <c r="Y138" s="49"/>
      <c r="Z138" s="47">
        <f t="shared" si="1"/>
        <v>270</v>
      </c>
      <c r="AA138" s="62" t="s">
        <v>312</v>
      </c>
      <c r="AB138" s="5"/>
      <c r="AC138" s="5"/>
      <c r="AD138" s="5"/>
      <c r="AE138" s="5"/>
      <c r="AF138" s="5"/>
      <c r="AG138" s="5"/>
      <c r="AH138" s="5"/>
      <c r="AI138" s="5"/>
      <c r="AJ138" s="5"/>
    </row>
    <row r="139">
      <c r="A139" s="43"/>
      <c r="B139" s="44">
        <v>132.0</v>
      </c>
      <c r="C139" s="51"/>
      <c r="D139" s="45" t="s">
        <v>313</v>
      </c>
      <c r="E139" s="44">
        <v>887.0</v>
      </c>
      <c r="F139" s="44">
        <v>138.0</v>
      </c>
      <c r="G139" s="47"/>
      <c r="H139" s="47"/>
      <c r="I139" s="44"/>
      <c r="J139" s="47"/>
      <c r="K139" s="47"/>
      <c r="L139" s="47"/>
      <c r="M139" s="47"/>
      <c r="N139" s="47"/>
      <c r="O139" s="44"/>
      <c r="P139" s="44"/>
      <c r="Q139" s="44">
        <v>191.0</v>
      </c>
      <c r="R139" s="44">
        <v>121.0</v>
      </c>
      <c r="S139" s="44">
        <v>8.0</v>
      </c>
      <c r="T139" s="47"/>
      <c r="U139" s="47"/>
      <c r="V139" s="47"/>
      <c r="W139" s="48"/>
      <c r="X139" s="48"/>
      <c r="Y139" s="49"/>
      <c r="Z139" s="47">
        <f t="shared" si="1"/>
        <v>1345</v>
      </c>
      <c r="AA139" s="74" t="s">
        <v>314</v>
      </c>
      <c r="AB139" s="5"/>
      <c r="AC139" s="5"/>
      <c r="AD139" s="5"/>
      <c r="AE139" s="5"/>
      <c r="AF139" s="5"/>
      <c r="AG139" s="5"/>
      <c r="AH139" s="5"/>
      <c r="AI139" s="5"/>
      <c r="AJ139" s="5"/>
    </row>
    <row r="140">
      <c r="A140" s="43"/>
      <c r="B140" s="44">
        <v>133.0</v>
      </c>
      <c r="C140" s="51"/>
      <c r="D140" s="45" t="s">
        <v>315</v>
      </c>
      <c r="E140" s="44">
        <v>0.0</v>
      </c>
      <c r="F140" s="47"/>
      <c r="G140" s="47"/>
      <c r="H140" s="47"/>
      <c r="I140" s="47"/>
      <c r="J140" s="47"/>
      <c r="K140" s="47"/>
      <c r="L140" s="47"/>
      <c r="M140" s="47"/>
      <c r="N140" s="47"/>
      <c r="O140" s="47"/>
      <c r="P140" s="44"/>
      <c r="Q140" s="44"/>
      <c r="R140" s="44">
        <v>164.0</v>
      </c>
      <c r="S140" s="44">
        <v>84.0</v>
      </c>
      <c r="T140" s="47"/>
      <c r="U140" s="47"/>
      <c r="V140" s="47"/>
      <c r="W140" s="48"/>
      <c r="X140" s="48"/>
      <c r="Y140" s="49"/>
      <c r="Z140" s="47">
        <f t="shared" si="1"/>
        <v>248</v>
      </c>
      <c r="AA140" s="74" t="s">
        <v>316</v>
      </c>
      <c r="AB140" s="5"/>
      <c r="AC140" s="5"/>
      <c r="AD140" s="5"/>
      <c r="AE140" s="5"/>
      <c r="AF140" s="5"/>
      <c r="AG140" s="5"/>
      <c r="AH140" s="5"/>
      <c r="AI140" s="5"/>
      <c r="AJ140" s="5"/>
    </row>
    <row r="141">
      <c r="A141" s="43"/>
      <c r="B141" s="44">
        <v>134.0</v>
      </c>
      <c r="C141" s="51"/>
      <c r="D141" s="45" t="s">
        <v>317</v>
      </c>
      <c r="E141" s="44">
        <v>902.0</v>
      </c>
      <c r="F141" s="47"/>
      <c r="G141" s="47"/>
      <c r="H141" s="47"/>
      <c r="I141" s="44">
        <v>8.0</v>
      </c>
      <c r="J141" s="47"/>
      <c r="K141" s="47"/>
      <c r="L141" s="47"/>
      <c r="M141" s="44">
        <v>135.0</v>
      </c>
      <c r="N141" s="47"/>
      <c r="O141" s="47"/>
      <c r="P141" s="47"/>
      <c r="Q141" s="47"/>
      <c r="R141" s="44">
        <v>120.0</v>
      </c>
      <c r="S141" s="44">
        <v>38.0</v>
      </c>
      <c r="T141" s="47"/>
      <c r="U141" s="47"/>
      <c r="V141" s="47"/>
      <c r="W141" s="48"/>
      <c r="X141" s="48"/>
      <c r="Y141" s="49"/>
      <c r="Z141" s="47">
        <f t="shared" si="1"/>
        <v>1203</v>
      </c>
      <c r="AA141" s="73" t="s">
        <v>318</v>
      </c>
      <c r="AB141" s="5"/>
      <c r="AC141" s="5"/>
      <c r="AD141" s="5"/>
      <c r="AE141" s="5"/>
      <c r="AF141" s="5"/>
      <c r="AG141" s="5"/>
      <c r="AH141" s="5"/>
      <c r="AI141" s="5"/>
      <c r="AJ141" s="5"/>
    </row>
    <row r="142">
      <c r="A142" s="43"/>
      <c r="B142" s="44">
        <v>135.0</v>
      </c>
      <c r="C142" s="51"/>
      <c r="D142" s="45" t="s">
        <v>319</v>
      </c>
      <c r="E142" s="44">
        <v>789.0</v>
      </c>
      <c r="F142" s="44">
        <v>363.0</v>
      </c>
      <c r="G142" s="47"/>
      <c r="H142" s="47"/>
      <c r="I142" s="47"/>
      <c r="J142" s="47"/>
      <c r="K142" s="47"/>
      <c r="L142" s="47"/>
      <c r="M142" s="44">
        <v>137.0</v>
      </c>
      <c r="N142" s="47"/>
      <c r="O142" s="47"/>
      <c r="P142" s="47"/>
      <c r="Q142" s="47"/>
      <c r="R142" s="44">
        <v>70.0</v>
      </c>
      <c r="S142" s="44">
        <v>5.0</v>
      </c>
      <c r="T142" s="47"/>
      <c r="U142" s="47"/>
      <c r="V142" s="47"/>
      <c r="W142" s="48"/>
      <c r="X142" s="48"/>
      <c r="Y142" s="49"/>
      <c r="Z142" s="47">
        <f t="shared" si="1"/>
        <v>1364</v>
      </c>
      <c r="AA142" s="65" t="s">
        <v>320</v>
      </c>
      <c r="AB142" s="5"/>
      <c r="AC142" s="5"/>
      <c r="AD142" s="5"/>
      <c r="AE142" s="5"/>
      <c r="AF142" s="5"/>
      <c r="AG142" s="5"/>
      <c r="AH142" s="5"/>
      <c r="AI142" s="5"/>
      <c r="AJ142" s="5"/>
    </row>
    <row r="143">
      <c r="A143" s="43"/>
      <c r="B143" s="44">
        <v>136.0</v>
      </c>
      <c r="C143" s="51"/>
      <c r="D143" s="45" t="s">
        <v>321</v>
      </c>
      <c r="E143" s="44">
        <v>460.0</v>
      </c>
      <c r="F143" s="44">
        <v>113.0</v>
      </c>
      <c r="G143" s="47"/>
      <c r="H143" s="47"/>
      <c r="I143" s="44"/>
      <c r="J143" s="47"/>
      <c r="K143" s="47"/>
      <c r="L143" s="44"/>
      <c r="M143" s="44">
        <v>4.0</v>
      </c>
      <c r="N143" s="47"/>
      <c r="O143" s="47"/>
      <c r="P143" s="44"/>
      <c r="Q143" s="44">
        <v>156.0</v>
      </c>
      <c r="R143" s="44">
        <v>311.0</v>
      </c>
      <c r="S143" s="44">
        <v>3.0</v>
      </c>
      <c r="T143" s="47"/>
      <c r="U143" s="47"/>
      <c r="V143" s="47"/>
      <c r="W143" s="48"/>
      <c r="X143" s="48"/>
      <c r="Y143" s="49"/>
      <c r="Z143" s="47">
        <f t="shared" si="1"/>
        <v>1047</v>
      </c>
      <c r="AA143" s="111" t="s">
        <v>322</v>
      </c>
      <c r="AB143" s="5"/>
      <c r="AC143" s="5"/>
      <c r="AD143" s="5"/>
      <c r="AE143" s="5"/>
      <c r="AF143" s="5"/>
      <c r="AG143" s="5"/>
      <c r="AH143" s="5"/>
      <c r="AI143" s="5"/>
      <c r="AJ143" s="5"/>
    </row>
    <row r="144">
      <c r="A144" s="43"/>
      <c r="B144" s="44">
        <v>137.0</v>
      </c>
      <c r="C144" s="51"/>
      <c r="D144" s="45" t="s">
        <v>323</v>
      </c>
      <c r="E144" s="44">
        <v>586.0</v>
      </c>
      <c r="F144" s="47"/>
      <c r="G144" s="47"/>
      <c r="H144" s="47"/>
      <c r="I144" s="47"/>
      <c r="J144" s="44"/>
      <c r="K144" s="44">
        <v>22.0</v>
      </c>
      <c r="L144" s="47"/>
      <c r="M144" s="47"/>
      <c r="N144" s="44"/>
      <c r="O144" s="44">
        <v>35.0</v>
      </c>
      <c r="P144" s="44"/>
      <c r="Q144" s="44">
        <v>61.0</v>
      </c>
      <c r="R144" s="44">
        <v>224.0</v>
      </c>
      <c r="S144" s="44">
        <v>19.0</v>
      </c>
      <c r="T144" s="47"/>
      <c r="U144" s="47"/>
      <c r="V144" s="47"/>
      <c r="W144" s="48"/>
      <c r="X144" s="48"/>
      <c r="Y144" s="49"/>
      <c r="Z144" s="47">
        <f t="shared" si="1"/>
        <v>947</v>
      </c>
      <c r="AA144" s="85" t="s">
        <v>324</v>
      </c>
      <c r="AB144" s="5"/>
      <c r="AC144" s="5"/>
      <c r="AD144" s="5"/>
      <c r="AE144" s="5"/>
      <c r="AF144" s="5"/>
      <c r="AG144" s="5"/>
      <c r="AH144" s="5"/>
      <c r="AI144" s="5"/>
      <c r="AJ144" s="5"/>
    </row>
    <row r="145">
      <c r="A145" s="43"/>
      <c r="B145" s="44">
        <v>138.0</v>
      </c>
      <c r="C145" s="51"/>
      <c r="D145" s="45" t="s">
        <v>325</v>
      </c>
      <c r="E145" s="44">
        <v>85.0</v>
      </c>
      <c r="F145" s="44">
        <v>26.0</v>
      </c>
      <c r="G145" s="47"/>
      <c r="H145" s="47"/>
      <c r="I145" s="47"/>
      <c r="J145" s="47"/>
      <c r="K145" s="47"/>
      <c r="L145" s="44"/>
      <c r="M145" s="44">
        <v>4.0</v>
      </c>
      <c r="N145" s="47"/>
      <c r="O145" s="44"/>
      <c r="P145" s="47"/>
      <c r="Q145" s="47"/>
      <c r="R145" s="44">
        <v>155.0</v>
      </c>
      <c r="S145" s="44">
        <v>25.0</v>
      </c>
      <c r="T145" s="47"/>
      <c r="U145" s="47"/>
      <c r="V145" s="47"/>
      <c r="W145" s="48"/>
      <c r="X145" s="48"/>
      <c r="Y145" s="49"/>
      <c r="Z145" s="47">
        <f t="shared" si="1"/>
        <v>295</v>
      </c>
      <c r="AA145" s="64" t="s">
        <v>326</v>
      </c>
      <c r="AB145" s="5"/>
      <c r="AC145" s="5"/>
      <c r="AD145" s="5"/>
      <c r="AE145" s="5"/>
      <c r="AF145" s="5"/>
      <c r="AG145" s="5"/>
      <c r="AH145" s="5"/>
      <c r="AI145" s="5"/>
      <c r="AJ145" s="5"/>
    </row>
    <row r="146">
      <c r="A146" s="43"/>
      <c r="B146" s="44">
        <v>139.0</v>
      </c>
      <c r="C146" s="51"/>
      <c r="D146" s="45" t="s">
        <v>327</v>
      </c>
      <c r="E146" s="44">
        <v>177.0</v>
      </c>
      <c r="F146" s="47"/>
      <c r="G146" s="47"/>
      <c r="H146" s="44">
        <v>2.0</v>
      </c>
      <c r="I146" s="44">
        <v>17.0</v>
      </c>
      <c r="J146" s="47"/>
      <c r="K146" s="47"/>
      <c r="L146" s="47"/>
      <c r="M146" s="47"/>
      <c r="N146" s="47"/>
      <c r="O146" s="47"/>
      <c r="P146" s="44"/>
      <c r="Q146" s="44">
        <v>188.0</v>
      </c>
      <c r="R146" s="44">
        <v>614.0</v>
      </c>
      <c r="S146" s="44"/>
      <c r="T146" s="47"/>
      <c r="U146" s="47"/>
      <c r="V146" s="47"/>
      <c r="W146" s="48"/>
      <c r="X146" s="48"/>
      <c r="Y146" s="49"/>
      <c r="Z146" s="47">
        <f t="shared" si="1"/>
        <v>998</v>
      </c>
      <c r="AA146" s="68"/>
      <c r="AB146" s="5"/>
      <c r="AC146" s="5"/>
      <c r="AD146" s="5"/>
      <c r="AE146" s="5"/>
      <c r="AF146" s="5"/>
      <c r="AG146" s="5"/>
      <c r="AH146" s="5"/>
      <c r="AI146" s="5"/>
      <c r="AJ146" s="5"/>
    </row>
    <row r="147">
      <c r="A147" s="43"/>
      <c r="B147" s="44">
        <v>140.0</v>
      </c>
      <c r="C147" s="51"/>
      <c r="D147" s="45" t="s">
        <v>328</v>
      </c>
      <c r="E147" s="44">
        <v>38.0</v>
      </c>
      <c r="F147" s="44">
        <v>213.0</v>
      </c>
      <c r="G147" s="47"/>
      <c r="H147" s="47"/>
      <c r="I147" s="47"/>
      <c r="J147" s="47"/>
      <c r="K147" s="47"/>
      <c r="L147" s="47"/>
      <c r="M147" s="47"/>
      <c r="N147" s="91"/>
      <c r="O147" s="91"/>
      <c r="P147" s="44"/>
      <c r="Q147" s="44">
        <v>578.0</v>
      </c>
      <c r="R147" s="44">
        <v>1168.0</v>
      </c>
      <c r="S147" s="91"/>
      <c r="T147" s="91"/>
      <c r="U147" s="91"/>
      <c r="V147" s="44"/>
      <c r="W147" s="54"/>
      <c r="X147" s="54"/>
      <c r="Y147" s="49"/>
      <c r="Z147" s="47">
        <f t="shared" si="1"/>
        <v>1997</v>
      </c>
      <c r="AA147" s="65" t="s">
        <v>329</v>
      </c>
      <c r="AB147" s="112"/>
      <c r="AC147" s="113"/>
      <c r="AD147" s="5"/>
      <c r="AE147" s="5"/>
      <c r="AF147" s="5"/>
      <c r="AG147" s="5"/>
      <c r="AH147" s="5"/>
      <c r="AI147" s="5"/>
      <c r="AJ147" s="5"/>
    </row>
    <row r="148">
      <c r="A148" s="43"/>
      <c r="B148" s="44">
        <v>141.0</v>
      </c>
      <c r="C148" s="51"/>
      <c r="D148" s="45" t="s">
        <v>330</v>
      </c>
      <c r="E148" s="44">
        <v>917.0</v>
      </c>
      <c r="F148" s="44">
        <v>653.0</v>
      </c>
      <c r="G148" s="47"/>
      <c r="H148" s="47"/>
      <c r="I148" s="47"/>
      <c r="J148" s="47"/>
      <c r="K148" s="47"/>
      <c r="L148" s="44">
        <v>1.0</v>
      </c>
      <c r="M148" s="47"/>
      <c r="N148" s="47"/>
      <c r="O148" s="47"/>
      <c r="P148" s="44"/>
      <c r="Q148" s="44">
        <v>4.0</v>
      </c>
      <c r="R148" s="44">
        <v>63.0</v>
      </c>
      <c r="S148" s="44">
        <v>10.0</v>
      </c>
      <c r="T148" s="47"/>
      <c r="U148" s="47"/>
      <c r="V148" s="47"/>
      <c r="W148" s="48"/>
      <c r="X148" s="48"/>
      <c r="Y148" s="49"/>
      <c r="Z148" s="47">
        <f t="shared" si="1"/>
        <v>1648</v>
      </c>
      <c r="AA148" s="65" t="s">
        <v>331</v>
      </c>
      <c r="AB148" s="5"/>
      <c r="AC148" s="5"/>
      <c r="AD148" s="5"/>
      <c r="AE148" s="5"/>
      <c r="AF148" s="5"/>
      <c r="AG148" s="5"/>
      <c r="AH148" s="5"/>
      <c r="AI148" s="5"/>
      <c r="AJ148" s="5"/>
    </row>
    <row r="149">
      <c r="A149" s="43"/>
      <c r="B149" s="44">
        <v>142.0</v>
      </c>
      <c r="C149" s="51"/>
      <c r="D149" s="45" t="s">
        <v>332</v>
      </c>
      <c r="E149" s="44">
        <v>433.0</v>
      </c>
      <c r="F149" s="47"/>
      <c r="G149" s="47"/>
      <c r="H149" s="47"/>
      <c r="I149" s="47"/>
      <c r="J149" s="47"/>
      <c r="K149" s="47"/>
      <c r="L149" s="47"/>
      <c r="M149" s="47"/>
      <c r="N149" s="44"/>
      <c r="O149" s="47"/>
      <c r="P149" s="47"/>
      <c r="Q149" s="47"/>
      <c r="R149" s="44"/>
      <c r="S149" s="47"/>
      <c r="T149" s="47"/>
      <c r="U149" s="47"/>
      <c r="V149" s="47"/>
      <c r="W149" s="48"/>
      <c r="X149" s="48"/>
      <c r="Y149" s="49"/>
      <c r="Z149" s="47">
        <f t="shared" si="1"/>
        <v>433</v>
      </c>
      <c r="AA149" s="58" t="s">
        <v>333</v>
      </c>
      <c r="AB149" s="5"/>
      <c r="AC149" s="5"/>
      <c r="AD149" s="5"/>
      <c r="AE149" s="5"/>
      <c r="AF149" s="5"/>
      <c r="AG149" s="5"/>
      <c r="AH149" s="5"/>
      <c r="AI149" s="5"/>
      <c r="AJ149" s="5"/>
    </row>
    <row r="150">
      <c r="A150" s="43"/>
      <c r="B150" s="44">
        <v>143.0</v>
      </c>
      <c r="C150" s="45" t="s">
        <v>334</v>
      </c>
      <c r="D150" s="45" t="s">
        <v>335</v>
      </c>
      <c r="E150" s="44">
        <v>1385.0</v>
      </c>
      <c r="F150" s="44">
        <v>23.0</v>
      </c>
      <c r="G150" s="47"/>
      <c r="H150" s="47"/>
      <c r="I150" s="47"/>
      <c r="J150" s="47"/>
      <c r="K150" s="47"/>
      <c r="L150" s="47"/>
      <c r="M150" s="47"/>
      <c r="N150" s="75"/>
      <c r="O150" s="47"/>
      <c r="P150" s="47"/>
      <c r="Q150" s="47"/>
      <c r="R150" s="44">
        <v>50.0</v>
      </c>
      <c r="S150" s="47"/>
      <c r="T150" s="47"/>
      <c r="U150" s="47"/>
      <c r="V150" s="47"/>
      <c r="W150" s="48"/>
      <c r="X150" s="48"/>
      <c r="Y150" s="49"/>
      <c r="Z150" s="47">
        <f t="shared" si="1"/>
        <v>1458</v>
      </c>
      <c r="AA150" s="87" t="s">
        <v>336</v>
      </c>
      <c r="AB150" s="5"/>
      <c r="AC150" s="5"/>
      <c r="AD150" s="5"/>
      <c r="AE150" s="5"/>
      <c r="AF150" s="5"/>
      <c r="AG150" s="5"/>
      <c r="AH150" s="5"/>
      <c r="AI150" s="5"/>
      <c r="AJ150" s="5"/>
    </row>
    <row r="151">
      <c r="A151" s="43"/>
      <c r="B151" s="44">
        <v>144.0</v>
      </c>
      <c r="C151" s="51"/>
      <c r="D151" s="45" t="s">
        <v>337</v>
      </c>
      <c r="E151" s="44">
        <v>8338.0</v>
      </c>
      <c r="F151" s="47"/>
      <c r="G151" s="47"/>
      <c r="H151" s="47"/>
      <c r="I151" s="44">
        <v>610.0</v>
      </c>
      <c r="J151" s="47"/>
      <c r="K151" s="47"/>
      <c r="L151" s="47"/>
      <c r="M151" s="44"/>
      <c r="N151" s="47"/>
      <c r="O151" s="47"/>
      <c r="P151" s="47"/>
      <c r="Q151" s="47"/>
      <c r="R151" s="44">
        <v>1197.0</v>
      </c>
      <c r="S151" s="47"/>
      <c r="T151" s="47"/>
      <c r="U151" s="47"/>
      <c r="V151" s="47"/>
      <c r="W151" s="48"/>
      <c r="X151" s="48"/>
      <c r="Y151" s="49"/>
      <c r="Z151" s="47">
        <f t="shared" si="1"/>
        <v>10145</v>
      </c>
      <c r="AA151" s="64" t="s">
        <v>338</v>
      </c>
      <c r="AB151" s="5"/>
      <c r="AC151" s="5"/>
      <c r="AD151" s="5"/>
      <c r="AE151" s="5"/>
      <c r="AF151" s="5"/>
      <c r="AG151" s="5"/>
      <c r="AH151" s="5"/>
      <c r="AI151" s="5"/>
      <c r="AJ151" s="5"/>
    </row>
    <row r="152">
      <c r="A152" s="43"/>
      <c r="B152" s="44">
        <v>145.0</v>
      </c>
      <c r="C152" s="51"/>
      <c r="D152" s="45" t="s">
        <v>339</v>
      </c>
      <c r="E152" s="44">
        <v>2751.0</v>
      </c>
      <c r="F152" s="47"/>
      <c r="G152" s="47"/>
      <c r="H152" s="44"/>
      <c r="I152" s="47"/>
      <c r="J152" s="47"/>
      <c r="K152" s="47"/>
      <c r="L152" s="47"/>
      <c r="M152" s="44">
        <v>12.0</v>
      </c>
      <c r="N152" s="47"/>
      <c r="O152" s="47"/>
      <c r="P152" s="47"/>
      <c r="Q152" s="47"/>
      <c r="R152" s="44">
        <v>204.0</v>
      </c>
      <c r="S152" s="47"/>
      <c r="T152" s="47"/>
      <c r="U152" s="47"/>
      <c r="V152" s="47"/>
      <c r="W152" s="48"/>
      <c r="X152" s="48"/>
      <c r="Y152" s="49"/>
      <c r="Z152" s="47">
        <f t="shared" si="1"/>
        <v>2967</v>
      </c>
      <c r="AA152" s="64" t="s">
        <v>340</v>
      </c>
      <c r="AB152" s="5"/>
      <c r="AC152" s="5"/>
      <c r="AD152" s="5"/>
      <c r="AE152" s="5"/>
      <c r="AF152" s="5"/>
      <c r="AG152" s="5"/>
      <c r="AH152" s="5"/>
      <c r="AI152" s="5"/>
      <c r="AJ152" s="5"/>
    </row>
    <row r="153">
      <c r="A153" s="43"/>
      <c r="B153" s="44">
        <v>146.0</v>
      </c>
      <c r="C153" s="45" t="s">
        <v>341</v>
      </c>
      <c r="D153" s="45" t="s">
        <v>342</v>
      </c>
      <c r="E153" s="44">
        <v>148.0</v>
      </c>
      <c r="F153" s="44"/>
      <c r="G153" s="47"/>
      <c r="H153" s="47"/>
      <c r="I153" s="44"/>
      <c r="J153" s="47"/>
      <c r="K153" s="47"/>
      <c r="L153" s="47"/>
      <c r="M153" s="47"/>
      <c r="N153" s="47"/>
      <c r="O153" s="47"/>
      <c r="P153" s="47"/>
      <c r="Q153" s="47"/>
      <c r="R153" s="44">
        <v>30.0</v>
      </c>
      <c r="S153" s="44"/>
      <c r="T153" s="47"/>
      <c r="U153" s="44"/>
      <c r="V153" s="47"/>
      <c r="W153" s="48"/>
      <c r="X153" s="48"/>
      <c r="Y153" s="49"/>
      <c r="Z153" s="47">
        <f t="shared" si="1"/>
        <v>178</v>
      </c>
      <c r="AA153" s="70" t="s">
        <v>343</v>
      </c>
      <c r="AB153" s="5"/>
      <c r="AC153" s="5"/>
      <c r="AD153" s="5"/>
      <c r="AE153" s="5"/>
      <c r="AF153" s="5"/>
      <c r="AG153" s="5"/>
      <c r="AH153" s="5"/>
      <c r="AI153" s="5"/>
      <c r="AJ153" s="5"/>
    </row>
    <row r="154">
      <c r="A154" s="43"/>
      <c r="B154" s="44">
        <v>147.0</v>
      </c>
      <c r="C154" s="51"/>
      <c r="D154" s="45" t="s">
        <v>344</v>
      </c>
      <c r="E154" s="44">
        <v>0.0</v>
      </c>
      <c r="F154" s="47"/>
      <c r="G154" s="47"/>
      <c r="H154" s="47"/>
      <c r="I154" s="44">
        <v>11.0</v>
      </c>
      <c r="J154" s="47"/>
      <c r="K154" s="47"/>
      <c r="L154" s="47"/>
      <c r="M154" s="44">
        <v>170.0</v>
      </c>
      <c r="N154" s="47"/>
      <c r="O154" s="47"/>
      <c r="P154" s="47"/>
      <c r="Q154" s="47"/>
      <c r="R154" s="44"/>
      <c r="S154" s="44">
        <v>30.0</v>
      </c>
      <c r="T154" s="47"/>
      <c r="U154" s="47"/>
      <c r="V154" s="47"/>
      <c r="W154" s="48"/>
      <c r="X154" s="48"/>
      <c r="Y154" s="49"/>
      <c r="Z154" s="47">
        <f t="shared" si="1"/>
        <v>211</v>
      </c>
      <c r="AA154" s="73" t="s">
        <v>345</v>
      </c>
      <c r="AB154" s="5"/>
      <c r="AC154" s="5"/>
      <c r="AD154" s="5"/>
      <c r="AE154" s="5"/>
      <c r="AF154" s="5"/>
      <c r="AG154" s="5"/>
      <c r="AH154" s="5"/>
      <c r="AI154" s="5"/>
      <c r="AJ154" s="5"/>
    </row>
    <row r="155">
      <c r="A155" s="43"/>
      <c r="B155" s="44">
        <v>148.0</v>
      </c>
      <c r="C155" s="51"/>
      <c r="D155" s="45" t="s">
        <v>346</v>
      </c>
      <c r="E155" s="44">
        <v>0.0</v>
      </c>
      <c r="F155" s="47"/>
      <c r="G155" s="47"/>
      <c r="H155" s="47"/>
      <c r="I155" s="47"/>
      <c r="J155" s="47"/>
      <c r="K155" s="47"/>
      <c r="L155" s="47"/>
      <c r="M155" s="44">
        <v>95.0</v>
      </c>
      <c r="N155" s="47"/>
      <c r="O155" s="47"/>
      <c r="P155" s="47"/>
      <c r="Q155" s="47"/>
      <c r="R155" s="44">
        <v>23.0</v>
      </c>
      <c r="S155" s="47"/>
      <c r="T155" s="47"/>
      <c r="U155" s="47"/>
      <c r="V155" s="47"/>
      <c r="W155" s="48"/>
      <c r="X155" s="48"/>
      <c r="Y155" s="49"/>
      <c r="Z155" s="47">
        <f t="shared" si="1"/>
        <v>118</v>
      </c>
      <c r="AA155" s="64" t="s">
        <v>347</v>
      </c>
      <c r="AB155" s="5"/>
      <c r="AC155" s="5"/>
      <c r="AD155" s="5"/>
      <c r="AE155" s="5"/>
      <c r="AF155" s="5"/>
      <c r="AG155" s="5"/>
      <c r="AH155" s="5"/>
      <c r="AI155" s="5"/>
      <c r="AJ155" s="5"/>
    </row>
    <row r="156">
      <c r="A156" s="43"/>
      <c r="B156" s="44">
        <v>149.0</v>
      </c>
      <c r="C156" s="51"/>
      <c r="D156" s="45" t="s">
        <v>348</v>
      </c>
      <c r="E156" s="44">
        <v>1.0</v>
      </c>
      <c r="F156" s="47"/>
      <c r="G156" s="47"/>
      <c r="H156" s="44">
        <v>15.0</v>
      </c>
      <c r="I156" s="47"/>
      <c r="J156" s="47"/>
      <c r="K156" s="47"/>
      <c r="L156" s="44">
        <v>19.0</v>
      </c>
      <c r="M156" s="47"/>
      <c r="N156" s="47"/>
      <c r="O156" s="47"/>
      <c r="P156" s="47"/>
      <c r="Q156" s="47"/>
      <c r="R156" s="44">
        <v>5.0</v>
      </c>
      <c r="S156" s="47"/>
      <c r="T156" s="47"/>
      <c r="U156" s="44">
        <v>4.0</v>
      </c>
      <c r="V156" s="47"/>
      <c r="W156" s="48"/>
      <c r="X156" s="48"/>
      <c r="Y156" s="49"/>
      <c r="Z156" s="47">
        <f t="shared" si="1"/>
        <v>44</v>
      </c>
      <c r="AA156" s="70" t="s">
        <v>347</v>
      </c>
      <c r="AB156" s="5"/>
      <c r="AC156" s="5"/>
      <c r="AD156" s="5"/>
      <c r="AE156" s="5"/>
      <c r="AF156" s="5"/>
      <c r="AG156" s="5"/>
      <c r="AH156" s="5"/>
      <c r="AI156" s="5"/>
      <c r="AJ156" s="5"/>
    </row>
    <row r="157">
      <c r="A157" s="43"/>
      <c r="B157" s="44">
        <v>150.0</v>
      </c>
      <c r="C157" s="45" t="s">
        <v>349</v>
      </c>
      <c r="D157" s="45" t="s">
        <v>350</v>
      </c>
      <c r="E157" s="114">
        <v>198.0</v>
      </c>
      <c r="F157" s="47"/>
      <c r="G157" s="47"/>
      <c r="H157" s="47"/>
      <c r="I157" s="47"/>
      <c r="J157" s="47"/>
      <c r="K157" s="47"/>
      <c r="L157" s="47"/>
      <c r="M157" s="44"/>
      <c r="N157" s="47"/>
      <c r="O157" s="47"/>
      <c r="P157" s="47"/>
      <c r="Q157" s="47"/>
      <c r="R157" s="44">
        <v>11.0</v>
      </c>
      <c r="S157" s="47"/>
      <c r="T157" s="47"/>
      <c r="U157" s="44">
        <v>20.0</v>
      </c>
      <c r="V157" s="47"/>
      <c r="W157" s="48"/>
      <c r="X157" s="48"/>
      <c r="Y157" s="49"/>
      <c r="Z157" s="47">
        <f t="shared" si="1"/>
        <v>229</v>
      </c>
      <c r="AA157" s="74" t="s">
        <v>351</v>
      </c>
      <c r="AB157" s="5"/>
      <c r="AC157" s="5"/>
      <c r="AD157" s="5"/>
      <c r="AE157" s="5"/>
      <c r="AF157" s="5"/>
      <c r="AG157" s="5"/>
      <c r="AH157" s="5"/>
      <c r="AI157" s="5"/>
      <c r="AJ157" s="5"/>
    </row>
    <row r="158">
      <c r="A158" s="43"/>
      <c r="B158" s="44">
        <v>151.0</v>
      </c>
      <c r="C158" s="51"/>
      <c r="D158" s="45" t="s">
        <v>352</v>
      </c>
      <c r="E158" s="114">
        <v>286.0</v>
      </c>
      <c r="F158" s="44">
        <v>501.0</v>
      </c>
      <c r="G158" s="75"/>
      <c r="H158" s="47"/>
      <c r="I158" s="47"/>
      <c r="J158" s="47"/>
      <c r="K158" s="47"/>
      <c r="L158" s="47"/>
      <c r="M158" s="44"/>
      <c r="N158" s="47"/>
      <c r="O158" s="47"/>
      <c r="P158" s="44"/>
      <c r="Q158" s="44">
        <v>2.0</v>
      </c>
      <c r="R158" s="44">
        <v>11.0</v>
      </c>
      <c r="S158" s="44">
        <v>2.0</v>
      </c>
      <c r="T158" s="47"/>
      <c r="U158" s="47"/>
      <c r="V158" s="47"/>
      <c r="W158" s="48"/>
      <c r="X158" s="54">
        <v>1.0</v>
      </c>
      <c r="Y158" s="115">
        <v>7.659</v>
      </c>
      <c r="Z158" s="47">
        <f t="shared" si="1"/>
        <v>802</v>
      </c>
      <c r="AA158" s="64" t="s">
        <v>353</v>
      </c>
      <c r="AB158" s="5"/>
      <c r="AC158" s="5"/>
      <c r="AD158" s="5"/>
      <c r="AE158" s="5"/>
      <c r="AF158" s="5"/>
      <c r="AG158" s="5"/>
      <c r="AH158" s="5"/>
      <c r="AI158" s="5"/>
      <c r="AJ158" s="5"/>
    </row>
    <row r="159">
      <c r="A159" s="43"/>
      <c r="B159" s="44">
        <v>152.0</v>
      </c>
      <c r="C159" s="51"/>
      <c r="D159" s="45" t="s">
        <v>354</v>
      </c>
      <c r="E159" s="114">
        <v>64.0</v>
      </c>
      <c r="F159" s="44">
        <v>843.0</v>
      </c>
      <c r="G159" s="47"/>
      <c r="H159" s="47"/>
      <c r="I159" s="44">
        <v>15.0</v>
      </c>
      <c r="J159" s="47"/>
      <c r="K159" s="47"/>
      <c r="L159" s="47"/>
      <c r="M159" s="44">
        <v>5.0</v>
      </c>
      <c r="N159" s="47"/>
      <c r="O159" s="47"/>
      <c r="P159" s="44">
        <v>79.0</v>
      </c>
      <c r="Q159" s="47"/>
      <c r="R159" s="44">
        <v>18.0</v>
      </c>
      <c r="S159" s="44">
        <v>11.0</v>
      </c>
      <c r="T159" s="47"/>
      <c r="U159" s="47"/>
      <c r="V159" s="47"/>
      <c r="W159" s="48"/>
      <c r="X159" s="48"/>
      <c r="Y159" s="49"/>
      <c r="Z159" s="47">
        <f t="shared" si="1"/>
        <v>1035</v>
      </c>
      <c r="AA159" s="65" t="s">
        <v>355</v>
      </c>
      <c r="AB159" s="5"/>
      <c r="AC159" s="5"/>
      <c r="AD159" s="5"/>
      <c r="AE159" s="5"/>
      <c r="AF159" s="5"/>
      <c r="AG159" s="5"/>
      <c r="AH159" s="5"/>
      <c r="AI159" s="5"/>
      <c r="AJ159" s="5"/>
    </row>
    <row r="160">
      <c r="A160" s="43"/>
      <c r="B160" s="44">
        <v>153.0</v>
      </c>
      <c r="C160" s="51"/>
      <c r="D160" s="45" t="s">
        <v>356</v>
      </c>
      <c r="E160" s="46">
        <v>919.0</v>
      </c>
      <c r="F160" s="44">
        <v>365.0</v>
      </c>
      <c r="G160" s="47"/>
      <c r="H160" s="47"/>
      <c r="I160" s="47"/>
      <c r="J160" s="47"/>
      <c r="K160" s="47"/>
      <c r="L160" s="47"/>
      <c r="M160" s="44">
        <v>23.0</v>
      </c>
      <c r="N160" s="47"/>
      <c r="O160" s="47"/>
      <c r="P160" s="47"/>
      <c r="Q160" s="47"/>
      <c r="R160" s="47"/>
      <c r="S160" s="47"/>
      <c r="T160" s="47"/>
      <c r="U160" s="47"/>
      <c r="V160" s="47"/>
      <c r="W160" s="48"/>
      <c r="X160" s="48"/>
      <c r="Y160" s="49"/>
      <c r="Z160" s="47">
        <f t="shared" si="1"/>
        <v>1307</v>
      </c>
      <c r="AA160" s="68"/>
      <c r="AB160" s="5"/>
      <c r="AC160" s="5"/>
      <c r="AD160" s="5"/>
      <c r="AE160" s="5"/>
      <c r="AF160" s="5"/>
      <c r="AG160" s="5"/>
      <c r="AH160" s="5"/>
      <c r="AI160" s="5"/>
      <c r="AJ160" s="5"/>
    </row>
    <row r="161">
      <c r="A161" s="43"/>
      <c r="B161" s="44">
        <v>154.0</v>
      </c>
      <c r="C161" s="51"/>
      <c r="D161" s="45" t="s">
        <v>357</v>
      </c>
      <c r="E161" s="46">
        <v>717.0</v>
      </c>
      <c r="F161" s="44">
        <v>294.0</v>
      </c>
      <c r="G161" s="47"/>
      <c r="H161" s="47"/>
      <c r="I161" s="47"/>
      <c r="J161" s="47"/>
      <c r="K161" s="47"/>
      <c r="L161" s="47"/>
      <c r="M161" s="47"/>
      <c r="N161" s="47"/>
      <c r="O161" s="47"/>
      <c r="P161" s="47"/>
      <c r="Q161" s="47"/>
      <c r="R161" s="44">
        <v>10.0</v>
      </c>
      <c r="S161" s="47"/>
      <c r="T161" s="47"/>
      <c r="U161" s="47"/>
      <c r="V161" s="47"/>
      <c r="W161" s="48"/>
      <c r="X161" s="48"/>
      <c r="Y161" s="49"/>
      <c r="Z161" s="47">
        <f t="shared" si="1"/>
        <v>1021</v>
      </c>
      <c r="AA161" s="70" t="s">
        <v>358</v>
      </c>
      <c r="AB161" s="5"/>
      <c r="AC161" s="5"/>
      <c r="AD161" s="5"/>
      <c r="AE161" s="5"/>
      <c r="AF161" s="5"/>
      <c r="AG161" s="5"/>
      <c r="AH161" s="5"/>
      <c r="AI161" s="5"/>
      <c r="AJ161" s="5"/>
    </row>
    <row r="162">
      <c r="A162" s="43"/>
      <c r="B162" s="44">
        <v>155.0</v>
      </c>
      <c r="C162" s="51"/>
      <c r="D162" s="45" t="s">
        <v>359</v>
      </c>
      <c r="E162" s="46">
        <v>35.0</v>
      </c>
      <c r="F162" s="44"/>
      <c r="G162" s="47"/>
      <c r="H162" s="44">
        <v>29.0</v>
      </c>
      <c r="I162" s="47"/>
      <c r="J162" s="47"/>
      <c r="K162" s="47"/>
      <c r="L162" s="47"/>
      <c r="M162" s="44"/>
      <c r="N162" s="47"/>
      <c r="O162" s="47"/>
      <c r="P162" s="47"/>
      <c r="Q162" s="47"/>
      <c r="R162" s="44"/>
      <c r="S162" s="47"/>
      <c r="T162" s="47"/>
      <c r="U162" s="44">
        <v>35.0</v>
      </c>
      <c r="V162" s="47"/>
      <c r="W162" s="48"/>
      <c r="X162" s="48"/>
      <c r="Y162" s="49"/>
      <c r="Z162" s="47">
        <f t="shared" si="1"/>
        <v>99</v>
      </c>
      <c r="AA162" s="74" t="s">
        <v>360</v>
      </c>
      <c r="AB162" s="5"/>
      <c r="AC162" s="5"/>
      <c r="AD162" s="5"/>
      <c r="AE162" s="5"/>
      <c r="AF162" s="5"/>
      <c r="AG162" s="5"/>
      <c r="AH162" s="5"/>
      <c r="AI162" s="5"/>
      <c r="AJ162" s="5"/>
    </row>
    <row r="163">
      <c r="A163" s="43"/>
      <c r="B163" s="44">
        <v>156.0</v>
      </c>
      <c r="C163" s="51"/>
      <c r="D163" s="45" t="s">
        <v>361</v>
      </c>
      <c r="E163" s="46">
        <v>71.0</v>
      </c>
      <c r="F163" s="44">
        <v>159.0</v>
      </c>
      <c r="G163" s="47"/>
      <c r="H163" s="47"/>
      <c r="I163" s="47"/>
      <c r="J163" s="47"/>
      <c r="K163" s="47"/>
      <c r="L163" s="47"/>
      <c r="M163" s="44">
        <v>1.0</v>
      </c>
      <c r="N163" s="47"/>
      <c r="O163" s="47"/>
      <c r="P163" s="47"/>
      <c r="Q163" s="47"/>
      <c r="R163" s="44"/>
      <c r="S163" s="47"/>
      <c r="T163" s="47"/>
      <c r="U163" s="47"/>
      <c r="V163" s="47"/>
      <c r="W163" s="48"/>
      <c r="X163" s="48"/>
      <c r="Y163" s="49"/>
      <c r="Z163" s="47">
        <f t="shared" si="1"/>
        <v>231</v>
      </c>
      <c r="AA163" s="109" t="s">
        <v>362</v>
      </c>
      <c r="AB163" s="5"/>
      <c r="AC163" s="5"/>
      <c r="AD163" s="5"/>
      <c r="AE163" s="5"/>
      <c r="AF163" s="5"/>
      <c r="AG163" s="5"/>
      <c r="AH163" s="5"/>
      <c r="AI163" s="5"/>
      <c r="AJ163" s="5"/>
    </row>
    <row r="164">
      <c r="A164" s="43"/>
      <c r="B164" s="44">
        <v>157.0</v>
      </c>
      <c r="C164" s="51"/>
      <c r="D164" s="45" t="s">
        <v>363</v>
      </c>
      <c r="E164" s="46">
        <v>31.0</v>
      </c>
      <c r="F164" s="47"/>
      <c r="G164" s="47"/>
      <c r="H164" s="44">
        <v>7.0</v>
      </c>
      <c r="I164" s="47"/>
      <c r="J164" s="47"/>
      <c r="K164" s="47"/>
      <c r="L164" s="47"/>
      <c r="M164" s="47"/>
      <c r="N164" s="47"/>
      <c r="O164" s="47"/>
      <c r="P164" s="47"/>
      <c r="Q164" s="47"/>
      <c r="R164" s="44">
        <v>28.0</v>
      </c>
      <c r="S164" s="47"/>
      <c r="T164" s="47"/>
      <c r="U164" s="44">
        <v>4.0</v>
      </c>
      <c r="V164" s="47"/>
      <c r="W164" s="48"/>
      <c r="X164" s="48"/>
      <c r="Y164" s="49"/>
      <c r="Z164" s="47">
        <f t="shared" si="1"/>
        <v>70</v>
      </c>
      <c r="AA164" s="64" t="s">
        <v>364</v>
      </c>
      <c r="AB164" s="5"/>
      <c r="AC164" s="5"/>
      <c r="AD164" s="5"/>
      <c r="AE164" s="5"/>
      <c r="AF164" s="5"/>
      <c r="AG164" s="5"/>
      <c r="AH164" s="5"/>
      <c r="AI164" s="5"/>
      <c r="AJ164" s="5"/>
    </row>
    <row r="165">
      <c r="A165" s="43"/>
      <c r="B165" s="44">
        <v>158.0</v>
      </c>
      <c r="C165" s="116" t="s">
        <v>365</v>
      </c>
      <c r="D165" s="45" t="s">
        <v>366</v>
      </c>
      <c r="E165" s="46">
        <v>1142.0</v>
      </c>
      <c r="F165" s="44">
        <v>127.0</v>
      </c>
      <c r="G165" s="47"/>
      <c r="H165" s="44">
        <v>75.0</v>
      </c>
      <c r="I165" s="47"/>
      <c r="J165" s="47"/>
      <c r="K165" s="47"/>
      <c r="L165" s="47"/>
      <c r="M165" s="47"/>
      <c r="N165" s="44"/>
      <c r="O165" s="44"/>
      <c r="P165" s="44"/>
      <c r="Q165" s="44"/>
      <c r="R165" s="44">
        <v>88.0</v>
      </c>
      <c r="S165" s="44"/>
      <c r="T165" s="47"/>
      <c r="U165" s="47"/>
      <c r="V165" s="47"/>
      <c r="W165" s="48"/>
      <c r="X165" s="48"/>
      <c r="Y165" s="49"/>
      <c r="Z165" s="47">
        <f t="shared" si="1"/>
        <v>1432</v>
      </c>
      <c r="AA165" s="70" t="s">
        <v>367</v>
      </c>
      <c r="AB165" s="5"/>
      <c r="AC165" s="5"/>
      <c r="AD165" s="5"/>
      <c r="AE165" s="5"/>
      <c r="AF165" s="5"/>
      <c r="AG165" s="5"/>
      <c r="AH165" s="5"/>
      <c r="AI165" s="5"/>
      <c r="AJ165" s="5"/>
    </row>
    <row r="166">
      <c r="A166" s="43"/>
      <c r="B166" s="44">
        <v>159.0</v>
      </c>
      <c r="C166" s="51"/>
      <c r="D166" s="45" t="s">
        <v>368</v>
      </c>
      <c r="E166" s="46">
        <v>1169.0</v>
      </c>
      <c r="F166" s="44">
        <v>81.0</v>
      </c>
      <c r="G166" s="47"/>
      <c r="H166" s="44">
        <v>27.0</v>
      </c>
      <c r="I166" s="44"/>
      <c r="J166" s="47"/>
      <c r="K166" s="47"/>
      <c r="L166" s="44"/>
      <c r="M166" s="44">
        <v>20.0</v>
      </c>
      <c r="N166" s="60"/>
      <c r="O166" s="44"/>
      <c r="P166" s="44"/>
      <c r="Q166" s="44">
        <v>3.0</v>
      </c>
      <c r="R166" s="44">
        <v>16.0</v>
      </c>
      <c r="S166" s="44">
        <v>0.0</v>
      </c>
      <c r="T166" s="47"/>
      <c r="U166" s="44">
        <v>29.0</v>
      </c>
      <c r="V166" s="47"/>
      <c r="W166" s="48"/>
      <c r="X166" s="54">
        <v>1.0</v>
      </c>
      <c r="Y166" s="117" t="s">
        <v>369</v>
      </c>
      <c r="Z166" s="47">
        <f t="shared" si="1"/>
        <v>1345</v>
      </c>
      <c r="AA166" s="73" t="s">
        <v>370</v>
      </c>
      <c r="AB166" s="5"/>
      <c r="AC166" s="5"/>
      <c r="AD166" s="5"/>
      <c r="AE166" s="5"/>
      <c r="AF166" s="5"/>
      <c r="AG166" s="5"/>
      <c r="AH166" s="5"/>
      <c r="AI166" s="5"/>
      <c r="AJ166" s="5"/>
    </row>
    <row r="167">
      <c r="A167" s="43"/>
      <c r="B167" s="44">
        <v>160.0</v>
      </c>
      <c r="C167" s="51"/>
      <c r="D167" s="45" t="s">
        <v>371</v>
      </c>
      <c r="E167" s="46">
        <v>130.0</v>
      </c>
      <c r="F167" s="44">
        <v>25.0</v>
      </c>
      <c r="G167" s="47"/>
      <c r="H167" s="44">
        <v>38.0</v>
      </c>
      <c r="I167" s="47"/>
      <c r="J167" s="47"/>
      <c r="K167" s="47"/>
      <c r="L167" s="44">
        <v>2.0</v>
      </c>
      <c r="M167" s="44"/>
      <c r="N167" s="47"/>
      <c r="O167" s="47"/>
      <c r="P167" s="44"/>
      <c r="Q167" s="44">
        <v>18.0</v>
      </c>
      <c r="R167" s="44">
        <v>108.0</v>
      </c>
      <c r="S167" s="44">
        <v>0.0</v>
      </c>
      <c r="T167" s="47"/>
      <c r="U167" s="44">
        <v>75.0</v>
      </c>
      <c r="V167" s="47"/>
      <c r="W167" s="48"/>
      <c r="X167" s="48"/>
      <c r="Y167" s="49"/>
      <c r="Z167" s="47">
        <f t="shared" si="1"/>
        <v>396</v>
      </c>
      <c r="AA167" s="73" t="s">
        <v>372</v>
      </c>
      <c r="AB167" s="5"/>
      <c r="AC167" s="5"/>
      <c r="AD167" s="5"/>
      <c r="AE167" s="5"/>
      <c r="AF167" s="5"/>
      <c r="AG167" s="5"/>
      <c r="AH167" s="5"/>
      <c r="AI167" s="5"/>
      <c r="AJ167" s="5"/>
    </row>
    <row r="168">
      <c r="A168" s="43"/>
      <c r="B168" s="44">
        <v>161.0</v>
      </c>
      <c r="C168" s="51"/>
      <c r="D168" s="45" t="s">
        <v>373</v>
      </c>
      <c r="E168" s="46">
        <v>5.0</v>
      </c>
      <c r="F168" s="44">
        <v>127.0</v>
      </c>
      <c r="G168" s="47"/>
      <c r="H168" s="44">
        <v>0.0</v>
      </c>
      <c r="I168" s="47"/>
      <c r="J168" s="47"/>
      <c r="K168" s="47"/>
      <c r="L168" s="44">
        <v>9.0</v>
      </c>
      <c r="M168" s="44">
        <v>9.0</v>
      </c>
      <c r="N168" s="44"/>
      <c r="O168" s="47"/>
      <c r="P168" s="44"/>
      <c r="Q168" s="44">
        <v>36.0</v>
      </c>
      <c r="R168" s="44">
        <v>23.0</v>
      </c>
      <c r="S168" s="44">
        <v>35.0</v>
      </c>
      <c r="T168" s="47"/>
      <c r="U168" s="44">
        <v>84.0</v>
      </c>
      <c r="V168" s="47"/>
      <c r="W168" s="48"/>
      <c r="X168" s="48"/>
      <c r="Y168" s="49"/>
      <c r="Z168" s="47">
        <f t="shared" si="1"/>
        <v>328</v>
      </c>
      <c r="AA168" s="73" t="s">
        <v>374</v>
      </c>
      <c r="AB168" s="5"/>
      <c r="AC168" s="5"/>
      <c r="AD168" s="5"/>
      <c r="AE168" s="5"/>
      <c r="AF168" s="5"/>
      <c r="AG168" s="5"/>
      <c r="AH168" s="5"/>
      <c r="AI168" s="5"/>
      <c r="AJ168" s="5"/>
    </row>
    <row r="169">
      <c r="A169" s="43"/>
      <c r="B169" s="44">
        <v>162.0</v>
      </c>
      <c r="C169" s="51"/>
      <c r="D169" s="45" t="s">
        <v>375</v>
      </c>
      <c r="E169" s="46">
        <v>77.0</v>
      </c>
      <c r="F169" s="44">
        <v>15.0</v>
      </c>
      <c r="G169" s="47"/>
      <c r="H169" s="44">
        <v>0.0</v>
      </c>
      <c r="I169" s="47"/>
      <c r="J169" s="47"/>
      <c r="K169" s="47"/>
      <c r="L169" s="44"/>
      <c r="M169" s="44"/>
      <c r="N169" s="47"/>
      <c r="O169" s="47"/>
      <c r="P169" s="44"/>
      <c r="Q169" s="44">
        <v>0.0</v>
      </c>
      <c r="R169" s="44">
        <v>85.0</v>
      </c>
      <c r="S169" s="44">
        <v>0.0</v>
      </c>
      <c r="T169" s="47"/>
      <c r="U169" s="44">
        <v>0.0</v>
      </c>
      <c r="V169" s="47"/>
      <c r="W169" s="48"/>
      <c r="X169" s="48"/>
      <c r="Y169" s="49"/>
      <c r="Z169" s="47">
        <f t="shared" si="1"/>
        <v>177</v>
      </c>
      <c r="AA169" s="73" t="s">
        <v>376</v>
      </c>
      <c r="AB169" s="5"/>
      <c r="AC169" s="5"/>
      <c r="AD169" s="5"/>
      <c r="AE169" s="5"/>
      <c r="AF169" s="5"/>
      <c r="AG169" s="5"/>
      <c r="AH169" s="5"/>
      <c r="AI169" s="5"/>
      <c r="AJ169" s="5"/>
    </row>
    <row r="170">
      <c r="A170" s="43"/>
      <c r="B170" s="44">
        <v>163.0</v>
      </c>
      <c r="C170" s="118"/>
      <c r="D170" s="45" t="s">
        <v>377</v>
      </c>
      <c r="E170" s="46">
        <v>15.0</v>
      </c>
      <c r="F170" s="44">
        <v>9.0</v>
      </c>
      <c r="G170" s="47"/>
      <c r="H170" s="44">
        <v>14.0</v>
      </c>
      <c r="I170" s="47"/>
      <c r="J170" s="47"/>
      <c r="K170" s="47"/>
      <c r="L170" s="44"/>
      <c r="M170" s="47"/>
      <c r="N170" s="47"/>
      <c r="O170" s="47"/>
      <c r="P170" s="44"/>
      <c r="Q170" s="44">
        <v>0.0</v>
      </c>
      <c r="R170" s="44">
        <v>12.0</v>
      </c>
      <c r="S170" s="44">
        <v>0.0</v>
      </c>
      <c r="T170" s="47"/>
      <c r="U170" s="44">
        <v>5.0</v>
      </c>
      <c r="V170" s="47"/>
      <c r="W170" s="48"/>
      <c r="X170" s="48"/>
      <c r="Y170" s="49"/>
      <c r="Z170" s="47">
        <f t="shared" si="1"/>
        <v>55</v>
      </c>
      <c r="AA170" s="73" t="s">
        <v>378</v>
      </c>
      <c r="AB170" s="5"/>
      <c r="AC170" s="5"/>
      <c r="AD170" s="5"/>
      <c r="AE170" s="5"/>
      <c r="AF170" s="5"/>
      <c r="AG170" s="5"/>
      <c r="AH170" s="5"/>
      <c r="AI170" s="5"/>
      <c r="AJ170" s="5"/>
    </row>
    <row r="171">
      <c r="A171" s="43"/>
      <c r="B171" s="44">
        <v>164.0</v>
      </c>
      <c r="C171" s="118"/>
      <c r="D171" s="45" t="s">
        <v>379</v>
      </c>
      <c r="E171" s="46">
        <v>166.0</v>
      </c>
      <c r="F171" s="44">
        <v>2.0</v>
      </c>
      <c r="G171" s="47"/>
      <c r="H171" s="44">
        <v>56.0</v>
      </c>
      <c r="I171" s="47"/>
      <c r="J171" s="47"/>
      <c r="K171" s="47"/>
      <c r="L171" s="44"/>
      <c r="M171" s="47"/>
      <c r="N171" s="47"/>
      <c r="O171" s="47"/>
      <c r="P171" s="44"/>
      <c r="Q171" s="44">
        <v>6.0</v>
      </c>
      <c r="R171" s="44">
        <v>42.0</v>
      </c>
      <c r="S171" s="44">
        <v>0.0</v>
      </c>
      <c r="T171" s="47"/>
      <c r="U171" s="44">
        <v>77.0</v>
      </c>
      <c r="V171" s="47"/>
      <c r="W171" s="48"/>
      <c r="X171" s="48"/>
      <c r="Y171" s="49"/>
      <c r="Z171" s="47">
        <f t="shared" si="1"/>
        <v>349</v>
      </c>
      <c r="AA171" s="73" t="s">
        <v>380</v>
      </c>
      <c r="AB171" s="5"/>
      <c r="AC171" s="5"/>
      <c r="AD171" s="5"/>
      <c r="AE171" s="5"/>
      <c r="AF171" s="5"/>
      <c r="AG171" s="5"/>
      <c r="AH171" s="5"/>
      <c r="AI171" s="5"/>
      <c r="AJ171" s="5"/>
    </row>
    <row r="172">
      <c r="A172" s="43"/>
      <c r="B172" s="44">
        <v>165.0</v>
      </c>
      <c r="C172" s="51"/>
      <c r="D172" s="45" t="s">
        <v>381</v>
      </c>
      <c r="E172" s="46">
        <v>23.0</v>
      </c>
      <c r="F172" s="47"/>
      <c r="G172" s="47"/>
      <c r="H172" s="44">
        <v>8.0</v>
      </c>
      <c r="I172" s="44">
        <v>13.0</v>
      </c>
      <c r="J172" s="47"/>
      <c r="K172" s="47"/>
      <c r="L172" s="47"/>
      <c r="M172" s="44">
        <v>12.0</v>
      </c>
      <c r="N172" s="47"/>
      <c r="O172" s="47"/>
      <c r="P172" s="47"/>
      <c r="Q172" s="47"/>
      <c r="R172" s="44">
        <v>15.0</v>
      </c>
      <c r="S172" s="47"/>
      <c r="T172" s="47"/>
      <c r="U172" s="44">
        <v>13.0</v>
      </c>
      <c r="V172" s="47"/>
      <c r="W172" s="48"/>
      <c r="X172" s="48"/>
      <c r="Y172" s="49"/>
      <c r="Z172" s="47">
        <f t="shared" si="1"/>
        <v>84</v>
      </c>
      <c r="AA172" s="119" t="s">
        <v>382</v>
      </c>
      <c r="AB172" s="5"/>
      <c r="AC172" s="5"/>
      <c r="AD172" s="5"/>
      <c r="AE172" s="5"/>
      <c r="AF172" s="5"/>
      <c r="AG172" s="5"/>
      <c r="AH172" s="5"/>
      <c r="AI172" s="5"/>
      <c r="AJ172" s="5"/>
    </row>
    <row r="173">
      <c r="A173" s="43"/>
      <c r="B173" s="44">
        <v>166.0</v>
      </c>
      <c r="C173" s="51"/>
      <c r="D173" s="45" t="s">
        <v>383</v>
      </c>
      <c r="E173" s="46">
        <v>330.0</v>
      </c>
      <c r="F173" s="47"/>
      <c r="G173" s="47"/>
      <c r="H173" s="47"/>
      <c r="I173" s="47"/>
      <c r="J173" s="47"/>
      <c r="K173" s="47"/>
      <c r="L173" s="47"/>
      <c r="M173" s="47"/>
      <c r="N173" s="47"/>
      <c r="O173" s="47"/>
      <c r="P173" s="47"/>
      <c r="Q173" s="47"/>
      <c r="R173" s="47"/>
      <c r="S173" s="47"/>
      <c r="T173" s="47"/>
      <c r="U173" s="47"/>
      <c r="V173" s="47"/>
      <c r="W173" s="48"/>
      <c r="X173" s="48"/>
      <c r="Y173" s="49"/>
      <c r="Z173" s="47">
        <f t="shared" si="1"/>
        <v>330</v>
      </c>
      <c r="AA173" s="68"/>
      <c r="AB173" s="5"/>
      <c r="AC173" s="5"/>
      <c r="AD173" s="5"/>
      <c r="AE173" s="5"/>
      <c r="AF173" s="5"/>
      <c r="AG173" s="5"/>
      <c r="AH173" s="5"/>
      <c r="AI173" s="5"/>
      <c r="AJ173" s="5"/>
    </row>
    <row r="174">
      <c r="A174" s="43"/>
      <c r="B174" s="44">
        <v>167.0</v>
      </c>
      <c r="C174" s="51"/>
      <c r="D174" s="45" t="s">
        <v>384</v>
      </c>
      <c r="E174" s="46">
        <v>30.0</v>
      </c>
      <c r="F174" s="47"/>
      <c r="G174" s="47"/>
      <c r="H174" s="44">
        <v>9.0</v>
      </c>
      <c r="I174" s="47"/>
      <c r="J174" s="47"/>
      <c r="K174" s="47"/>
      <c r="L174" s="47"/>
      <c r="M174" s="44">
        <v>105.0</v>
      </c>
      <c r="N174" s="47"/>
      <c r="O174" s="47"/>
      <c r="P174" s="47"/>
      <c r="Q174" s="47"/>
      <c r="R174" s="47"/>
      <c r="S174" s="47"/>
      <c r="T174" s="47"/>
      <c r="U174" s="44">
        <v>7.0</v>
      </c>
      <c r="V174" s="47"/>
      <c r="W174" s="48"/>
      <c r="X174" s="48"/>
      <c r="Y174" s="49"/>
      <c r="Z174" s="47">
        <f t="shared" si="1"/>
        <v>151</v>
      </c>
      <c r="AA174" s="64" t="s">
        <v>385</v>
      </c>
      <c r="AB174" s="5"/>
      <c r="AC174" s="5"/>
      <c r="AD174" s="5"/>
      <c r="AE174" s="5"/>
      <c r="AF174" s="5"/>
      <c r="AG174" s="5"/>
      <c r="AH174" s="5"/>
      <c r="AI174" s="5"/>
      <c r="AJ174" s="5"/>
    </row>
    <row r="175">
      <c r="A175" s="43"/>
      <c r="B175" s="44">
        <v>168.0</v>
      </c>
      <c r="C175" s="51"/>
      <c r="D175" s="45" t="s">
        <v>386</v>
      </c>
      <c r="E175" s="46">
        <v>71.0</v>
      </c>
      <c r="F175" s="47"/>
      <c r="G175" s="47"/>
      <c r="H175" s="44">
        <v>58.0</v>
      </c>
      <c r="I175" s="47"/>
      <c r="J175" s="47"/>
      <c r="K175" s="47"/>
      <c r="L175" s="47"/>
      <c r="M175" s="47"/>
      <c r="N175" s="47"/>
      <c r="O175" s="47"/>
      <c r="P175" s="47"/>
      <c r="Q175" s="47"/>
      <c r="R175" s="47"/>
      <c r="S175" s="47"/>
      <c r="T175" s="47"/>
      <c r="U175" s="44">
        <v>19.0</v>
      </c>
      <c r="V175" s="47"/>
      <c r="W175" s="48"/>
      <c r="X175" s="48"/>
      <c r="Y175" s="49"/>
      <c r="Z175" s="47">
        <f t="shared" si="1"/>
        <v>148</v>
      </c>
      <c r="AA175" s="68"/>
      <c r="AB175" s="5"/>
      <c r="AC175" s="5"/>
      <c r="AD175" s="5"/>
      <c r="AE175" s="5"/>
      <c r="AF175" s="5"/>
      <c r="AG175" s="5"/>
      <c r="AH175" s="5"/>
      <c r="AI175" s="5"/>
      <c r="AJ175" s="5"/>
    </row>
    <row r="176">
      <c r="A176" s="43"/>
      <c r="B176" s="44">
        <v>169.0</v>
      </c>
      <c r="C176" s="51"/>
      <c r="D176" s="45" t="s">
        <v>387</v>
      </c>
      <c r="E176" s="46">
        <v>160.0</v>
      </c>
      <c r="F176" s="47"/>
      <c r="G176" s="47"/>
      <c r="H176" s="47"/>
      <c r="I176" s="47"/>
      <c r="J176" s="47"/>
      <c r="K176" s="47"/>
      <c r="L176" s="47"/>
      <c r="M176" s="44">
        <v>7.0</v>
      </c>
      <c r="N176" s="47"/>
      <c r="O176" s="47"/>
      <c r="P176" s="47"/>
      <c r="Q176" s="44">
        <v>6.0</v>
      </c>
      <c r="R176" s="44">
        <v>44.0</v>
      </c>
      <c r="S176" s="47"/>
      <c r="T176" s="47"/>
      <c r="U176" s="47"/>
      <c r="V176" s="47"/>
      <c r="W176" s="48"/>
      <c r="X176" s="48"/>
      <c r="Y176" s="49"/>
      <c r="Z176" s="47">
        <f t="shared" si="1"/>
        <v>217</v>
      </c>
      <c r="AA176" s="76" t="s">
        <v>388</v>
      </c>
      <c r="AB176" s="5"/>
      <c r="AC176" s="5"/>
      <c r="AD176" s="5"/>
      <c r="AE176" s="5"/>
      <c r="AF176" s="5"/>
      <c r="AG176" s="5"/>
      <c r="AH176" s="5"/>
      <c r="AI176" s="5"/>
      <c r="AJ176" s="5"/>
    </row>
    <row r="177">
      <c r="A177" s="43"/>
      <c r="B177" s="44">
        <v>170.0</v>
      </c>
      <c r="C177" s="51"/>
      <c r="D177" s="45" t="s">
        <v>389</v>
      </c>
      <c r="E177" s="46">
        <v>162.0</v>
      </c>
      <c r="F177" s="47"/>
      <c r="G177" s="47"/>
      <c r="H177" s="47"/>
      <c r="I177" s="47"/>
      <c r="J177" s="47"/>
      <c r="K177" s="47"/>
      <c r="L177" s="47"/>
      <c r="M177" s="44">
        <v>128.0</v>
      </c>
      <c r="N177" s="47"/>
      <c r="O177" s="47"/>
      <c r="P177" s="47"/>
      <c r="Q177" s="47"/>
      <c r="R177" s="44">
        <v>106.0</v>
      </c>
      <c r="S177" s="47"/>
      <c r="T177" s="47"/>
      <c r="U177" s="47"/>
      <c r="V177" s="47"/>
      <c r="W177" s="48"/>
      <c r="X177" s="48"/>
      <c r="Y177" s="49"/>
      <c r="Z177" s="47">
        <f t="shared" si="1"/>
        <v>396</v>
      </c>
      <c r="AA177" s="74" t="s">
        <v>390</v>
      </c>
      <c r="AB177" s="5"/>
      <c r="AC177" s="5"/>
      <c r="AD177" s="5"/>
      <c r="AE177" s="5"/>
      <c r="AF177" s="5"/>
      <c r="AG177" s="5"/>
      <c r="AH177" s="5"/>
      <c r="AI177" s="5"/>
      <c r="AJ177" s="5"/>
    </row>
    <row r="178">
      <c r="A178" s="43"/>
      <c r="B178" s="44">
        <v>171.0</v>
      </c>
      <c r="C178" s="120" t="s">
        <v>391</v>
      </c>
      <c r="D178" s="45" t="s">
        <v>392</v>
      </c>
      <c r="E178" s="46">
        <v>3325.0</v>
      </c>
      <c r="F178" s="121"/>
      <c r="G178" s="47"/>
      <c r="H178" s="44">
        <v>2.0</v>
      </c>
      <c r="I178" s="47"/>
      <c r="J178" s="44"/>
      <c r="K178" s="44"/>
      <c r="L178" s="44"/>
      <c r="M178" s="44"/>
      <c r="N178" s="47"/>
      <c r="O178" s="47"/>
      <c r="P178" s="44"/>
      <c r="Q178" s="44"/>
      <c r="R178" s="44">
        <v>24.0</v>
      </c>
      <c r="S178" s="47"/>
      <c r="T178" s="47"/>
      <c r="U178" s="44"/>
      <c r="V178" s="47"/>
      <c r="W178" s="48"/>
      <c r="X178" s="48"/>
      <c r="Y178" s="49"/>
      <c r="Z178" s="47">
        <f t="shared" si="1"/>
        <v>3351</v>
      </c>
      <c r="AA178" s="64" t="s">
        <v>393</v>
      </c>
      <c r="AB178" s="69" t="s">
        <v>394</v>
      </c>
      <c r="AC178" s="5"/>
      <c r="AD178" s="5"/>
      <c r="AE178" s="5"/>
      <c r="AF178" s="5"/>
      <c r="AG178" s="5"/>
      <c r="AH178" s="5"/>
      <c r="AI178" s="5"/>
      <c r="AJ178" s="5"/>
    </row>
    <row r="179">
      <c r="A179" s="43"/>
      <c r="B179" s="44">
        <v>172.0</v>
      </c>
      <c r="C179" s="51"/>
      <c r="D179" s="45" t="s">
        <v>395</v>
      </c>
      <c r="E179" s="46">
        <v>725.0</v>
      </c>
      <c r="F179" s="121"/>
      <c r="G179" s="47"/>
      <c r="H179" s="47"/>
      <c r="I179" s="47"/>
      <c r="J179" s="47"/>
      <c r="K179" s="47"/>
      <c r="L179" s="44"/>
      <c r="M179" s="44">
        <v>9.0</v>
      </c>
      <c r="N179" s="47"/>
      <c r="O179" s="47"/>
      <c r="P179" s="44"/>
      <c r="Q179" s="44"/>
      <c r="R179" s="44">
        <v>66.0</v>
      </c>
      <c r="S179" s="47"/>
      <c r="T179" s="47"/>
      <c r="U179" s="47"/>
      <c r="V179" s="47"/>
      <c r="W179" s="48"/>
      <c r="X179" s="48"/>
      <c r="Y179" s="49"/>
      <c r="Z179" s="47">
        <f t="shared" si="1"/>
        <v>800</v>
      </c>
      <c r="AA179" s="64" t="s">
        <v>396</v>
      </c>
      <c r="AB179" s="122" t="s">
        <v>397</v>
      </c>
      <c r="AC179" s="5"/>
      <c r="AD179" s="5"/>
      <c r="AE179" s="5"/>
      <c r="AF179" s="5"/>
      <c r="AG179" s="5"/>
      <c r="AH179" s="5"/>
      <c r="AI179" s="5"/>
      <c r="AJ179" s="5"/>
    </row>
    <row r="180">
      <c r="A180" s="43"/>
      <c r="B180" s="44">
        <v>173.0</v>
      </c>
      <c r="C180" s="51"/>
      <c r="D180" s="45" t="s">
        <v>398</v>
      </c>
      <c r="E180" s="46">
        <v>272.0</v>
      </c>
      <c r="F180" s="53">
        <v>3.0</v>
      </c>
      <c r="G180" s="47"/>
      <c r="H180" s="47"/>
      <c r="I180" s="44">
        <v>8.0</v>
      </c>
      <c r="J180" s="47"/>
      <c r="K180" s="47"/>
      <c r="L180" s="44">
        <v>3.0</v>
      </c>
      <c r="M180" s="47"/>
      <c r="N180" s="47"/>
      <c r="O180" s="47"/>
      <c r="P180" s="47"/>
      <c r="Q180" s="44">
        <v>14.0</v>
      </c>
      <c r="R180" s="44">
        <v>1000.0</v>
      </c>
      <c r="S180" s="44">
        <v>1.0</v>
      </c>
      <c r="T180" s="47"/>
      <c r="U180" s="44">
        <v>2.0</v>
      </c>
      <c r="V180" s="47"/>
      <c r="W180" s="48"/>
      <c r="X180" s="48"/>
      <c r="Y180" s="49"/>
      <c r="Z180" s="47">
        <f t="shared" si="1"/>
        <v>1303</v>
      </c>
      <c r="AA180" s="64" t="s">
        <v>399</v>
      </c>
      <c r="AB180" s="5"/>
      <c r="AC180" s="5"/>
      <c r="AD180" s="5"/>
      <c r="AE180" s="5"/>
      <c r="AF180" s="5"/>
      <c r="AG180" s="5"/>
      <c r="AH180" s="5"/>
      <c r="AI180" s="5"/>
      <c r="AJ180" s="5"/>
    </row>
    <row r="181">
      <c r="A181" s="43"/>
      <c r="B181" s="44">
        <v>174.0</v>
      </c>
      <c r="C181" s="51"/>
      <c r="D181" s="45" t="s">
        <v>400</v>
      </c>
      <c r="E181" s="46">
        <v>156.0</v>
      </c>
      <c r="F181" s="47"/>
      <c r="G181" s="44"/>
      <c r="H181" s="44">
        <v>1.0</v>
      </c>
      <c r="I181" s="47"/>
      <c r="J181" s="44"/>
      <c r="K181" s="44"/>
      <c r="L181" s="47"/>
      <c r="M181" s="44">
        <v>5.0</v>
      </c>
      <c r="N181" s="47"/>
      <c r="O181" s="47"/>
      <c r="P181" s="44"/>
      <c r="Q181" s="44"/>
      <c r="R181" s="44">
        <v>20.0</v>
      </c>
      <c r="S181" s="47"/>
      <c r="T181" s="47"/>
      <c r="U181" s="47"/>
      <c r="V181" s="47"/>
      <c r="W181" s="48"/>
      <c r="X181" s="48"/>
      <c r="Y181" s="49"/>
      <c r="Z181" s="47">
        <f t="shared" si="1"/>
        <v>182</v>
      </c>
      <c r="AA181" s="111" t="s">
        <v>401</v>
      </c>
      <c r="AB181" s="5"/>
      <c r="AC181" s="5"/>
      <c r="AD181" s="5"/>
      <c r="AE181" s="5"/>
      <c r="AF181" s="5"/>
      <c r="AG181" s="5"/>
      <c r="AH181" s="5"/>
      <c r="AI181" s="5"/>
      <c r="AJ181" s="5"/>
    </row>
    <row r="182">
      <c r="A182" s="43"/>
      <c r="B182" s="44">
        <v>175.0</v>
      </c>
      <c r="C182" s="51"/>
      <c r="D182" s="45" t="s">
        <v>402</v>
      </c>
      <c r="E182" s="46">
        <v>352.0</v>
      </c>
      <c r="F182" s="44">
        <v>7.0</v>
      </c>
      <c r="G182" s="47"/>
      <c r="H182" s="47"/>
      <c r="I182" s="47"/>
      <c r="J182" s="47"/>
      <c r="K182" s="47"/>
      <c r="L182" s="47"/>
      <c r="M182" s="44"/>
      <c r="N182" s="47"/>
      <c r="O182" s="47"/>
      <c r="P182" s="47"/>
      <c r="Q182" s="47"/>
      <c r="R182" s="44">
        <v>20.0</v>
      </c>
      <c r="S182" s="47"/>
      <c r="T182" s="47"/>
      <c r="U182" s="47"/>
      <c r="V182" s="47"/>
      <c r="W182" s="48"/>
      <c r="X182" s="48"/>
      <c r="Y182" s="49"/>
      <c r="Z182" s="47">
        <f t="shared" si="1"/>
        <v>379</v>
      </c>
      <c r="AA182" s="111" t="s">
        <v>401</v>
      </c>
      <c r="AB182" s="5"/>
      <c r="AC182" s="5"/>
      <c r="AD182" s="5"/>
      <c r="AE182" s="5"/>
      <c r="AF182" s="5"/>
      <c r="AG182" s="5"/>
      <c r="AH182" s="5"/>
      <c r="AI182" s="5"/>
      <c r="AJ182" s="5"/>
    </row>
    <row r="183">
      <c r="A183" s="43"/>
      <c r="B183" s="44">
        <v>176.0</v>
      </c>
      <c r="C183" s="51"/>
      <c r="D183" s="45" t="s">
        <v>403</v>
      </c>
      <c r="E183" s="46">
        <v>158.0</v>
      </c>
      <c r="F183" s="47"/>
      <c r="G183" s="47"/>
      <c r="H183" s="47"/>
      <c r="I183" s="47"/>
      <c r="J183" s="47"/>
      <c r="K183" s="47"/>
      <c r="L183" s="47"/>
      <c r="M183" s="47"/>
      <c r="N183" s="47"/>
      <c r="O183" s="47"/>
      <c r="P183" s="47"/>
      <c r="Q183" s="44">
        <v>26.0</v>
      </c>
      <c r="R183" s="44">
        <v>193.0</v>
      </c>
      <c r="S183" s="47"/>
      <c r="T183" s="47"/>
      <c r="U183" s="47"/>
      <c r="V183" s="47"/>
      <c r="W183" s="48"/>
      <c r="X183" s="48"/>
      <c r="Y183" s="49"/>
      <c r="Z183" s="47">
        <f t="shared" si="1"/>
        <v>377</v>
      </c>
      <c r="AA183" s="70" t="s">
        <v>404</v>
      </c>
      <c r="AB183" s="5"/>
      <c r="AC183" s="5"/>
      <c r="AD183" s="5"/>
      <c r="AE183" s="5"/>
      <c r="AF183" s="5"/>
      <c r="AG183" s="5"/>
      <c r="AH183" s="5"/>
      <c r="AI183" s="5"/>
      <c r="AJ183" s="5"/>
    </row>
    <row r="184">
      <c r="A184" s="43"/>
      <c r="B184" s="44">
        <v>177.0</v>
      </c>
      <c r="C184" s="51"/>
      <c r="D184" s="45" t="s">
        <v>405</v>
      </c>
      <c r="E184" s="46">
        <v>630.0</v>
      </c>
      <c r="F184" s="47"/>
      <c r="G184" s="47"/>
      <c r="H184" s="47"/>
      <c r="I184" s="47"/>
      <c r="J184" s="47"/>
      <c r="K184" s="47"/>
      <c r="L184" s="47"/>
      <c r="M184" s="89">
        <v>10.0</v>
      </c>
      <c r="N184" s="47"/>
      <c r="O184" s="47"/>
      <c r="P184" s="47"/>
      <c r="Q184" s="47"/>
      <c r="R184" s="44">
        <v>190.0</v>
      </c>
      <c r="S184" s="47"/>
      <c r="T184" s="47"/>
      <c r="U184" s="47"/>
      <c r="V184" s="47"/>
      <c r="W184" s="48"/>
      <c r="X184" s="48"/>
      <c r="Y184" s="49"/>
      <c r="Z184" s="47">
        <f t="shared" si="1"/>
        <v>830</v>
      </c>
      <c r="AA184" s="111" t="s">
        <v>406</v>
      </c>
      <c r="AB184" s="5"/>
      <c r="AC184" s="5"/>
      <c r="AD184" s="5"/>
      <c r="AE184" s="5"/>
      <c r="AF184" s="5"/>
      <c r="AG184" s="5"/>
      <c r="AH184" s="5"/>
      <c r="AI184" s="5"/>
      <c r="AJ184" s="5"/>
    </row>
    <row r="185">
      <c r="A185" s="43"/>
      <c r="B185" s="44">
        <v>178.0</v>
      </c>
      <c r="C185" s="51"/>
      <c r="D185" s="45" t="s">
        <v>407</v>
      </c>
      <c r="E185" s="46">
        <v>684.0</v>
      </c>
      <c r="F185" s="47"/>
      <c r="G185" s="47"/>
      <c r="H185" s="47"/>
      <c r="I185" s="47"/>
      <c r="J185" s="47"/>
      <c r="K185" s="47"/>
      <c r="L185" s="47"/>
      <c r="M185" s="44">
        <v>37.0</v>
      </c>
      <c r="N185" s="47"/>
      <c r="O185" s="47"/>
      <c r="P185" s="47"/>
      <c r="Q185" s="47"/>
      <c r="R185" s="44">
        <v>62.0</v>
      </c>
      <c r="S185" s="47"/>
      <c r="T185" s="47"/>
      <c r="U185" s="47"/>
      <c r="V185" s="47"/>
      <c r="W185" s="48"/>
      <c r="X185" s="48"/>
      <c r="Y185" s="49"/>
      <c r="Z185" s="47">
        <f t="shared" si="1"/>
        <v>783</v>
      </c>
      <c r="AA185" s="68"/>
      <c r="AB185" s="5"/>
      <c r="AC185" s="5"/>
      <c r="AD185" s="5"/>
      <c r="AE185" s="5"/>
      <c r="AF185" s="5"/>
      <c r="AG185" s="5"/>
      <c r="AH185" s="5"/>
      <c r="AI185" s="5"/>
      <c r="AJ185" s="5"/>
    </row>
    <row r="186">
      <c r="A186" s="43"/>
      <c r="B186" s="44">
        <v>179.0</v>
      </c>
      <c r="C186" s="51"/>
      <c r="D186" s="45" t="s">
        <v>408</v>
      </c>
      <c r="E186" s="46">
        <v>183.0</v>
      </c>
      <c r="F186" s="47"/>
      <c r="G186" s="47"/>
      <c r="H186" s="44">
        <v>45.0</v>
      </c>
      <c r="I186" s="44">
        <v>4.0</v>
      </c>
      <c r="J186" s="47"/>
      <c r="K186" s="47"/>
      <c r="L186" s="44">
        <v>2.0</v>
      </c>
      <c r="M186" s="44">
        <v>7.0</v>
      </c>
      <c r="N186" s="47"/>
      <c r="O186" s="47"/>
      <c r="P186" s="47"/>
      <c r="Q186" s="47"/>
      <c r="R186" s="44">
        <v>1145.0</v>
      </c>
      <c r="S186" s="47"/>
      <c r="T186" s="47"/>
      <c r="U186" s="44">
        <v>64.0</v>
      </c>
      <c r="V186" s="47"/>
      <c r="W186" s="48"/>
      <c r="X186" s="48"/>
      <c r="Y186" s="49"/>
      <c r="Z186" s="47">
        <f t="shared" si="1"/>
        <v>1450</v>
      </c>
      <c r="AA186" s="63" t="s">
        <v>409</v>
      </c>
      <c r="AB186" s="5"/>
      <c r="AC186" s="5"/>
      <c r="AD186" s="5"/>
      <c r="AE186" s="5"/>
      <c r="AF186" s="5"/>
      <c r="AG186" s="5"/>
      <c r="AH186" s="5"/>
      <c r="AI186" s="5"/>
      <c r="AJ186" s="5"/>
    </row>
    <row r="187">
      <c r="A187" s="43"/>
      <c r="B187" s="44">
        <v>180.0</v>
      </c>
      <c r="C187" s="45" t="s">
        <v>410</v>
      </c>
      <c r="D187" s="45" t="s">
        <v>411</v>
      </c>
      <c r="E187" s="46">
        <v>71.0</v>
      </c>
      <c r="F187" s="47"/>
      <c r="G187" s="47"/>
      <c r="H187" s="44">
        <v>9.0</v>
      </c>
      <c r="I187" s="47"/>
      <c r="J187" s="47"/>
      <c r="K187" s="47"/>
      <c r="L187" s="47"/>
      <c r="M187" s="47"/>
      <c r="N187" s="47"/>
      <c r="O187" s="47"/>
      <c r="P187" s="47"/>
      <c r="Q187" s="47"/>
      <c r="R187" s="44">
        <v>231.0</v>
      </c>
      <c r="S187" s="47"/>
      <c r="T187" s="47"/>
      <c r="U187" s="47"/>
      <c r="V187" s="47"/>
      <c r="W187" s="48"/>
      <c r="X187" s="48"/>
      <c r="Y187" s="49"/>
      <c r="Z187" s="47">
        <f t="shared" si="1"/>
        <v>311</v>
      </c>
      <c r="AA187" s="64" t="s">
        <v>347</v>
      </c>
      <c r="AB187" s="69"/>
      <c r="AC187" s="5"/>
      <c r="AD187" s="5"/>
      <c r="AE187" s="5"/>
      <c r="AF187" s="5"/>
      <c r="AG187" s="5"/>
      <c r="AH187" s="5"/>
      <c r="AI187" s="5"/>
      <c r="AJ187" s="5"/>
    </row>
    <row r="188">
      <c r="A188" s="43"/>
      <c r="B188" s="44">
        <v>181.0</v>
      </c>
      <c r="C188" s="51"/>
      <c r="D188" s="45" t="s">
        <v>412</v>
      </c>
      <c r="E188" s="46">
        <v>54.0</v>
      </c>
      <c r="F188" s="44">
        <v>46.0</v>
      </c>
      <c r="G188" s="47"/>
      <c r="H188" s="47"/>
      <c r="I188" s="47"/>
      <c r="J188" s="47"/>
      <c r="K188" s="47"/>
      <c r="L188" s="47"/>
      <c r="M188" s="47"/>
      <c r="N188" s="44"/>
      <c r="O188" s="47"/>
      <c r="P188" s="47"/>
      <c r="Q188" s="47"/>
      <c r="R188" s="44">
        <v>236.0</v>
      </c>
      <c r="S188" s="47"/>
      <c r="T188" s="47"/>
      <c r="U188" s="47"/>
      <c r="V188" s="47"/>
      <c r="W188" s="48"/>
      <c r="X188" s="48"/>
      <c r="Y188" s="49"/>
      <c r="Z188" s="47">
        <f t="shared" si="1"/>
        <v>336</v>
      </c>
      <c r="AA188" s="62" t="s">
        <v>413</v>
      </c>
      <c r="AB188" s="5"/>
      <c r="AC188" s="5"/>
      <c r="AD188" s="5"/>
      <c r="AE188" s="5"/>
      <c r="AF188" s="5"/>
      <c r="AG188" s="5"/>
      <c r="AH188" s="5"/>
      <c r="AI188" s="5"/>
      <c r="AJ188" s="5"/>
    </row>
    <row r="189">
      <c r="A189" s="43"/>
      <c r="B189" s="44">
        <v>182.0</v>
      </c>
      <c r="C189" s="51"/>
      <c r="D189" s="45" t="s">
        <v>414</v>
      </c>
      <c r="E189" s="46">
        <v>226.0</v>
      </c>
      <c r="F189" s="47"/>
      <c r="G189" s="47"/>
      <c r="H189" s="47"/>
      <c r="I189" s="47"/>
      <c r="J189" s="47"/>
      <c r="K189" s="47"/>
      <c r="L189" s="47"/>
      <c r="M189" s="47"/>
      <c r="N189" s="47"/>
      <c r="O189" s="47"/>
      <c r="P189" s="47"/>
      <c r="Q189" s="47"/>
      <c r="R189" s="44">
        <v>90.0</v>
      </c>
      <c r="S189" s="47"/>
      <c r="T189" s="47"/>
      <c r="U189" s="47"/>
      <c r="V189" s="47"/>
      <c r="W189" s="48"/>
      <c r="X189" s="48"/>
      <c r="Y189" s="49"/>
      <c r="Z189" s="47">
        <f t="shared" si="1"/>
        <v>316</v>
      </c>
      <c r="AA189" s="111" t="s">
        <v>1</v>
      </c>
      <c r="AB189" s="5"/>
      <c r="AC189" s="5"/>
      <c r="AD189" s="5"/>
      <c r="AE189" s="5"/>
      <c r="AF189" s="5"/>
      <c r="AG189" s="5"/>
      <c r="AH189" s="5"/>
      <c r="AI189" s="5"/>
      <c r="AJ189" s="5"/>
    </row>
    <row r="190">
      <c r="A190" s="43"/>
      <c r="B190" s="44">
        <v>183.0</v>
      </c>
      <c r="C190" s="51"/>
      <c r="D190" s="45" t="s">
        <v>415</v>
      </c>
      <c r="E190" s="46">
        <v>208.0</v>
      </c>
      <c r="F190" s="47"/>
      <c r="G190" s="47"/>
      <c r="H190" s="47"/>
      <c r="I190" s="47"/>
      <c r="J190" s="47"/>
      <c r="K190" s="47"/>
      <c r="L190" s="47"/>
      <c r="M190" s="47"/>
      <c r="N190" s="47"/>
      <c r="O190" s="47"/>
      <c r="P190" s="47"/>
      <c r="Q190" s="47"/>
      <c r="R190" s="47"/>
      <c r="S190" s="47"/>
      <c r="T190" s="47"/>
      <c r="U190" s="47"/>
      <c r="V190" s="47"/>
      <c r="W190" s="48"/>
      <c r="X190" s="48"/>
      <c r="Y190" s="49"/>
      <c r="Z190" s="47">
        <f t="shared" si="1"/>
        <v>208</v>
      </c>
      <c r="AA190" s="68"/>
      <c r="AB190" s="5"/>
      <c r="AC190" s="5"/>
      <c r="AD190" s="5"/>
      <c r="AE190" s="5"/>
      <c r="AF190" s="5"/>
      <c r="AG190" s="5"/>
      <c r="AH190" s="5"/>
      <c r="AI190" s="5"/>
      <c r="AJ190" s="5"/>
    </row>
    <row r="191">
      <c r="A191" s="43"/>
      <c r="B191" s="44">
        <v>184.0</v>
      </c>
      <c r="C191" s="51"/>
      <c r="D191" s="45" t="s">
        <v>416</v>
      </c>
      <c r="E191" s="46">
        <v>155.0</v>
      </c>
      <c r="F191" s="47"/>
      <c r="G191" s="47"/>
      <c r="H191" s="44">
        <v>9.0</v>
      </c>
      <c r="I191" s="44">
        <v>1.0</v>
      </c>
      <c r="J191" s="47"/>
      <c r="K191" s="47"/>
      <c r="L191" s="47"/>
      <c r="M191" s="47"/>
      <c r="N191" s="47"/>
      <c r="O191" s="47"/>
      <c r="P191" s="44"/>
      <c r="Q191" s="44">
        <v>46.0</v>
      </c>
      <c r="R191" s="44">
        <v>148.0</v>
      </c>
      <c r="S191" s="47"/>
      <c r="T191" s="47"/>
      <c r="U191" s="47"/>
      <c r="V191" s="47"/>
      <c r="W191" s="48"/>
      <c r="X191" s="48"/>
      <c r="Y191" s="49"/>
      <c r="Z191" s="47">
        <f t="shared" si="1"/>
        <v>359</v>
      </c>
      <c r="AA191" s="111" t="s">
        <v>417</v>
      </c>
      <c r="AB191" s="5"/>
      <c r="AC191" s="5"/>
      <c r="AD191" s="5"/>
      <c r="AE191" s="5"/>
      <c r="AF191" s="5"/>
      <c r="AG191" s="5"/>
      <c r="AH191" s="5"/>
      <c r="AI191" s="5"/>
      <c r="AJ191" s="5"/>
    </row>
    <row r="192">
      <c r="A192" s="43"/>
      <c r="B192" s="44">
        <v>185.0</v>
      </c>
      <c r="C192" s="51"/>
      <c r="D192" s="45" t="s">
        <v>418</v>
      </c>
      <c r="E192" s="46">
        <v>0.0</v>
      </c>
      <c r="F192" s="47"/>
      <c r="G192" s="47"/>
      <c r="H192" s="47"/>
      <c r="I192" s="47"/>
      <c r="J192" s="47"/>
      <c r="K192" s="47"/>
      <c r="L192" s="47"/>
      <c r="M192" s="44">
        <v>7.0</v>
      </c>
      <c r="N192" s="47"/>
      <c r="O192" s="47"/>
      <c r="P192" s="47"/>
      <c r="Q192" s="47"/>
      <c r="R192" s="44">
        <v>13.0</v>
      </c>
      <c r="S192" s="47"/>
      <c r="T192" s="47"/>
      <c r="U192" s="47"/>
      <c r="V192" s="47"/>
      <c r="W192" s="48"/>
      <c r="X192" s="48"/>
      <c r="Y192" s="49"/>
      <c r="Z192" s="47">
        <f t="shared" si="1"/>
        <v>20</v>
      </c>
      <c r="AA192" s="82" t="s">
        <v>419</v>
      </c>
      <c r="AB192" s="5"/>
      <c r="AC192" s="5"/>
      <c r="AD192" s="5"/>
      <c r="AE192" s="5"/>
      <c r="AF192" s="5"/>
      <c r="AG192" s="5"/>
      <c r="AH192" s="5"/>
      <c r="AI192" s="5"/>
      <c r="AJ192" s="5"/>
    </row>
    <row r="193">
      <c r="A193" s="43"/>
      <c r="B193" s="44">
        <v>186.0</v>
      </c>
      <c r="C193" s="45" t="s">
        <v>420</v>
      </c>
      <c r="D193" s="45" t="s">
        <v>421</v>
      </c>
      <c r="E193" s="46">
        <v>21.0</v>
      </c>
      <c r="F193" s="47"/>
      <c r="G193" s="47"/>
      <c r="H193" s="47"/>
      <c r="I193" s="47"/>
      <c r="J193" s="47"/>
      <c r="K193" s="47"/>
      <c r="L193" s="47"/>
      <c r="M193" s="47"/>
      <c r="N193" s="47"/>
      <c r="O193" s="47"/>
      <c r="P193" s="47"/>
      <c r="Q193" s="47"/>
      <c r="R193" s="44">
        <v>51.0</v>
      </c>
      <c r="S193" s="47"/>
      <c r="T193" s="47"/>
      <c r="U193" s="47"/>
      <c r="V193" s="47"/>
      <c r="W193" s="48"/>
      <c r="X193" s="48"/>
      <c r="Y193" s="49"/>
      <c r="Z193" s="47">
        <f t="shared" si="1"/>
        <v>72</v>
      </c>
      <c r="AA193" s="58" t="s">
        <v>422</v>
      </c>
      <c r="AB193" s="5"/>
      <c r="AC193" s="5"/>
      <c r="AD193" s="5"/>
      <c r="AE193" s="5"/>
      <c r="AF193" s="5"/>
      <c r="AG193" s="5"/>
      <c r="AH193" s="5"/>
      <c r="AI193" s="5"/>
      <c r="AJ193" s="5"/>
    </row>
    <row r="194">
      <c r="A194" s="43"/>
      <c r="B194" s="44">
        <v>187.0</v>
      </c>
      <c r="C194" s="51"/>
      <c r="D194" s="45" t="s">
        <v>423</v>
      </c>
      <c r="E194" s="46">
        <v>0.0</v>
      </c>
      <c r="F194" s="44">
        <v>120.0</v>
      </c>
      <c r="G194" s="47"/>
      <c r="H194" s="47"/>
      <c r="I194" s="47"/>
      <c r="J194" s="44"/>
      <c r="K194" s="44"/>
      <c r="L194" s="44">
        <v>59.0</v>
      </c>
      <c r="M194" s="44"/>
      <c r="N194" s="47"/>
      <c r="O194" s="47"/>
      <c r="P194" s="47"/>
      <c r="Q194" s="47"/>
      <c r="R194" s="47"/>
      <c r="S194" s="47"/>
      <c r="T194" s="47"/>
      <c r="U194" s="47"/>
      <c r="V194" s="47"/>
      <c r="W194" s="48"/>
      <c r="X194" s="54" t="s">
        <v>424</v>
      </c>
      <c r="Y194" s="49"/>
      <c r="Z194" s="47">
        <f t="shared" si="1"/>
        <v>179</v>
      </c>
      <c r="AA194" s="123"/>
      <c r="AB194" s="5"/>
      <c r="AC194" s="5"/>
      <c r="AD194" s="5"/>
      <c r="AE194" s="5"/>
      <c r="AF194" s="5"/>
      <c r="AG194" s="5"/>
      <c r="AH194" s="5"/>
      <c r="AI194" s="5"/>
      <c r="AJ194" s="5"/>
    </row>
    <row r="195">
      <c r="A195" s="43"/>
      <c r="B195" s="44">
        <v>188.0</v>
      </c>
      <c r="C195" s="51"/>
      <c r="D195" s="45" t="s">
        <v>425</v>
      </c>
      <c r="E195" s="46">
        <v>65.0</v>
      </c>
      <c r="F195" s="44">
        <v>5.0</v>
      </c>
      <c r="G195" s="47"/>
      <c r="H195" s="47"/>
      <c r="I195" s="47"/>
      <c r="J195" s="47"/>
      <c r="K195" s="47"/>
      <c r="L195" s="47"/>
      <c r="M195" s="47"/>
      <c r="N195" s="47"/>
      <c r="O195" s="47"/>
      <c r="P195" s="47"/>
      <c r="Q195" s="44">
        <v>37.0</v>
      </c>
      <c r="R195" s="44">
        <v>70.0</v>
      </c>
      <c r="S195" s="47"/>
      <c r="T195" s="47"/>
      <c r="U195" s="47"/>
      <c r="V195" s="47"/>
      <c r="W195" s="48"/>
      <c r="X195" s="58" t="s">
        <v>426</v>
      </c>
      <c r="Y195" s="55">
        <v>16.6114</v>
      </c>
      <c r="Z195" s="47">
        <f t="shared" si="1"/>
        <v>177</v>
      </c>
      <c r="AA195" s="73" t="s">
        <v>427</v>
      </c>
      <c r="AB195" s="5"/>
      <c r="AC195" s="5"/>
      <c r="AD195" s="5"/>
      <c r="AE195" s="5"/>
      <c r="AF195" s="5"/>
      <c r="AG195" s="5"/>
      <c r="AH195" s="5"/>
      <c r="AI195" s="5"/>
      <c r="AJ195" s="5"/>
    </row>
    <row r="196">
      <c r="A196" s="43"/>
      <c r="B196" s="44">
        <v>189.0</v>
      </c>
      <c r="C196" s="45" t="s">
        <v>428</v>
      </c>
      <c r="D196" s="45" t="s">
        <v>429</v>
      </c>
      <c r="E196" s="53">
        <v>2728.0</v>
      </c>
      <c r="F196" s="44"/>
      <c r="G196" s="47"/>
      <c r="H196" s="47"/>
      <c r="I196" s="47"/>
      <c r="J196" s="44"/>
      <c r="K196" s="44"/>
      <c r="L196" s="47"/>
      <c r="M196" s="44">
        <v>25.0</v>
      </c>
      <c r="N196" s="44"/>
      <c r="O196" s="47"/>
      <c r="P196" s="47"/>
      <c r="Q196" s="47"/>
      <c r="R196" s="44">
        <v>53.0</v>
      </c>
      <c r="S196" s="47"/>
      <c r="T196" s="44"/>
      <c r="U196" s="47"/>
      <c r="V196" s="47"/>
      <c r="W196" s="48"/>
      <c r="X196" s="48"/>
      <c r="Y196" s="49"/>
      <c r="Z196" s="47">
        <f t="shared" si="1"/>
        <v>2806</v>
      </c>
      <c r="AA196" s="63" t="s">
        <v>430</v>
      </c>
      <c r="AB196" s="5"/>
      <c r="AC196" s="5"/>
      <c r="AD196" s="5"/>
      <c r="AE196" s="5"/>
      <c r="AF196" s="5"/>
      <c r="AG196" s="5"/>
      <c r="AH196" s="5"/>
      <c r="AI196" s="5"/>
      <c r="AJ196" s="5"/>
    </row>
    <row r="197">
      <c r="A197" s="43"/>
      <c r="B197" s="44">
        <v>190.0</v>
      </c>
      <c r="C197" s="45" t="s">
        <v>431</v>
      </c>
      <c r="D197" s="45" t="s">
        <v>432</v>
      </c>
      <c r="E197" s="53">
        <v>311.0</v>
      </c>
      <c r="F197" s="47"/>
      <c r="G197" s="47"/>
      <c r="H197" s="47"/>
      <c r="I197" s="47"/>
      <c r="J197" s="47"/>
      <c r="K197" s="47"/>
      <c r="L197" s="47"/>
      <c r="M197" s="47"/>
      <c r="N197" s="47"/>
      <c r="O197" s="47"/>
      <c r="P197" s="47"/>
      <c r="Q197" s="47"/>
      <c r="R197" s="44">
        <v>20.0</v>
      </c>
      <c r="S197" s="47"/>
      <c r="T197" s="47"/>
      <c r="U197" s="47"/>
      <c r="V197" s="47"/>
      <c r="W197" s="48"/>
      <c r="X197" s="48"/>
      <c r="Y197" s="49"/>
      <c r="Z197" s="47">
        <f t="shared" si="1"/>
        <v>331</v>
      </c>
      <c r="AA197" s="63" t="s">
        <v>433</v>
      </c>
      <c r="AB197" s="5"/>
      <c r="AC197" s="5"/>
      <c r="AD197" s="5"/>
      <c r="AE197" s="5"/>
      <c r="AF197" s="5"/>
      <c r="AG197" s="5"/>
      <c r="AH197" s="5"/>
      <c r="AI197" s="5"/>
      <c r="AJ197" s="5"/>
    </row>
    <row r="198">
      <c r="A198" s="43"/>
      <c r="B198" s="44">
        <v>191.0</v>
      </c>
      <c r="C198" s="51"/>
      <c r="D198" s="45" t="s">
        <v>434</v>
      </c>
      <c r="E198" s="53">
        <v>981.0</v>
      </c>
      <c r="F198" s="44">
        <v>30.0</v>
      </c>
      <c r="G198" s="47"/>
      <c r="H198" s="47"/>
      <c r="I198" s="44">
        <v>24.0</v>
      </c>
      <c r="J198" s="47"/>
      <c r="K198" s="47"/>
      <c r="L198" s="47"/>
      <c r="M198" s="47"/>
      <c r="N198" s="47"/>
      <c r="O198" s="47"/>
      <c r="P198" s="47"/>
      <c r="Q198" s="47"/>
      <c r="R198" s="47"/>
      <c r="S198" s="47"/>
      <c r="T198" s="47"/>
      <c r="U198" s="47"/>
      <c r="V198" s="47"/>
      <c r="W198" s="48"/>
      <c r="X198" s="48"/>
      <c r="Y198" s="49"/>
      <c r="Z198" s="47">
        <f t="shared" si="1"/>
        <v>1035</v>
      </c>
      <c r="AA198" s="73" t="s">
        <v>435</v>
      </c>
      <c r="AB198" s="5"/>
      <c r="AC198" s="5"/>
      <c r="AD198" s="5"/>
      <c r="AE198" s="5"/>
      <c r="AF198" s="5"/>
      <c r="AG198" s="5"/>
      <c r="AH198" s="5"/>
      <c r="AI198" s="5"/>
      <c r="AJ198" s="5"/>
    </row>
    <row r="199">
      <c r="A199" s="43"/>
      <c r="B199" s="44">
        <v>192.0</v>
      </c>
      <c r="C199" s="51"/>
      <c r="D199" s="45" t="s">
        <v>436</v>
      </c>
      <c r="E199" s="53">
        <v>177.0</v>
      </c>
      <c r="F199" s="47"/>
      <c r="G199" s="47"/>
      <c r="H199" s="47"/>
      <c r="I199" s="47"/>
      <c r="J199" s="44"/>
      <c r="K199" s="44">
        <v>36.0</v>
      </c>
      <c r="L199" s="47"/>
      <c r="M199" s="44">
        <v>1.0</v>
      </c>
      <c r="N199" s="44"/>
      <c r="O199" s="44">
        <v>5.0</v>
      </c>
      <c r="P199" s="47"/>
      <c r="Q199" s="47"/>
      <c r="R199" s="44">
        <v>14.0</v>
      </c>
      <c r="S199" s="44">
        <v>30.0</v>
      </c>
      <c r="T199" s="47"/>
      <c r="U199" s="47"/>
      <c r="V199" s="47"/>
      <c r="W199" s="48"/>
      <c r="X199" s="48"/>
      <c r="Y199" s="49"/>
      <c r="Z199" s="47">
        <f t="shared" si="1"/>
        <v>263</v>
      </c>
      <c r="AA199" s="73" t="s">
        <v>437</v>
      </c>
      <c r="AB199" s="5"/>
      <c r="AC199" s="5"/>
      <c r="AD199" s="5"/>
      <c r="AE199" s="5"/>
      <c r="AF199" s="5"/>
      <c r="AG199" s="5"/>
      <c r="AH199" s="5"/>
      <c r="AI199" s="5"/>
      <c r="AJ199" s="5"/>
    </row>
    <row r="200">
      <c r="A200" s="43"/>
      <c r="B200" s="44">
        <v>193.0</v>
      </c>
      <c r="C200" s="51"/>
      <c r="D200" s="45" t="s">
        <v>438</v>
      </c>
      <c r="E200" s="124">
        <v>0.0</v>
      </c>
      <c r="F200" s="47"/>
      <c r="G200" s="47"/>
      <c r="H200" s="47"/>
      <c r="I200" s="47"/>
      <c r="J200" s="47"/>
      <c r="K200" s="47"/>
      <c r="L200" s="44"/>
      <c r="M200" s="47"/>
      <c r="N200" s="47"/>
      <c r="O200" s="47"/>
      <c r="P200" s="44"/>
      <c r="Q200" s="44">
        <v>3.0</v>
      </c>
      <c r="R200" s="44">
        <v>14.0</v>
      </c>
      <c r="S200" s="47"/>
      <c r="T200" s="47"/>
      <c r="U200" s="47"/>
      <c r="V200" s="47"/>
      <c r="W200" s="48"/>
      <c r="X200" s="48"/>
      <c r="Y200" s="49"/>
      <c r="Z200" s="47">
        <f t="shared" si="1"/>
        <v>17</v>
      </c>
      <c r="AA200" s="73" t="s">
        <v>439</v>
      </c>
      <c r="AB200" s="5"/>
      <c r="AC200" s="5"/>
      <c r="AD200" s="5"/>
      <c r="AE200" s="5"/>
      <c r="AF200" s="5"/>
      <c r="AG200" s="5"/>
      <c r="AH200" s="5"/>
      <c r="AI200" s="5"/>
      <c r="AJ200" s="5"/>
    </row>
    <row r="201">
      <c r="A201" s="43"/>
      <c r="B201" s="44">
        <v>194.0</v>
      </c>
      <c r="C201" s="51"/>
      <c r="D201" s="45" t="s">
        <v>440</v>
      </c>
      <c r="E201" s="124">
        <v>0.0</v>
      </c>
      <c r="F201" s="47"/>
      <c r="G201" s="47"/>
      <c r="H201" s="47"/>
      <c r="I201" s="47"/>
      <c r="J201" s="47"/>
      <c r="K201" s="47"/>
      <c r="L201" s="44"/>
      <c r="M201" s="44">
        <v>15.0</v>
      </c>
      <c r="N201" s="47"/>
      <c r="O201" s="47"/>
      <c r="P201" s="47"/>
      <c r="Q201" s="47"/>
      <c r="R201" s="44">
        <v>15.0</v>
      </c>
      <c r="S201" s="47"/>
      <c r="T201" s="47"/>
      <c r="U201" s="47"/>
      <c r="V201" s="47"/>
      <c r="W201" s="48"/>
      <c r="X201" s="58" t="s">
        <v>441</v>
      </c>
      <c r="Y201" s="55">
        <v>2.195876</v>
      </c>
      <c r="Z201" s="47">
        <f t="shared" si="1"/>
        <v>30</v>
      </c>
      <c r="AA201" s="76" t="s">
        <v>442</v>
      </c>
      <c r="AB201" s="5"/>
      <c r="AC201" s="5"/>
      <c r="AD201" s="5"/>
      <c r="AE201" s="5"/>
      <c r="AF201" s="5"/>
      <c r="AG201" s="5"/>
      <c r="AH201" s="5"/>
      <c r="AI201" s="5"/>
      <c r="AJ201" s="5"/>
    </row>
    <row r="202">
      <c r="A202" s="43"/>
      <c r="B202" s="44">
        <v>195.0</v>
      </c>
      <c r="C202" s="45" t="s">
        <v>443</v>
      </c>
      <c r="D202" s="45" t="s">
        <v>444</v>
      </c>
      <c r="E202" s="53">
        <v>65.0</v>
      </c>
      <c r="F202" s="47"/>
      <c r="G202" s="47"/>
      <c r="H202" s="47"/>
      <c r="I202" s="47"/>
      <c r="J202" s="47"/>
      <c r="K202" s="47"/>
      <c r="L202" s="47"/>
      <c r="M202" s="44">
        <v>17.0</v>
      </c>
      <c r="N202" s="47"/>
      <c r="O202" s="47"/>
      <c r="P202" s="47"/>
      <c r="Q202" s="47"/>
      <c r="R202" s="44">
        <v>9.0</v>
      </c>
      <c r="S202" s="47"/>
      <c r="T202" s="47"/>
      <c r="U202" s="47"/>
      <c r="V202" s="47"/>
      <c r="W202" s="48"/>
      <c r="X202" s="54" t="s">
        <v>1</v>
      </c>
      <c r="Y202" s="49"/>
      <c r="Z202" s="47">
        <f t="shared" si="1"/>
        <v>91</v>
      </c>
      <c r="AA202" s="76" t="s">
        <v>442</v>
      </c>
      <c r="AB202" s="5"/>
      <c r="AC202" s="5"/>
      <c r="AD202" s="5"/>
      <c r="AE202" s="5"/>
      <c r="AF202" s="5"/>
      <c r="AG202" s="5"/>
      <c r="AH202" s="5"/>
      <c r="AI202" s="5"/>
      <c r="AJ202" s="5"/>
    </row>
    <row r="203">
      <c r="A203" s="43"/>
      <c r="B203" s="44">
        <v>196.0</v>
      </c>
      <c r="C203" s="51"/>
      <c r="D203" s="45" t="s">
        <v>445</v>
      </c>
      <c r="E203" s="53">
        <v>57.0</v>
      </c>
      <c r="F203" s="47"/>
      <c r="G203" s="47"/>
      <c r="H203" s="47"/>
      <c r="I203" s="47"/>
      <c r="J203" s="47"/>
      <c r="K203" s="47"/>
      <c r="L203" s="44"/>
      <c r="M203" s="44">
        <v>2.0</v>
      </c>
      <c r="N203" s="47"/>
      <c r="O203" s="47"/>
      <c r="P203" s="44"/>
      <c r="Q203" s="44"/>
      <c r="R203" s="44">
        <v>19.0</v>
      </c>
      <c r="S203" s="47"/>
      <c r="T203" s="47"/>
      <c r="U203" s="47"/>
      <c r="V203" s="47"/>
      <c r="W203" s="48"/>
      <c r="X203" s="48"/>
      <c r="Y203" s="49"/>
      <c r="Z203" s="47">
        <f t="shared" si="1"/>
        <v>78</v>
      </c>
      <c r="AA203" s="76" t="s">
        <v>442</v>
      </c>
      <c r="AB203" s="5"/>
      <c r="AC203" s="5"/>
      <c r="AD203" s="5"/>
      <c r="AE203" s="5"/>
      <c r="AF203" s="5"/>
      <c r="AG203" s="5"/>
      <c r="AH203" s="5"/>
      <c r="AI203" s="5"/>
      <c r="AJ203" s="5"/>
    </row>
    <row r="204">
      <c r="A204" s="43"/>
      <c r="B204" s="44">
        <v>197.0</v>
      </c>
      <c r="C204" s="45" t="s">
        <v>446</v>
      </c>
      <c r="D204" s="45" t="s">
        <v>447</v>
      </c>
      <c r="E204" s="53">
        <v>0.0</v>
      </c>
      <c r="F204" s="47"/>
      <c r="G204" s="47"/>
      <c r="H204" s="47"/>
      <c r="I204" s="47"/>
      <c r="J204" s="47"/>
      <c r="K204" s="47"/>
      <c r="L204" s="44"/>
      <c r="M204" s="44">
        <v>649.0</v>
      </c>
      <c r="N204" s="47"/>
      <c r="O204" s="47"/>
      <c r="P204" s="44"/>
      <c r="Q204" s="44"/>
      <c r="R204" s="44">
        <v>297.0</v>
      </c>
      <c r="S204" s="47"/>
      <c r="T204" s="47"/>
      <c r="U204" s="44">
        <v>50.0</v>
      </c>
      <c r="V204" s="47"/>
      <c r="W204" s="48"/>
      <c r="X204" s="48"/>
      <c r="Y204" s="49"/>
      <c r="Z204" s="47">
        <f t="shared" si="1"/>
        <v>996</v>
      </c>
      <c r="AA204" s="63" t="s">
        <v>448</v>
      </c>
      <c r="AB204" s="5"/>
      <c r="AC204" s="5"/>
      <c r="AD204" s="5"/>
      <c r="AE204" s="5"/>
      <c r="AF204" s="5"/>
      <c r="AG204" s="5"/>
      <c r="AH204" s="5"/>
      <c r="AI204" s="5"/>
      <c r="AJ204" s="5"/>
    </row>
    <row r="205">
      <c r="A205" s="43"/>
      <c r="B205" s="44">
        <v>198.0</v>
      </c>
      <c r="C205" s="45" t="s">
        <v>449</v>
      </c>
      <c r="D205" s="45" t="s">
        <v>450</v>
      </c>
      <c r="E205" s="53">
        <v>505.0</v>
      </c>
      <c r="F205" s="47"/>
      <c r="G205" s="47"/>
      <c r="H205" s="47"/>
      <c r="I205" s="47"/>
      <c r="J205" s="47"/>
      <c r="K205" s="47"/>
      <c r="L205" s="47"/>
      <c r="M205" s="47"/>
      <c r="N205" s="47"/>
      <c r="O205" s="47"/>
      <c r="P205" s="47"/>
      <c r="Q205" s="47"/>
      <c r="R205" s="44">
        <v>15.0</v>
      </c>
      <c r="S205" s="47"/>
      <c r="T205" s="47"/>
      <c r="U205" s="47"/>
      <c r="V205" s="47"/>
      <c r="W205" s="48"/>
      <c r="X205" s="48"/>
      <c r="Y205" s="49"/>
      <c r="Z205" s="47">
        <f t="shared" si="1"/>
        <v>520</v>
      </c>
      <c r="AA205" s="77" t="s">
        <v>451</v>
      </c>
      <c r="AB205" s="5"/>
      <c r="AC205" s="5"/>
      <c r="AD205" s="5"/>
      <c r="AE205" s="5"/>
      <c r="AF205" s="5"/>
      <c r="AG205" s="5"/>
      <c r="AH205" s="5"/>
      <c r="AI205" s="5"/>
      <c r="AJ205" s="5"/>
    </row>
    <row r="206">
      <c r="A206" s="43"/>
      <c r="B206" s="44">
        <v>199.0</v>
      </c>
      <c r="C206" s="51"/>
      <c r="D206" s="45" t="s">
        <v>452</v>
      </c>
      <c r="E206" s="124">
        <v>0.0</v>
      </c>
      <c r="F206" s="47"/>
      <c r="G206" s="47"/>
      <c r="H206" s="47"/>
      <c r="I206" s="47"/>
      <c r="J206" s="47"/>
      <c r="K206" s="47"/>
      <c r="L206" s="47"/>
      <c r="M206" s="44">
        <v>2.0</v>
      </c>
      <c r="N206" s="47"/>
      <c r="O206" s="47"/>
      <c r="P206" s="47"/>
      <c r="Q206" s="47"/>
      <c r="R206" s="44">
        <v>1.0</v>
      </c>
      <c r="S206" s="47"/>
      <c r="T206" s="47"/>
      <c r="U206" s="47"/>
      <c r="V206" s="47"/>
      <c r="W206" s="48"/>
      <c r="X206" s="48"/>
      <c r="Y206" s="49"/>
      <c r="Z206" s="47">
        <f t="shared" si="1"/>
        <v>3</v>
      </c>
      <c r="AA206" s="77" t="s">
        <v>453</v>
      </c>
      <c r="AB206" s="5"/>
      <c r="AC206" s="5"/>
      <c r="AD206" s="5"/>
      <c r="AE206" s="5"/>
      <c r="AF206" s="5"/>
      <c r="AG206" s="5"/>
      <c r="AH206" s="5"/>
      <c r="AI206" s="5"/>
      <c r="AJ206" s="5"/>
    </row>
    <row r="207">
      <c r="A207" s="43"/>
      <c r="B207" s="44">
        <v>200.0</v>
      </c>
      <c r="C207" s="45" t="s">
        <v>454</v>
      </c>
      <c r="D207" s="45" t="s">
        <v>455</v>
      </c>
      <c r="E207" s="124">
        <v>0.0</v>
      </c>
      <c r="F207" s="47"/>
      <c r="G207" s="47"/>
      <c r="H207" s="47"/>
      <c r="I207" s="44"/>
      <c r="J207" s="47"/>
      <c r="K207" s="47"/>
      <c r="L207" s="44"/>
      <c r="M207" s="44">
        <v>377.0</v>
      </c>
      <c r="N207" s="47"/>
      <c r="O207" s="47"/>
      <c r="P207" s="44"/>
      <c r="Q207" s="44"/>
      <c r="R207" s="44">
        <v>1.0</v>
      </c>
      <c r="S207" s="47"/>
      <c r="T207" s="47"/>
      <c r="U207" s="47"/>
      <c r="V207" s="47"/>
      <c r="W207" s="48"/>
      <c r="X207" s="48"/>
      <c r="Y207" s="49"/>
      <c r="Z207" s="47">
        <f t="shared" si="1"/>
        <v>378</v>
      </c>
      <c r="AA207" s="87" t="s">
        <v>456</v>
      </c>
      <c r="AB207" s="5"/>
      <c r="AC207" s="5"/>
      <c r="AD207" s="5"/>
      <c r="AE207" s="5"/>
      <c r="AF207" s="5"/>
      <c r="AG207" s="5"/>
      <c r="AH207" s="5"/>
      <c r="AI207" s="5"/>
      <c r="AJ207" s="5"/>
    </row>
    <row r="208">
      <c r="A208" s="43"/>
      <c r="B208" s="44">
        <v>201.0</v>
      </c>
      <c r="C208" s="51"/>
      <c r="D208" s="45" t="s">
        <v>457</v>
      </c>
      <c r="E208" s="124">
        <v>0.0</v>
      </c>
      <c r="F208" s="47"/>
      <c r="G208" s="47"/>
      <c r="H208" s="47"/>
      <c r="I208" s="47"/>
      <c r="J208" s="47"/>
      <c r="K208" s="47"/>
      <c r="L208" s="44"/>
      <c r="M208" s="44">
        <v>18.0</v>
      </c>
      <c r="N208" s="47"/>
      <c r="O208" s="47"/>
      <c r="P208" s="47"/>
      <c r="Q208" s="47"/>
      <c r="R208" s="47"/>
      <c r="S208" s="47"/>
      <c r="T208" s="47"/>
      <c r="U208" s="47"/>
      <c r="V208" s="47"/>
      <c r="W208" s="48"/>
      <c r="X208" s="48"/>
      <c r="Y208" s="49"/>
      <c r="Z208" s="47">
        <f t="shared" si="1"/>
        <v>18</v>
      </c>
      <c r="AA208" s="58" t="s">
        <v>456</v>
      </c>
      <c r="AB208" s="5"/>
      <c r="AC208" s="5"/>
      <c r="AD208" s="5"/>
      <c r="AE208" s="5"/>
      <c r="AF208" s="5"/>
      <c r="AG208" s="5"/>
      <c r="AH208" s="5"/>
      <c r="AI208" s="5"/>
      <c r="AJ208" s="5"/>
    </row>
    <row r="209">
      <c r="A209" s="43"/>
      <c r="B209" s="44">
        <v>202.0</v>
      </c>
      <c r="C209" s="45" t="s">
        <v>458</v>
      </c>
      <c r="D209" s="45" t="s">
        <v>459</v>
      </c>
      <c r="E209" s="124">
        <v>0.0</v>
      </c>
      <c r="F209" s="47"/>
      <c r="G209" s="47"/>
      <c r="H209" s="47"/>
      <c r="I209" s="47"/>
      <c r="J209" s="47"/>
      <c r="K209" s="47"/>
      <c r="L209" s="44"/>
      <c r="M209" s="44">
        <v>4.0</v>
      </c>
      <c r="N209" s="47"/>
      <c r="O209" s="47"/>
      <c r="P209" s="47"/>
      <c r="Q209" s="47"/>
      <c r="R209" s="47"/>
      <c r="S209" s="47"/>
      <c r="T209" s="47"/>
      <c r="U209" s="47"/>
      <c r="V209" s="47"/>
      <c r="W209" s="48"/>
      <c r="X209" s="48"/>
      <c r="Y209" s="49"/>
      <c r="Z209" s="47">
        <f t="shared" si="1"/>
        <v>4</v>
      </c>
      <c r="AA209" s="58" t="s">
        <v>456</v>
      </c>
      <c r="AB209" s="5"/>
      <c r="AC209" s="5"/>
      <c r="AD209" s="5"/>
      <c r="AE209" s="5"/>
      <c r="AF209" s="5"/>
      <c r="AG209" s="5"/>
      <c r="AH209" s="5"/>
      <c r="AI209" s="5"/>
      <c r="AJ209" s="5"/>
    </row>
    <row r="210">
      <c r="A210" s="43"/>
      <c r="B210" s="44">
        <v>203.0</v>
      </c>
      <c r="C210" s="45" t="s">
        <v>460</v>
      </c>
      <c r="D210" s="45" t="s">
        <v>461</v>
      </c>
      <c r="E210" s="53">
        <v>22.0</v>
      </c>
      <c r="F210" s="47"/>
      <c r="G210" s="47"/>
      <c r="H210" s="44">
        <v>24.0</v>
      </c>
      <c r="I210" s="47"/>
      <c r="J210" s="47"/>
      <c r="K210" s="47"/>
      <c r="L210" s="44"/>
      <c r="M210" s="44">
        <v>17.0</v>
      </c>
      <c r="N210" s="47"/>
      <c r="O210" s="47"/>
      <c r="P210" s="47"/>
      <c r="Q210" s="47"/>
      <c r="R210" s="47"/>
      <c r="S210" s="47"/>
      <c r="T210" s="47"/>
      <c r="U210" s="44">
        <v>54.0</v>
      </c>
      <c r="V210" s="47"/>
      <c r="W210" s="48"/>
      <c r="X210" s="54" t="s">
        <v>462</v>
      </c>
      <c r="Y210" s="49"/>
      <c r="Z210" s="47">
        <f t="shared" si="1"/>
        <v>117</v>
      </c>
      <c r="AA210" s="64" t="s">
        <v>463</v>
      </c>
      <c r="AB210" s="5"/>
      <c r="AC210" s="5"/>
      <c r="AD210" s="5"/>
      <c r="AE210" s="5"/>
      <c r="AF210" s="5"/>
      <c r="AG210" s="5"/>
      <c r="AH210" s="5"/>
      <c r="AI210" s="5"/>
      <c r="AJ210" s="5"/>
    </row>
    <row r="211">
      <c r="A211" s="43"/>
      <c r="B211" s="44">
        <v>204.0</v>
      </c>
      <c r="C211" s="51"/>
      <c r="D211" s="45" t="s">
        <v>464</v>
      </c>
      <c r="E211" s="124">
        <v>0.0</v>
      </c>
      <c r="F211" s="47"/>
      <c r="G211" s="47"/>
      <c r="H211" s="47"/>
      <c r="I211" s="47"/>
      <c r="J211" s="44"/>
      <c r="K211" s="44"/>
      <c r="L211" s="44"/>
      <c r="M211" s="44">
        <v>122.0</v>
      </c>
      <c r="N211" s="44"/>
      <c r="O211" s="47"/>
      <c r="P211" s="44"/>
      <c r="Q211" s="44"/>
      <c r="R211" s="44">
        <v>1.0</v>
      </c>
      <c r="S211" s="47"/>
      <c r="T211" s="47"/>
      <c r="U211" s="47"/>
      <c r="V211" s="47"/>
      <c r="W211" s="48"/>
      <c r="X211" s="48"/>
      <c r="Y211" s="49"/>
      <c r="Z211" s="47">
        <f t="shared" si="1"/>
        <v>123</v>
      </c>
      <c r="AA211" s="68"/>
      <c r="AB211" s="5"/>
      <c r="AC211" s="5"/>
      <c r="AD211" s="5"/>
      <c r="AE211" s="5"/>
      <c r="AF211" s="5"/>
      <c r="AG211" s="5"/>
      <c r="AH211" s="5"/>
      <c r="AI211" s="5"/>
      <c r="AJ211" s="5"/>
    </row>
    <row r="212">
      <c r="A212" s="43"/>
      <c r="B212" s="44">
        <v>205.0</v>
      </c>
      <c r="C212" s="45" t="s">
        <v>465</v>
      </c>
      <c r="D212" s="45" t="s">
        <v>466</v>
      </c>
      <c r="E212" s="124">
        <v>0.0</v>
      </c>
      <c r="F212" s="47"/>
      <c r="G212" s="47"/>
      <c r="H212" s="47"/>
      <c r="I212" s="47"/>
      <c r="J212" s="47"/>
      <c r="K212" s="47"/>
      <c r="L212" s="47"/>
      <c r="M212" s="47"/>
      <c r="N212" s="47"/>
      <c r="O212" s="47"/>
      <c r="P212" s="47"/>
      <c r="Q212" s="47"/>
      <c r="R212" s="47"/>
      <c r="S212" s="47"/>
      <c r="T212" s="47"/>
      <c r="U212" s="47"/>
      <c r="V212" s="47"/>
      <c r="W212" s="48"/>
      <c r="X212" s="48"/>
      <c r="Y212" s="49"/>
      <c r="Z212" s="47">
        <f t="shared" si="1"/>
        <v>0</v>
      </c>
      <c r="AA212" s="68"/>
      <c r="AB212" s="5"/>
      <c r="AC212" s="5"/>
      <c r="AD212" s="5"/>
      <c r="AE212" s="5"/>
      <c r="AF212" s="5"/>
      <c r="AG212" s="5"/>
      <c r="AH212" s="5"/>
      <c r="AI212" s="5"/>
      <c r="AJ212" s="5"/>
    </row>
    <row r="213">
      <c r="A213" s="43"/>
      <c r="B213" s="44">
        <v>206.0</v>
      </c>
      <c r="C213" s="51"/>
      <c r="D213" s="45" t="s">
        <v>467</v>
      </c>
      <c r="E213" s="124">
        <v>0.0</v>
      </c>
      <c r="F213" s="47"/>
      <c r="G213" s="47"/>
      <c r="H213" s="47"/>
      <c r="I213" s="47"/>
      <c r="J213" s="47"/>
      <c r="K213" s="47"/>
      <c r="L213" s="47"/>
      <c r="M213" s="47"/>
      <c r="N213" s="47"/>
      <c r="O213" s="47"/>
      <c r="P213" s="44"/>
      <c r="Q213" s="44"/>
      <c r="R213" s="44"/>
      <c r="S213" s="47"/>
      <c r="T213" s="47"/>
      <c r="U213" s="47"/>
      <c r="V213" s="47"/>
      <c r="W213" s="48"/>
      <c r="X213" s="48"/>
      <c r="Y213" s="49"/>
      <c r="Z213" s="47">
        <f t="shared" si="1"/>
        <v>0</v>
      </c>
      <c r="AA213" s="76" t="s">
        <v>442</v>
      </c>
      <c r="AB213" s="5"/>
      <c r="AC213" s="5"/>
      <c r="AD213" s="5"/>
      <c r="AE213" s="5"/>
      <c r="AF213" s="5"/>
      <c r="AG213" s="5"/>
      <c r="AH213" s="5"/>
      <c r="AI213" s="5"/>
      <c r="AJ213" s="5"/>
    </row>
    <row r="214">
      <c r="A214" s="43"/>
      <c r="B214" s="44">
        <v>207.0</v>
      </c>
      <c r="C214" s="51"/>
      <c r="D214" s="45" t="s">
        <v>468</v>
      </c>
      <c r="E214" s="124">
        <v>0.0</v>
      </c>
      <c r="F214" s="47"/>
      <c r="G214" s="47"/>
      <c r="H214" s="47"/>
      <c r="I214" s="47"/>
      <c r="J214" s="47"/>
      <c r="K214" s="47"/>
      <c r="L214" s="47"/>
      <c r="M214" s="44">
        <v>54.0</v>
      </c>
      <c r="N214" s="47"/>
      <c r="O214" s="47"/>
      <c r="P214" s="47"/>
      <c r="Q214" s="47"/>
      <c r="R214" s="47"/>
      <c r="S214" s="47"/>
      <c r="T214" s="47"/>
      <c r="U214" s="47"/>
      <c r="V214" s="47"/>
      <c r="W214" s="48"/>
      <c r="X214" s="48"/>
      <c r="Y214" s="49"/>
      <c r="Z214" s="47">
        <f t="shared" si="1"/>
        <v>54</v>
      </c>
      <c r="AA214" s="76" t="s">
        <v>442</v>
      </c>
      <c r="AB214" s="5"/>
      <c r="AC214" s="5"/>
      <c r="AD214" s="5"/>
      <c r="AE214" s="5"/>
      <c r="AF214" s="5"/>
      <c r="AG214" s="5"/>
      <c r="AH214" s="5"/>
      <c r="AI214" s="5"/>
      <c r="AJ214" s="5"/>
    </row>
    <row r="215">
      <c r="A215" s="43"/>
      <c r="B215" s="44">
        <v>208.0</v>
      </c>
      <c r="C215" s="45" t="s">
        <v>469</v>
      </c>
      <c r="D215" s="45" t="s">
        <v>470</v>
      </c>
      <c r="E215" s="124">
        <v>0.0</v>
      </c>
      <c r="F215" s="47"/>
      <c r="G215" s="47"/>
      <c r="H215" s="47"/>
      <c r="I215" s="47"/>
      <c r="J215" s="47"/>
      <c r="K215" s="47"/>
      <c r="L215" s="47"/>
      <c r="M215" s="44">
        <v>3.0</v>
      </c>
      <c r="N215" s="47"/>
      <c r="O215" s="47"/>
      <c r="P215" s="47"/>
      <c r="Q215" s="47"/>
      <c r="R215" s="47"/>
      <c r="S215" s="47"/>
      <c r="T215" s="47"/>
      <c r="U215" s="47"/>
      <c r="V215" s="47"/>
      <c r="W215" s="48"/>
      <c r="X215" s="48"/>
      <c r="Y215" s="49"/>
      <c r="Z215" s="47">
        <f t="shared" si="1"/>
        <v>3</v>
      </c>
      <c r="AA215" s="76" t="s">
        <v>442</v>
      </c>
      <c r="AB215" s="5"/>
      <c r="AC215" s="5"/>
      <c r="AD215" s="5"/>
      <c r="AE215" s="5"/>
      <c r="AF215" s="5"/>
      <c r="AG215" s="5"/>
      <c r="AH215" s="5"/>
      <c r="AI215" s="5"/>
      <c r="AJ215" s="5"/>
    </row>
    <row r="216">
      <c r="A216" s="43"/>
      <c r="B216" s="44">
        <v>209.0</v>
      </c>
      <c r="C216" s="51"/>
      <c r="D216" s="45" t="s">
        <v>471</v>
      </c>
      <c r="E216" s="53">
        <v>574.0</v>
      </c>
      <c r="F216" s="47"/>
      <c r="G216" s="47"/>
      <c r="H216" s="47"/>
      <c r="I216" s="47"/>
      <c r="J216" s="47"/>
      <c r="K216" s="47"/>
      <c r="L216" s="47"/>
      <c r="M216" s="44">
        <v>202.0</v>
      </c>
      <c r="N216" s="47"/>
      <c r="O216" s="47"/>
      <c r="P216" s="47"/>
      <c r="Q216" s="47"/>
      <c r="R216" s="47"/>
      <c r="S216" s="47"/>
      <c r="T216" s="47"/>
      <c r="U216" s="47"/>
      <c r="V216" s="47"/>
      <c r="W216" s="48"/>
      <c r="X216" s="54" t="s">
        <v>472</v>
      </c>
      <c r="Y216" s="49"/>
      <c r="Z216" s="47">
        <f t="shared" si="1"/>
        <v>776</v>
      </c>
      <c r="AA216" s="76" t="s">
        <v>442</v>
      </c>
      <c r="AB216" s="5"/>
      <c r="AC216" s="5"/>
      <c r="AD216" s="5"/>
      <c r="AE216" s="5"/>
      <c r="AF216" s="5"/>
      <c r="AG216" s="5"/>
      <c r="AH216" s="5"/>
      <c r="AI216" s="5"/>
      <c r="AJ216" s="5"/>
    </row>
    <row r="217">
      <c r="A217" s="43"/>
      <c r="B217" s="44">
        <v>210.0</v>
      </c>
      <c r="C217" s="51"/>
      <c r="D217" s="45" t="s">
        <v>473</v>
      </c>
      <c r="E217" s="124">
        <v>0.0</v>
      </c>
      <c r="F217" s="47"/>
      <c r="G217" s="47"/>
      <c r="H217" s="47"/>
      <c r="I217" s="47"/>
      <c r="J217" s="47"/>
      <c r="K217" s="47"/>
      <c r="L217" s="47"/>
      <c r="M217" s="44">
        <v>23.0</v>
      </c>
      <c r="N217" s="47"/>
      <c r="O217" s="47"/>
      <c r="P217" s="47"/>
      <c r="Q217" s="47"/>
      <c r="R217" s="47"/>
      <c r="S217" s="47"/>
      <c r="T217" s="47"/>
      <c r="U217" s="47"/>
      <c r="V217" s="47"/>
      <c r="W217" s="48"/>
      <c r="X217" s="48"/>
      <c r="Y217" s="49"/>
      <c r="Z217" s="47">
        <f t="shared" si="1"/>
        <v>23</v>
      </c>
      <c r="AA217" s="76" t="s">
        <v>442</v>
      </c>
      <c r="AB217" s="5"/>
      <c r="AC217" s="5"/>
      <c r="AD217" s="5"/>
      <c r="AE217" s="5"/>
      <c r="AF217" s="5"/>
      <c r="AG217" s="5"/>
      <c r="AH217" s="5"/>
      <c r="AI217" s="5"/>
      <c r="AJ217" s="5"/>
    </row>
    <row r="218">
      <c r="A218" s="43"/>
      <c r="B218" s="44">
        <v>211.0</v>
      </c>
      <c r="C218" s="51"/>
      <c r="D218" s="45" t="s">
        <v>474</v>
      </c>
      <c r="E218" s="124">
        <v>0.0</v>
      </c>
      <c r="F218" s="47"/>
      <c r="G218" s="47"/>
      <c r="H218" s="47"/>
      <c r="I218" s="47"/>
      <c r="J218" s="47"/>
      <c r="K218" s="47"/>
      <c r="L218" s="47"/>
      <c r="M218" s="47"/>
      <c r="N218" s="47"/>
      <c r="O218" s="47"/>
      <c r="P218" s="47"/>
      <c r="Q218" s="47"/>
      <c r="R218" s="47"/>
      <c r="S218" s="47"/>
      <c r="T218" s="47"/>
      <c r="U218" s="47"/>
      <c r="V218" s="47"/>
      <c r="W218" s="48"/>
      <c r="X218" s="48"/>
      <c r="Y218" s="49"/>
      <c r="Z218" s="47">
        <f t="shared" si="1"/>
        <v>0</v>
      </c>
      <c r="AA218" s="58" t="s">
        <v>475</v>
      </c>
      <c r="AB218" s="5"/>
      <c r="AC218" s="5"/>
      <c r="AD218" s="5"/>
      <c r="AE218" s="5"/>
      <c r="AF218" s="5"/>
      <c r="AG218" s="5"/>
      <c r="AH218" s="5"/>
      <c r="AI218" s="5"/>
      <c r="AJ218" s="5"/>
    </row>
    <row r="219">
      <c r="A219" s="43"/>
      <c r="B219" s="44">
        <v>212.0</v>
      </c>
      <c r="C219" s="51"/>
      <c r="D219" s="45" t="s">
        <v>476</v>
      </c>
      <c r="E219" s="124">
        <v>0.0</v>
      </c>
      <c r="F219" s="47"/>
      <c r="G219" s="47"/>
      <c r="H219" s="47"/>
      <c r="I219" s="47"/>
      <c r="J219" s="47"/>
      <c r="K219" s="47"/>
      <c r="L219" s="47"/>
      <c r="M219" s="44">
        <v>6.0</v>
      </c>
      <c r="N219" s="47"/>
      <c r="O219" s="47"/>
      <c r="P219" s="47"/>
      <c r="Q219" s="47"/>
      <c r="R219" s="47"/>
      <c r="S219" s="47"/>
      <c r="T219" s="47"/>
      <c r="U219" s="47"/>
      <c r="V219" s="47"/>
      <c r="W219" s="48"/>
      <c r="X219" s="48"/>
      <c r="Y219" s="49"/>
      <c r="Z219" s="47">
        <f t="shared" si="1"/>
        <v>6</v>
      </c>
      <c r="AA219" s="76" t="s">
        <v>442</v>
      </c>
      <c r="AB219" s="5"/>
      <c r="AC219" s="5"/>
      <c r="AD219" s="5"/>
      <c r="AE219" s="5"/>
      <c r="AF219" s="5"/>
      <c r="AG219" s="5"/>
      <c r="AH219" s="5"/>
      <c r="AI219" s="5"/>
      <c r="AJ219" s="5"/>
    </row>
    <row r="220">
      <c r="A220" s="43"/>
      <c r="B220" s="44">
        <v>213.0</v>
      </c>
      <c r="C220" s="51"/>
      <c r="D220" s="45" t="s">
        <v>477</v>
      </c>
      <c r="E220" s="124">
        <v>0.0</v>
      </c>
      <c r="F220" s="47"/>
      <c r="G220" s="47"/>
      <c r="H220" s="47"/>
      <c r="I220" s="47"/>
      <c r="J220" s="47"/>
      <c r="K220" s="47"/>
      <c r="L220" s="47"/>
      <c r="M220" s="44">
        <v>21.0</v>
      </c>
      <c r="N220" s="47"/>
      <c r="O220" s="47"/>
      <c r="P220" s="47"/>
      <c r="Q220" s="47"/>
      <c r="R220" s="47"/>
      <c r="S220" s="47"/>
      <c r="T220" s="47"/>
      <c r="U220" s="47"/>
      <c r="V220" s="47"/>
      <c r="W220" s="48"/>
      <c r="X220" s="48"/>
      <c r="Y220" s="49"/>
      <c r="Z220" s="47">
        <f t="shared" si="1"/>
        <v>21</v>
      </c>
      <c r="AA220" s="76" t="s">
        <v>442</v>
      </c>
      <c r="AB220" s="5"/>
      <c r="AC220" s="5"/>
      <c r="AD220" s="5"/>
      <c r="AE220" s="5"/>
      <c r="AF220" s="5"/>
      <c r="AG220" s="5"/>
      <c r="AH220" s="5"/>
      <c r="AI220" s="5"/>
      <c r="AJ220" s="5"/>
    </row>
    <row r="221">
      <c r="A221" s="43"/>
      <c r="B221" s="44">
        <v>214.0</v>
      </c>
      <c r="C221" s="51"/>
      <c r="D221" s="45" t="s">
        <v>478</v>
      </c>
      <c r="E221" s="124">
        <v>0.0</v>
      </c>
      <c r="F221" s="47"/>
      <c r="G221" s="47"/>
      <c r="H221" s="47"/>
      <c r="I221" s="47"/>
      <c r="J221" s="47"/>
      <c r="K221" s="47"/>
      <c r="L221" s="47"/>
      <c r="M221" s="44">
        <v>19.0</v>
      </c>
      <c r="N221" s="47"/>
      <c r="O221" s="47"/>
      <c r="P221" s="47"/>
      <c r="Q221" s="47"/>
      <c r="R221" s="47"/>
      <c r="S221" s="47"/>
      <c r="T221" s="47"/>
      <c r="U221" s="47"/>
      <c r="V221" s="47"/>
      <c r="W221" s="48"/>
      <c r="X221" s="48"/>
      <c r="Y221" s="49"/>
      <c r="Z221" s="47">
        <f t="shared" si="1"/>
        <v>19</v>
      </c>
      <c r="AA221" s="74" t="s">
        <v>479</v>
      </c>
      <c r="AB221" s="5"/>
      <c r="AC221" s="5"/>
      <c r="AD221" s="5"/>
      <c r="AE221" s="5"/>
      <c r="AF221" s="5"/>
      <c r="AG221" s="5"/>
      <c r="AH221" s="5"/>
      <c r="AI221" s="5"/>
      <c r="AJ221" s="5"/>
    </row>
    <row r="222">
      <c r="A222" s="43"/>
      <c r="B222" s="44">
        <v>215.0</v>
      </c>
      <c r="C222" s="45" t="s">
        <v>480</v>
      </c>
      <c r="D222" s="45" t="s">
        <v>481</v>
      </c>
      <c r="E222" s="124">
        <v>0.0</v>
      </c>
      <c r="F222" s="47"/>
      <c r="G222" s="47"/>
      <c r="H222" s="47"/>
      <c r="I222" s="47"/>
      <c r="J222" s="47"/>
      <c r="K222" s="47"/>
      <c r="L222" s="47"/>
      <c r="M222" s="47"/>
      <c r="N222" s="47"/>
      <c r="O222" s="47"/>
      <c r="P222" s="47"/>
      <c r="Q222" s="47"/>
      <c r="R222" s="47"/>
      <c r="S222" s="47"/>
      <c r="T222" s="47"/>
      <c r="U222" s="47"/>
      <c r="V222" s="47"/>
      <c r="W222" s="48"/>
      <c r="X222" s="48"/>
      <c r="Y222" s="49"/>
      <c r="Z222" s="47">
        <f t="shared" si="1"/>
        <v>0</v>
      </c>
      <c r="AA222" s="68"/>
      <c r="AB222" s="5"/>
      <c r="AC222" s="5"/>
      <c r="AD222" s="5"/>
      <c r="AE222" s="5"/>
      <c r="AF222" s="5"/>
      <c r="AG222" s="5"/>
      <c r="AH222" s="5"/>
      <c r="AI222" s="5"/>
      <c r="AJ222" s="5"/>
    </row>
    <row r="223">
      <c r="A223" s="43"/>
      <c r="B223" s="44">
        <v>216.0</v>
      </c>
      <c r="C223" s="51"/>
      <c r="D223" s="45" t="s">
        <v>482</v>
      </c>
      <c r="E223" s="124">
        <v>0.0</v>
      </c>
      <c r="F223" s="47"/>
      <c r="G223" s="47"/>
      <c r="H223" s="47"/>
      <c r="I223" s="47"/>
      <c r="J223" s="47"/>
      <c r="K223" s="47"/>
      <c r="L223" s="44"/>
      <c r="M223" s="44">
        <v>19.0</v>
      </c>
      <c r="N223" s="47"/>
      <c r="O223" s="47"/>
      <c r="P223" s="47"/>
      <c r="Q223" s="47"/>
      <c r="R223" s="44">
        <v>22.0</v>
      </c>
      <c r="S223" s="47"/>
      <c r="T223" s="47"/>
      <c r="U223" s="47"/>
      <c r="V223" s="47"/>
      <c r="W223" s="48"/>
      <c r="X223" s="48"/>
      <c r="Y223" s="49"/>
      <c r="Z223" s="47">
        <f t="shared" si="1"/>
        <v>41</v>
      </c>
      <c r="AA223" s="68"/>
      <c r="AB223" s="5"/>
      <c r="AC223" s="5"/>
      <c r="AD223" s="5"/>
      <c r="AE223" s="5"/>
      <c r="AF223" s="5"/>
      <c r="AG223" s="5"/>
      <c r="AH223" s="5"/>
      <c r="AI223" s="5"/>
      <c r="AJ223" s="5"/>
    </row>
    <row r="224">
      <c r="A224" s="43"/>
      <c r="B224" s="44">
        <v>217.0</v>
      </c>
      <c r="C224" s="51"/>
      <c r="D224" s="45" t="s">
        <v>483</v>
      </c>
      <c r="E224" s="124">
        <v>0.0</v>
      </c>
      <c r="F224" s="47"/>
      <c r="G224" s="47"/>
      <c r="H224" s="47"/>
      <c r="I224" s="47"/>
      <c r="J224" s="47"/>
      <c r="K224" s="47"/>
      <c r="L224" s="47"/>
      <c r="M224" s="47"/>
      <c r="N224" s="47"/>
      <c r="O224" s="47"/>
      <c r="P224" s="47"/>
      <c r="Q224" s="47"/>
      <c r="R224" s="47"/>
      <c r="S224" s="47"/>
      <c r="T224" s="47"/>
      <c r="U224" s="47"/>
      <c r="V224" s="47"/>
      <c r="W224" s="48"/>
      <c r="X224" s="48"/>
      <c r="Y224" s="49"/>
      <c r="Z224" s="47">
        <f t="shared" si="1"/>
        <v>0</v>
      </c>
      <c r="AA224" s="68"/>
      <c r="AB224" s="5"/>
      <c r="AC224" s="5"/>
      <c r="AD224" s="5"/>
      <c r="AE224" s="5"/>
      <c r="AF224" s="5"/>
      <c r="AG224" s="5"/>
      <c r="AH224" s="5"/>
      <c r="AI224" s="5"/>
      <c r="AJ224" s="5"/>
    </row>
    <row r="225">
      <c r="A225" s="43"/>
      <c r="B225" s="44">
        <v>218.0</v>
      </c>
      <c r="C225" s="51"/>
      <c r="D225" s="45" t="s">
        <v>484</v>
      </c>
      <c r="E225" s="124">
        <v>0.0</v>
      </c>
      <c r="F225" s="47"/>
      <c r="G225" s="47"/>
      <c r="H225" s="47"/>
      <c r="I225" s="47"/>
      <c r="J225" s="47"/>
      <c r="K225" s="47"/>
      <c r="L225" s="47"/>
      <c r="M225" s="44">
        <v>35.0</v>
      </c>
      <c r="N225" s="47"/>
      <c r="O225" s="47"/>
      <c r="P225" s="47"/>
      <c r="Q225" s="47"/>
      <c r="R225" s="47"/>
      <c r="S225" s="47"/>
      <c r="T225" s="47"/>
      <c r="U225" s="47"/>
      <c r="V225" s="47"/>
      <c r="W225" s="48"/>
      <c r="X225" s="48"/>
      <c r="Y225" s="49"/>
      <c r="Z225" s="47">
        <f t="shared" si="1"/>
        <v>35</v>
      </c>
      <c r="AA225" s="64" t="s">
        <v>485</v>
      </c>
      <c r="AB225" s="5"/>
      <c r="AC225" s="5"/>
      <c r="AD225" s="5"/>
      <c r="AE225" s="5"/>
      <c r="AF225" s="5"/>
      <c r="AG225" s="5"/>
      <c r="AH225" s="5"/>
      <c r="AI225" s="5"/>
      <c r="AJ225" s="5"/>
    </row>
    <row r="226">
      <c r="A226" s="43"/>
      <c r="B226" s="44">
        <v>219.0</v>
      </c>
      <c r="C226" s="51"/>
      <c r="D226" s="45" t="s">
        <v>486</v>
      </c>
      <c r="E226" s="124">
        <v>0.0</v>
      </c>
      <c r="F226" s="47"/>
      <c r="G226" s="47"/>
      <c r="H226" s="47"/>
      <c r="I226" s="47"/>
      <c r="J226" s="47"/>
      <c r="K226" s="47"/>
      <c r="L226" s="47"/>
      <c r="M226" s="44">
        <v>53.0</v>
      </c>
      <c r="N226" s="47"/>
      <c r="O226" s="47"/>
      <c r="P226" s="47"/>
      <c r="Q226" s="47"/>
      <c r="R226" s="47"/>
      <c r="S226" s="47"/>
      <c r="T226" s="47"/>
      <c r="U226" s="47"/>
      <c r="V226" s="47"/>
      <c r="W226" s="48"/>
      <c r="X226" s="48"/>
      <c r="Y226" s="49"/>
      <c r="Z226" s="47">
        <f t="shared" si="1"/>
        <v>53</v>
      </c>
      <c r="AA226" s="64" t="s">
        <v>487</v>
      </c>
      <c r="AB226" s="5"/>
      <c r="AC226" s="5"/>
      <c r="AD226" s="5"/>
      <c r="AE226" s="5"/>
      <c r="AF226" s="5"/>
      <c r="AG226" s="5"/>
      <c r="AH226" s="5"/>
      <c r="AI226" s="5"/>
      <c r="AJ226" s="5"/>
    </row>
    <row r="227">
      <c r="A227" s="43"/>
      <c r="B227" s="44">
        <v>220.0</v>
      </c>
      <c r="C227" s="51"/>
      <c r="D227" s="45" t="s">
        <v>488</v>
      </c>
      <c r="E227" s="124">
        <v>0.0</v>
      </c>
      <c r="F227" s="47"/>
      <c r="G227" s="47"/>
      <c r="H227" s="47"/>
      <c r="I227" s="47"/>
      <c r="J227" s="47"/>
      <c r="K227" s="47"/>
      <c r="L227" s="47"/>
      <c r="M227" s="47"/>
      <c r="N227" s="47"/>
      <c r="O227" s="47"/>
      <c r="P227" s="47"/>
      <c r="Q227" s="47"/>
      <c r="R227" s="47"/>
      <c r="S227" s="47"/>
      <c r="T227" s="47"/>
      <c r="U227" s="47"/>
      <c r="V227" s="47"/>
      <c r="W227" s="48"/>
      <c r="X227" s="48"/>
      <c r="Y227" s="49"/>
      <c r="Z227" s="47">
        <f t="shared" si="1"/>
        <v>0</v>
      </c>
      <c r="AA227" s="68"/>
      <c r="AB227" s="5"/>
      <c r="AC227" s="5"/>
      <c r="AD227" s="5"/>
      <c r="AE227" s="5"/>
      <c r="AF227" s="5"/>
      <c r="AG227" s="5"/>
      <c r="AH227" s="5"/>
      <c r="AI227" s="5"/>
      <c r="AJ227" s="5"/>
    </row>
    <row r="228">
      <c r="A228" s="43"/>
      <c r="B228" s="44">
        <v>221.0</v>
      </c>
      <c r="C228" s="51"/>
      <c r="D228" s="45" t="s">
        <v>489</v>
      </c>
      <c r="E228" s="124">
        <v>0.0</v>
      </c>
      <c r="F228" s="47"/>
      <c r="G228" s="47"/>
      <c r="H228" s="47"/>
      <c r="I228" s="47"/>
      <c r="J228" s="47"/>
      <c r="K228" s="47"/>
      <c r="L228" s="47"/>
      <c r="M228" s="44">
        <v>14.0</v>
      </c>
      <c r="N228" s="47"/>
      <c r="O228" s="47"/>
      <c r="P228" s="47"/>
      <c r="Q228" s="47"/>
      <c r="R228" s="47"/>
      <c r="S228" s="47"/>
      <c r="T228" s="47"/>
      <c r="U228" s="47"/>
      <c r="V228" s="47"/>
      <c r="W228" s="48"/>
      <c r="X228" s="48"/>
      <c r="Y228" s="49"/>
      <c r="Z228" s="47">
        <f t="shared" si="1"/>
        <v>14</v>
      </c>
      <c r="AA228" s="87" t="s">
        <v>490</v>
      </c>
      <c r="AB228" s="5"/>
      <c r="AC228" s="5"/>
      <c r="AD228" s="5"/>
      <c r="AE228" s="5"/>
      <c r="AF228" s="5"/>
      <c r="AG228" s="5"/>
      <c r="AH228" s="5"/>
      <c r="AI228" s="5"/>
      <c r="AJ228" s="5"/>
    </row>
    <row r="229">
      <c r="A229" s="125"/>
      <c r="B229" s="126"/>
      <c r="C229" s="127" t="s">
        <v>491</v>
      </c>
      <c r="D229" s="128"/>
      <c r="E229" s="129">
        <f t="shared" ref="E229:Z229" si="2">SUM(E8:E228)</f>
        <v>145586</v>
      </c>
      <c r="F229" s="129">
        <f t="shared" si="2"/>
        <v>16039</v>
      </c>
      <c r="G229" s="129">
        <f t="shared" si="2"/>
        <v>177</v>
      </c>
      <c r="H229" s="129">
        <f t="shared" si="2"/>
        <v>9444</v>
      </c>
      <c r="I229" s="129">
        <f t="shared" si="2"/>
        <v>1725</v>
      </c>
      <c r="J229" s="129">
        <f t="shared" si="2"/>
        <v>25</v>
      </c>
      <c r="K229" s="129">
        <f t="shared" si="2"/>
        <v>73</v>
      </c>
      <c r="L229" s="129">
        <f t="shared" si="2"/>
        <v>996</v>
      </c>
      <c r="M229" s="129">
        <f t="shared" si="2"/>
        <v>5027</v>
      </c>
      <c r="N229" s="129">
        <f t="shared" si="2"/>
        <v>0</v>
      </c>
      <c r="O229" s="129">
        <f t="shared" si="2"/>
        <v>579</v>
      </c>
      <c r="P229" s="129">
        <f t="shared" si="2"/>
        <v>79</v>
      </c>
      <c r="Q229" s="129">
        <f t="shared" si="2"/>
        <v>4625</v>
      </c>
      <c r="R229" s="129">
        <f t="shared" si="2"/>
        <v>28116</v>
      </c>
      <c r="S229" s="129">
        <f t="shared" si="2"/>
        <v>2663</v>
      </c>
      <c r="T229" s="129">
        <f t="shared" si="2"/>
        <v>0</v>
      </c>
      <c r="U229" s="129">
        <f t="shared" si="2"/>
        <v>110332</v>
      </c>
      <c r="V229" s="129">
        <f t="shared" si="2"/>
        <v>0</v>
      </c>
      <c r="W229" s="129">
        <f t="shared" si="2"/>
        <v>0</v>
      </c>
      <c r="X229" s="129">
        <f t="shared" si="2"/>
        <v>10</v>
      </c>
      <c r="Y229" s="130">
        <f t="shared" si="2"/>
        <v>580.034476</v>
      </c>
      <c r="Z229" s="129">
        <f t="shared" si="2"/>
        <v>325486</v>
      </c>
      <c r="AA229" s="131">
        <v>0.0</v>
      </c>
      <c r="AB229" s="5"/>
      <c r="AC229" s="5"/>
      <c r="AD229" s="5"/>
      <c r="AE229" s="5"/>
      <c r="AF229" s="5"/>
      <c r="AG229" s="5"/>
      <c r="AH229" s="5"/>
      <c r="AI229" s="5"/>
      <c r="AJ229" s="5"/>
    </row>
    <row r="230">
      <c r="A230" s="132"/>
      <c r="B230" s="133" t="s">
        <v>492</v>
      </c>
      <c r="C230" s="19"/>
      <c r="D230" s="20"/>
      <c r="E230" s="134"/>
      <c r="F230" s="134"/>
      <c r="G230" s="135"/>
      <c r="H230" s="135">
        <f>H229+I229</f>
        <v>11169</v>
      </c>
      <c r="I230" s="135">
        <f>I229</f>
        <v>1725</v>
      </c>
      <c r="J230" s="135"/>
      <c r="K230" s="135"/>
      <c r="L230" s="135"/>
      <c r="M230" s="135"/>
      <c r="N230" s="136">
        <f>N229+R229</f>
        <v>28116</v>
      </c>
      <c r="O230" s="19"/>
      <c r="P230" s="19"/>
      <c r="Q230" s="19"/>
      <c r="R230" s="20"/>
      <c r="S230" s="135">
        <f>S229+T229</f>
        <v>2663</v>
      </c>
      <c r="T230" s="137"/>
      <c r="U230" s="135"/>
      <c r="V230" s="137"/>
      <c r="W230" s="138"/>
      <c r="X230" s="138"/>
      <c r="Y230" s="139">
        <f>Y229</f>
        <v>580.034476</v>
      </c>
      <c r="Z230" s="137"/>
      <c r="AA230" s="140"/>
      <c r="AB230" s="141"/>
      <c r="AC230" s="141"/>
      <c r="AD230" s="141"/>
      <c r="AE230" s="141"/>
      <c r="AF230" s="141"/>
      <c r="AG230" s="141"/>
      <c r="AH230" s="141"/>
      <c r="AI230" s="141"/>
      <c r="AJ230" s="141"/>
    </row>
    <row r="231">
      <c r="A231" s="5"/>
      <c r="B231" s="142"/>
      <c r="C231" s="142"/>
      <c r="D231" s="142"/>
      <c r="E231" s="143"/>
      <c r="F231" s="144">
        <v>9101.0</v>
      </c>
      <c r="G231" s="142"/>
      <c r="H231" s="145"/>
      <c r="I231" s="145"/>
      <c r="J231" s="145"/>
      <c r="K231" s="145"/>
      <c r="L231" s="145"/>
      <c r="M231" s="145"/>
      <c r="N231" s="146" t="s">
        <v>1</v>
      </c>
      <c r="O231" s="142"/>
      <c r="P231" s="142"/>
      <c r="Q231" s="142"/>
      <c r="R231" s="142"/>
      <c r="S231" s="142"/>
      <c r="T231" s="142"/>
      <c r="U231" s="145"/>
      <c r="V231" s="142"/>
      <c r="W231" s="143"/>
      <c r="X231" s="143"/>
      <c r="Y231" s="147"/>
      <c r="Z231" s="142"/>
      <c r="AA231" s="148"/>
      <c r="AB231" s="5"/>
      <c r="AC231" s="5"/>
      <c r="AD231" s="5"/>
      <c r="AE231" s="5"/>
      <c r="AF231" s="5"/>
      <c r="AG231" s="5"/>
      <c r="AH231" s="5"/>
      <c r="AI231" s="5"/>
      <c r="AJ231" s="5"/>
    </row>
    <row r="232">
      <c r="A232" s="5"/>
      <c r="B232" s="5"/>
      <c r="C232" s="5"/>
      <c r="D232" s="5"/>
      <c r="E232" s="11"/>
      <c r="F232" s="12"/>
      <c r="G232" s="5"/>
      <c r="H232" s="12"/>
      <c r="I232" s="12"/>
      <c r="J232" s="12"/>
      <c r="K232" s="12"/>
      <c r="L232" s="12"/>
      <c r="M232" s="12"/>
      <c r="N232" s="5"/>
      <c r="O232" s="5"/>
      <c r="P232" s="5"/>
      <c r="Q232" s="5"/>
      <c r="R232" s="5"/>
      <c r="S232" s="5"/>
      <c r="T232" s="5"/>
      <c r="U232" s="12"/>
      <c r="V232" s="5"/>
      <c r="W232" s="11"/>
      <c r="X232" s="11"/>
      <c r="Y232" s="13"/>
      <c r="Z232" s="5"/>
      <c r="AA232" s="14"/>
      <c r="AB232" s="5"/>
      <c r="AC232" s="5"/>
      <c r="AD232" s="5"/>
      <c r="AE232" s="5"/>
      <c r="AF232" s="5"/>
      <c r="AG232" s="5"/>
      <c r="AH232" s="5"/>
      <c r="AI232" s="5"/>
      <c r="AJ232" s="5"/>
    </row>
    <row r="233">
      <c r="A233" s="5"/>
      <c r="B233" s="5"/>
      <c r="C233" s="5"/>
      <c r="D233" s="5"/>
      <c r="E233" s="11"/>
      <c r="F233" s="12"/>
      <c r="G233" s="5"/>
      <c r="H233" s="12"/>
      <c r="I233" s="12"/>
      <c r="J233" s="12"/>
      <c r="K233" s="12"/>
      <c r="L233" s="12"/>
      <c r="M233" s="12"/>
      <c r="N233" s="5"/>
      <c r="O233" s="5"/>
      <c r="P233" s="5"/>
      <c r="Q233" s="5"/>
      <c r="R233" s="5"/>
      <c r="S233" s="5"/>
      <c r="T233" s="5"/>
      <c r="U233" s="12"/>
      <c r="V233" s="5"/>
      <c r="W233" s="11"/>
      <c r="X233" s="11"/>
      <c r="Y233" s="13"/>
      <c r="Z233" s="5"/>
      <c r="AA233" s="14"/>
      <c r="AB233" s="5"/>
      <c r="AC233" s="5"/>
      <c r="AD233" s="5"/>
      <c r="AE233" s="5"/>
      <c r="AF233" s="5"/>
      <c r="AG233" s="5"/>
      <c r="AH233" s="5"/>
      <c r="AI233" s="5"/>
      <c r="AJ233" s="5"/>
    </row>
    <row r="234">
      <c r="A234" s="5"/>
      <c r="B234" s="5"/>
      <c r="C234" s="5"/>
      <c r="D234" s="5"/>
      <c r="E234" s="11"/>
      <c r="F234" s="12"/>
      <c r="G234" s="5"/>
      <c r="H234" s="12"/>
      <c r="I234" s="12"/>
      <c r="J234" s="12"/>
      <c r="K234" s="12"/>
      <c r="L234" s="12"/>
      <c r="M234" s="12"/>
      <c r="N234" s="5"/>
      <c r="O234" s="5"/>
      <c r="P234" s="5"/>
      <c r="Q234" s="5"/>
      <c r="R234" s="5"/>
      <c r="S234" s="5"/>
      <c r="T234" s="5"/>
      <c r="U234" s="12"/>
      <c r="V234" s="5"/>
      <c r="W234" s="11"/>
      <c r="X234" s="11"/>
      <c r="Y234" s="13"/>
      <c r="Z234" s="5"/>
      <c r="AA234" s="14"/>
      <c r="AB234" s="5"/>
      <c r="AC234" s="5"/>
      <c r="AD234" s="5"/>
      <c r="AE234" s="5"/>
      <c r="AF234" s="5"/>
      <c r="AG234" s="5"/>
      <c r="AH234" s="5"/>
      <c r="AI234" s="5"/>
      <c r="AJ234" s="5"/>
    </row>
    <row r="235">
      <c r="A235" s="5"/>
      <c r="B235" s="5"/>
      <c r="C235" s="5"/>
      <c r="D235" s="5"/>
      <c r="E235" s="11"/>
      <c r="F235" s="12"/>
      <c r="G235" s="5"/>
      <c r="H235" s="12"/>
      <c r="I235" s="12"/>
      <c r="J235" s="12"/>
      <c r="K235" s="12"/>
      <c r="L235" s="12"/>
      <c r="M235" s="12"/>
      <c r="N235" s="5"/>
      <c r="O235" s="5"/>
      <c r="P235" s="5"/>
      <c r="Q235" s="5"/>
      <c r="R235" s="5"/>
      <c r="S235" s="5"/>
      <c r="T235" s="5"/>
      <c r="U235" s="12"/>
      <c r="V235" s="5"/>
      <c r="W235" s="11"/>
      <c r="X235" s="11"/>
      <c r="Y235" s="13"/>
      <c r="Z235" s="5"/>
      <c r="AA235" s="14"/>
      <c r="AB235" s="5"/>
      <c r="AC235" s="5"/>
      <c r="AD235" s="5"/>
      <c r="AE235" s="5"/>
      <c r="AF235" s="5"/>
      <c r="AG235" s="5"/>
      <c r="AH235" s="5"/>
      <c r="AI235" s="5"/>
      <c r="AJ235" s="5"/>
    </row>
    <row r="236">
      <c r="A236" s="5"/>
      <c r="B236" s="5"/>
      <c r="C236" s="5"/>
      <c r="D236" s="5"/>
      <c r="E236" s="11"/>
      <c r="F236" s="12"/>
      <c r="G236" s="5">
        <f>E229+F229+G229+H229+K229+L229+M229</f>
        <v>177342</v>
      </c>
      <c r="H236" s="12"/>
      <c r="I236" s="12"/>
      <c r="J236" s="12"/>
      <c r="K236" s="12"/>
      <c r="L236" s="12"/>
      <c r="M236" s="12"/>
      <c r="N236" s="5"/>
      <c r="O236" s="5"/>
      <c r="P236" s="5"/>
      <c r="Q236" s="5"/>
      <c r="R236" s="5"/>
      <c r="S236" s="5"/>
      <c r="T236" s="5"/>
      <c r="U236" s="12"/>
      <c r="V236" s="5"/>
      <c r="W236" s="11"/>
      <c r="X236" s="11"/>
      <c r="Y236" s="13"/>
      <c r="Z236" s="5"/>
      <c r="AA236" s="14"/>
      <c r="AB236" s="5"/>
      <c r="AC236" s="5"/>
      <c r="AD236" s="5"/>
      <c r="AE236" s="5"/>
      <c r="AF236" s="5"/>
      <c r="AG236" s="5"/>
      <c r="AH236" s="5"/>
      <c r="AI236" s="5"/>
      <c r="AJ236" s="5"/>
    </row>
    <row r="237">
      <c r="A237" s="5"/>
      <c r="B237" s="5"/>
      <c r="C237" s="5"/>
      <c r="D237" s="5"/>
      <c r="E237" s="11"/>
      <c r="F237" s="12"/>
      <c r="G237" s="5"/>
      <c r="H237" s="12"/>
      <c r="I237" s="12"/>
      <c r="J237" s="12"/>
      <c r="K237" s="12"/>
      <c r="L237" s="12"/>
      <c r="M237" s="12"/>
      <c r="N237" s="5"/>
      <c r="O237" s="5"/>
      <c r="P237" s="5"/>
      <c r="Q237" s="5"/>
      <c r="R237" s="5"/>
      <c r="S237" s="5"/>
      <c r="T237" s="5"/>
      <c r="U237" s="12"/>
      <c r="V237" s="5"/>
      <c r="W237" s="11"/>
      <c r="X237" s="11"/>
      <c r="Y237" s="13"/>
      <c r="Z237" s="5"/>
      <c r="AA237" s="14"/>
      <c r="AB237" s="5"/>
      <c r="AC237" s="5"/>
      <c r="AD237" s="5"/>
      <c r="AE237" s="5"/>
      <c r="AF237" s="5"/>
      <c r="AG237" s="5"/>
      <c r="AH237" s="5"/>
      <c r="AI237" s="5"/>
      <c r="AJ237" s="5"/>
    </row>
    <row r="238">
      <c r="A238" s="5"/>
      <c r="B238" s="5"/>
      <c r="C238" s="5"/>
      <c r="D238" s="5"/>
      <c r="E238" s="11"/>
      <c r="F238" s="12"/>
      <c r="G238" s="5"/>
      <c r="H238" s="12"/>
      <c r="I238" s="12"/>
      <c r="J238" s="12"/>
      <c r="K238" s="12"/>
      <c r="L238" s="12"/>
      <c r="M238" s="12"/>
      <c r="N238" s="5"/>
      <c r="O238" s="5"/>
      <c r="P238" s="5"/>
      <c r="Q238" s="5"/>
      <c r="R238" s="5"/>
      <c r="S238" s="5"/>
      <c r="T238" s="5"/>
      <c r="U238" s="12"/>
      <c r="V238" s="5"/>
      <c r="W238" s="11"/>
      <c r="X238" s="11"/>
      <c r="Y238" s="13"/>
      <c r="Z238" s="5"/>
      <c r="AA238" s="14"/>
      <c r="AB238" s="5"/>
      <c r="AC238" s="5"/>
      <c r="AD238" s="5"/>
      <c r="AE238" s="5"/>
      <c r="AF238" s="5"/>
      <c r="AG238" s="5"/>
      <c r="AH238" s="5"/>
      <c r="AI238" s="5"/>
      <c r="AJ238" s="5"/>
    </row>
    <row r="239">
      <c r="A239" s="5"/>
      <c r="B239" s="5"/>
      <c r="C239" s="5"/>
      <c r="D239" s="5"/>
      <c r="E239" s="11"/>
      <c r="F239" s="12"/>
      <c r="G239" s="5"/>
      <c r="H239" s="12"/>
      <c r="I239" s="12"/>
      <c r="J239" s="12"/>
      <c r="K239" s="12"/>
      <c r="L239" s="12"/>
      <c r="M239" s="12"/>
      <c r="N239" s="5"/>
      <c r="O239" s="5"/>
      <c r="P239" s="5"/>
      <c r="Q239" s="5"/>
      <c r="R239" s="5"/>
      <c r="S239" s="5"/>
      <c r="T239" s="5"/>
      <c r="U239" s="12"/>
      <c r="V239" s="5"/>
      <c r="W239" s="11"/>
      <c r="X239" s="11"/>
      <c r="Y239" s="13"/>
      <c r="Z239" s="5"/>
      <c r="AA239" s="14"/>
      <c r="AB239" s="5"/>
      <c r="AC239" s="5"/>
      <c r="AD239" s="5"/>
      <c r="AE239" s="5"/>
      <c r="AF239" s="5"/>
      <c r="AG239" s="5"/>
      <c r="AH239" s="5"/>
      <c r="AI239" s="5"/>
      <c r="AJ239" s="5"/>
    </row>
    <row r="240">
      <c r="A240" s="5"/>
      <c r="B240" s="5"/>
      <c r="C240" s="5"/>
      <c r="D240" s="5"/>
      <c r="E240" s="11"/>
      <c r="F240" s="12"/>
      <c r="G240" s="5"/>
      <c r="H240" s="12"/>
      <c r="I240" s="12"/>
      <c r="J240" s="12"/>
      <c r="K240" s="12"/>
      <c r="L240" s="12"/>
      <c r="M240" s="12"/>
      <c r="N240" s="5"/>
      <c r="O240" s="5"/>
      <c r="P240" s="5"/>
      <c r="Q240" s="5"/>
      <c r="R240" s="5"/>
      <c r="S240" s="5"/>
      <c r="T240" s="5"/>
      <c r="U240" s="12"/>
      <c r="V240" s="5"/>
      <c r="W240" s="11"/>
      <c r="X240" s="149"/>
      <c r="Y240" s="13"/>
      <c r="Z240" s="5"/>
      <c r="AA240" s="14"/>
      <c r="AB240" s="5"/>
      <c r="AC240" s="5"/>
      <c r="AD240" s="5"/>
      <c r="AE240" s="5"/>
      <c r="AF240" s="5"/>
      <c r="AG240" s="5"/>
      <c r="AH240" s="5"/>
      <c r="AI240" s="5"/>
      <c r="AJ240" s="5"/>
    </row>
    <row r="241">
      <c r="A241" s="5"/>
      <c r="B241" s="5"/>
      <c r="C241" s="5"/>
      <c r="D241" s="5"/>
      <c r="E241" s="11"/>
      <c r="F241" s="12"/>
      <c r="G241" s="5"/>
      <c r="H241" s="12"/>
      <c r="I241" s="12"/>
      <c r="J241" s="12"/>
      <c r="K241" s="12"/>
      <c r="L241" s="12"/>
      <c r="M241" s="12"/>
      <c r="N241" s="5"/>
      <c r="O241" s="5"/>
      <c r="P241" s="5"/>
      <c r="Q241" s="5"/>
      <c r="R241" s="5"/>
      <c r="S241" s="5"/>
      <c r="T241" s="5"/>
      <c r="U241" s="12"/>
      <c r="V241" s="5"/>
      <c r="W241" s="11"/>
      <c r="X241" s="11"/>
      <c r="Y241" s="13"/>
      <c r="Z241" s="5"/>
      <c r="AA241" s="14"/>
      <c r="AB241" s="5"/>
      <c r="AC241" s="5"/>
      <c r="AD241" s="5"/>
      <c r="AE241" s="5"/>
      <c r="AF241" s="5"/>
      <c r="AG241" s="5"/>
      <c r="AH241" s="5"/>
      <c r="AI241" s="5"/>
      <c r="AJ241" s="5"/>
    </row>
    <row r="242">
      <c r="A242" s="5"/>
      <c r="B242" s="5"/>
      <c r="C242" s="5"/>
      <c r="D242" s="5"/>
      <c r="E242" s="11"/>
      <c r="F242" s="12"/>
      <c r="G242" s="5"/>
      <c r="H242" s="12"/>
      <c r="I242" s="12"/>
      <c r="J242" s="12"/>
      <c r="K242" s="12"/>
      <c r="L242" s="12"/>
      <c r="M242" s="12"/>
      <c r="N242" s="5"/>
      <c r="O242" s="5"/>
      <c r="P242" s="5"/>
      <c r="Q242" s="5"/>
      <c r="R242" s="5"/>
      <c r="S242" s="5"/>
      <c r="T242" s="5"/>
      <c r="U242" s="12"/>
      <c r="V242" s="5"/>
      <c r="W242" s="11"/>
      <c r="X242" s="11"/>
      <c r="Y242" s="13"/>
      <c r="Z242" s="5"/>
      <c r="AA242" s="14"/>
      <c r="AB242" s="5"/>
      <c r="AC242" s="5"/>
      <c r="AD242" s="5"/>
      <c r="AE242" s="5"/>
      <c r="AF242" s="5"/>
      <c r="AG242" s="5"/>
      <c r="AH242" s="5"/>
      <c r="AI242" s="5"/>
      <c r="AJ242" s="5"/>
    </row>
    <row r="243">
      <c r="A243" s="5"/>
      <c r="B243" s="5"/>
      <c r="C243" s="5"/>
      <c r="D243" s="5"/>
      <c r="E243" s="11"/>
      <c r="F243" s="12"/>
      <c r="G243" s="5"/>
      <c r="H243" s="12"/>
      <c r="I243" s="12"/>
      <c r="J243" s="12"/>
      <c r="K243" s="12"/>
      <c r="L243" s="12"/>
      <c r="M243" s="12"/>
      <c r="N243" s="5"/>
      <c r="O243" s="5"/>
      <c r="P243" s="5"/>
      <c r="Q243" s="5"/>
      <c r="R243" s="5"/>
      <c r="S243" s="5"/>
      <c r="T243" s="5"/>
      <c r="U243" s="12"/>
      <c r="V243" s="5"/>
      <c r="W243" s="11"/>
      <c r="X243" s="11"/>
      <c r="Y243" s="13"/>
      <c r="Z243" s="5"/>
      <c r="AA243" s="14"/>
      <c r="AB243" s="5"/>
      <c r="AC243" s="5"/>
      <c r="AD243" s="5"/>
      <c r="AE243" s="5"/>
      <c r="AF243" s="5"/>
      <c r="AG243" s="5"/>
      <c r="AH243" s="5"/>
      <c r="AI243" s="5"/>
      <c r="AJ243" s="5"/>
    </row>
    <row r="244">
      <c r="A244" s="5"/>
      <c r="B244" s="5"/>
      <c r="C244" s="5"/>
      <c r="D244" s="5"/>
      <c r="E244" s="11"/>
      <c r="F244" s="12"/>
      <c r="G244" s="5"/>
      <c r="H244" s="12"/>
      <c r="I244" s="12"/>
      <c r="J244" s="12"/>
      <c r="K244" s="12"/>
      <c r="L244" s="12"/>
      <c r="M244" s="12"/>
      <c r="N244" s="5"/>
      <c r="O244" s="5"/>
      <c r="P244" s="5"/>
      <c r="Q244" s="5"/>
      <c r="R244" s="5"/>
      <c r="S244" s="5"/>
      <c r="T244" s="5"/>
      <c r="U244" s="12"/>
      <c r="V244" s="5"/>
      <c r="W244" s="11"/>
      <c r="X244" s="11"/>
      <c r="Y244" s="13"/>
      <c r="Z244" s="5"/>
      <c r="AA244" s="14"/>
      <c r="AB244" s="5"/>
      <c r="AC244" s="5"/>
      <c r="AD244" s="5"/>
      <c r="AE244" s="5"/>
      <c r="AF244" s="5"/>
      <c r="AG244" s="5"/>
      <c r="AH244" s="5"/>
      <c r="AI244" s="5"/>
      <c r="AJ244" s="5"/>
    </row>
    <row r="245">
      <c r="A245" s="5"/>
      <c r="B245" s="5"/>
      <c r="C245" s="5"/>
      <c r="D245" s="5"/>
      <c r="E245" s="11"/>
      <c r="F245" s="12"/>
      <c r="G245" s="5"/>
      <c r="H245" s="12"/>
      <c r="I245" s="12"/>
      <c r="J245" s="12"/>
      <c r="K245" s="12"/>
      <c r="L245" s="12"/>
      <c r="M245" s="12"/>
      <c r="N245" s="5"/>
      <c r="O245" s="5"/>
      <c r="P245" s="5"/>
      <c r="Q245" s="5"/>
      <c r="R245" s="5"/>
      <c r="S245" s="5"/>
      <c r="T245" s="5"/>
      <c r="U245" s="12"/>
      <c r="V245" s="5"/>
      <c r="W245" s="11"/>
      <c r="X245" s="11"/>
      <c r="Y245" s="13"/>
      <c r="Z245" s="5"/>
      <c r="AA245" s="14"/>
      <c r="AB245" s="5"/>
      <c r="AC245" s="5"/>
      <c r="AD245" s="5"/>
      <c r="AE245" s="5"/>
      <c r="AF245" s="5"/>
      <c r="AG245" s="5"/>
      <c r="AH245" s="5"/>
      <c r="AI245" s="5"/>
      <c r="AJ245" s="5"/>
    </row>
    <row r="246">
      <c r="A246" s="5"/>
      <c r="B246" s="5"/>
      <c r="C246" s="5"/>
      <c r="D246" s="5"/>
      <c r="E246" s="11"/>
      <c r="F246" s="12"/>
      <c r="G246" s="5"/>
      <c r="H246" s="12"/>
      <c r="I246" s="12"/>
      <c r="J246" s="12"/>
      <c r="K246" s="12"/>
      <c r="L246" s="12"/>
      <c r="M246" s="12"/>
      <c r="N246" s="5"/>
      <c r="O246" s="5"/>
      <c r="P246" s="5"/>
      <c r="Q246" s="5"/>
      <c r="R246" s="5"/>
      <c r="S246" s="5"/>
      <c r="T246" s="5"/>
      <c r="U246" s="12"/>
      <c r="V246" s="5"/>
      <c r="W246" s="11"/>
      <c r="X246" s="11"/>
      <c r="Y246" s="13"/>
      <c r="Z246" s="5"/>
      <c r="AA246" s="14"/>
      <c r="AB246" s="5"/>
      <c r="AC246" s="5"/>
      <c r="AD246" s="5"/>
      <c r="AE246" s="5"/>
      <c r="AF246" s="5"/>
      <c r="AG246" s="5"/>
      <c r="AH246" s="5"/>
      <c r="AI246" s="5"/>
      <c r="AJ246" s="5"/>
    </row>
    <row r="247">
      <c r="A247" s="5"/>
      <c r="B247" s="5"/>
      <c r="C247" s="5"/>
      <c r="D247" s="5"/>
      <c r="E247" s="11"/>
      <c r="F247" s="12"/>
      <c r="G247" s="5"/>
      <c r="H247" s="12"/>
      <c r="I247" s="12"/>
      <c r="J247" s="12"/>
      <c r="K247" s="12"/>
      <c r="L247" s="12"/>
      <c r="M247" s="12"/>
      <c r="N247" s="5"/>
      <c r="O247" s="5"/>
      <c r="P247" s="5"/>
      <c r="Q247" s="5"/>
      <c r="R247" s="5"/>
      <c r="S247" s="5"/>
      <c r="T247" s="5"/>
      <c r="U247" s="12"/>
      <c r="V247" s="5"/>
      <c r="W247" s="11"/>
      <c r="X247" s="11"/>
      <c r="Y247" s="13"/>
      <c r="Z247" s="5"/>
      <c r="AA247" s="14"/>
      <c r="AB247" s="5"/>
      <c r="AC247" s="5"/>
      <c r="AD247" s="5"/>
      <c r="AE247" s="5"/>
      <c r="AF247" s="5"/>
      <c r="AG247" s="5"/>
      <c r="AH247" s="5"/>
      <c r="AI247" s="5"/>
      <c r="AJ247" s="5"/>
    </row>
    <row r="248">
      <c r="A248" s="5"/>
      <c r="B248" s="5"/>
      <c r="C248" s="5"/>
      <c r="D248" s="5"/>
      <c r="E248" s="11"/>
      <c r="F248" s="12"/>
      <c r="G248" s="5"/>
      <c r="H248" s="12"/>
      <c r="I248" s="12"/>
      <c r="J248" s="12"/>
      <c r="K248" s="12"/>
      <c r="L248" s="12"/>
      <c r="M248" s="12"/>
      <c r="N248" s="5"/>
      <c r="O248" s="5"/>
      <c r="P248" s="5"/>
      <c r="Q248" s="5"/>
      <c r="R248" s="5"/>
      <c r="S248" s="5"/>
      <c r="T248" s="5"/>
      <c r="U248" s="12"/>
      <c r="V248" s="5"/>
      <c r="W248" s="11"/>
      <c r="X248" s="11"/>
      <c r="Y248" s="13"/>
      <c r="Z248" s="5"/>
      <c r="AA248" s="14"/>
      <c r="AB248" s="5"/>
      <c r="AC248" s="5"/>
      <c r="AD248" s="5"/>
      <c r="AE248" s="5"/>
      <c r="AF248" s="5"/>
      <c r="AG248" s="5"/>
      <c r="AH248" s="5"/>
      <c r="AI248" s="5"/>
      <c r="AJ248" s="5"/>
    </row>
    <row r="249">
      <c r="A249" s="5"/>
      <c r="B249" s="5"/>
      <c r="C249" s="5"/>
      <c r="D249" s="5"/>
      <c r="E249" s="11"/>
      <c r="F249" s="12"/>
      <c r="G249" s="5"/>
      <c r="H249" s="12"/>
      <c r="I249" s="12"/>
      <c r="J249" s="12"/>
      <c r="K249" s="12"/>
      <c r="L249" s="12"/>
      <c r="M249" s="12"/>
      <c r="N249" s="5"/>
      <c r="O249" s="5"/>
      <c r="P249" s="5"/>
      <c r="Q249" s="5"/>
      <c r="R249" s="5"/>
      <c r="S249" s="5"/>
      <c r="T249" s="5"/>
      <c r="U249" s="12"/>
      <c r="V249" s="5"/>
      <c r="W249" s="11"/>
      <c r="X249" s="11"/>
      <c r="Y249" s="13"/>
      <c r="Z249" s="5"/>
      <c r="AA249" s="14"/>
      <c r="AB249" s="5"/>
      <c r="AC249" s="5"/>
      <c r="AD249" s="5"/>
      <c r="AE249" s="5"/>
      <c r="AF249" s="5"/>
      <c r="AG249" s="5"/>
      <c r="AH249" s="5"/>
      <c r="AI249" s="5"/>
      <c r="AJ249" s="5"/>
    </row>
    <row r="250">
      <c r="A250" s="5"/>
      <c r="B250" s="5"/>
      <c r="C250" s="5"/>
      <c r="D250" s="5"/>
      <c r="E250" s="11"/>
      <c r="F250" s="12"/>
      <c r="G250" s="5"/>
      <c r="H250" s="12"/>
      <c r="I250" s="12"/>
      <c r="J250" s="12"/>
      <c r="K250" s="12"/>
      <c r="L250" s="12"/>
      <c r="M250" s="12"/>
      <c r="N250" s="5"/>
      <c r="O250" s="5"/>
      <c r="P250" s="5"/>
      <c r="Q250" s="5"/>
      <c r="R250" s="5"/>
      <c r="S250" s="5"/>
      <c r="T250" s="5"/>
      <c r="U250" s="12"/>
      <c r="V250" s="5"/>
      <c r="W250" s="11"/>
      <c r="X250" s="11"/>
      <c r="Y250" s="13"/>
      <c r="Z250" s="5"/>
      <c r="AA250" s="14"/>
      <c r="AB250" s="5"/>
      <c r="AC250" s="5"/>
      <c r="AD250" s="5"/>
      <c r="AE250" s="5"/>
      <c r="AF250" s="5"/>
      <c r="AG250" s="5"/>
      <c r="AH250" s="5"/>
      <c r="AI250" s="5"/>
      <c r="AJ250" s="5"/>
    </row>
    <row r="251">
      <c r="A251" s="5"/>
      <c r="B251" s="5"/>
      <c r="C251" s="5"/>
      <c r="D251" s="5"/>
      <c r="E251" s="11"/>
      <c r="F251" s="12"/>
      <c r="G251" s="5"/>
      <c r="H251" s="12"/>
      <c r="I251" s="12"/>
      <c r="J251" s="12"/>
      <c r="K251" s="12"/>
      <c r="L251" s="12"/>
      <c r="M251" s="12"/>
      <c r="N251" s="5"/>
      <c r="O251" s="5"/>
      <c r="P251" s="5"/>
      <c r="Q251" s="5"/>
      <c r="R251" s="5"/>
      <c r="S251" s="5"/>
      <c r="T251" s="5"/>
      <c r="U251" s="12"/>
      <c r="V251" s="5"/>
      <c r="W251" s="11"/>
      <c r="X251" s="11"/>
      <c r="Y251" s="13"/>
      <c r="Z251" s="5"/>
      <c r="AA251" s="14"/>
      <c r="AB251" s="5"/>
      <c r="AC251" s="5"/>
      <c r="AD251" s="5"/>
      <c r="AE251" s="5"/>
      <c r="AF251" s="5"/>
      <c r="AG251" s="5"/>
      <c r="AH251" s="5"/>
      <c r="AI251" s="5"/>
      <c r="AJ251" s="5"/>
    </row>
    <row r="252">
      <c r="A252" s="5"/>
      <c r="B252" s="5"/>
      <c r="C252" s="5"/>
      <c r="D252" s="5"/>
      <c r="E252" s="11"/>
      <c r="F252" s="12"/>
      <c r="G252" s="5"/>
      <c r="H252" s="12"/>
      <c r="I252" s="12"/>
      <c r="J252" s="12"/>
      <c r="K252" s="12"/>
      <c r="L252" s="12"/>
      <c r="M252" s="12"/>
      <c r="N252" s="5"/>
      <c r="O252" s="5"/>
      <c r="P252" s="5"/>
      <c r="Q252" s="5"/>
      <c r="R252" s="5"/>
      <c r="S252" s="5"/>
      <c r="T252" s="5"/>
      <c r="U252" s="12"/>
      <c r="V252" s="5"/>
      <c r="W252" s="11"/>
      <c r="X252" s="11"/>
      <c r="Y252" s="13"/>
      <c r="Z252" s="5"/>
      <c r="AA252" s="14"/>
      <c r="AB252" s="5"/>
      <c r="AC252" s="5"/>
      <c r="AD252" s="5"/>
      <c r="AE252" s="5"/>
      <c r="AF252" s="5"/>
      <c r="AG252" s="5"/>
      <c r="AH252" s="5"/>
      <c r="AI252" s="5"/>
      <c r="AJ252" s="5"/>
    </row>
    <row r="253">
      <c r="A253" s="5"/>
      <c r="B253" s="5"/>
      <c r="C253" s="5"/>
      <c r="D253" s="5"/>
      <c r="E253" s="11"/>
      <c r="F253" s="12"/>
      <c r="G253" s="5"/>
      <c r="H253" s="12"/>
      <c r="I253" s="12"/>
      <c r="J253" s="12"/>
      <c r="K253" s="12"/>
      <c r="L253" s="12"/>
      <c r="M253" s="12"/>
      <c r="N253" s="5"/>
      <c r="O253" s="5"/>
      <c r="P253" s="5"/>
      <c r="Q253" s="5"/>
      <c r="R253" s="5"/>
      <c r="S253" s="5"/>
      <c r="T253" s="5"/>
      <c r="U253" s="12"/>
      <c r="V253" s="5"/>
      <c r="W253" s="11"/>
      <c r="X253" s="11"/>
      <c r="Y253" s="13"/>
      <c r="Z253" s="5"/>
      <c r="AA253" s="14"/>
      <c r="AB253" s="5"/>
      <c r="AC253" s="5"/>
      <c r="AD253" s="5"/>
      <c r="AE253" s="5"/>
      <c r="AF253" s="5"/>
      <c r="AG253" s="5"/>
      <c r="AH253" s="5"/>
      <c r="AI253" s="5"/>
      <c r="AJ253" s="5"/>
    </row>
    <row r="254">
      <c r="A254" s="5"/>
      <c r="B254" s="5"/>
      <c r="C254" s="5"/>
      <c r="D254" s="5"/>
      <c r="E254" s="11"/>
      <c r="F254" s="12"/>
      <c r="G254" s="5"/>
      <c r="H254" s="12"/>
      <c r="I254" s="12"/>
      <c r="J254" s="12"/>
      <c r="K254" s="12"/>
      <c r="L254" s="12"/>
      <c r="M254" s="12"/>
      <c r="N254" s="5"/>
      <c r="O254" s="5"/>
      <c r="P254" s="5"/>
      <c r="Q254" s="5"/>
      <c r="R254" s="5"/>
      <c r="S254" s="5"/>
      <c r="T254" s="5"/>
      <c r="U254" s="12"/>
      <c r="V254" s="5"/>
      <c r="W254" s="11"/>
      <c r="X254" s="11"/>
      <c r="Y254" s="13"/>
      <c r="Z254" s="5"/>
      <c r="AA254" s="14"/>
      <c r="AB254" s="5"/>
      <c r="AC254" s="5"/>
      <c r="AD254" s="5"/>
      <c r="AE254" s="5"/>
      <c r="AF254" s="5"/>
      <c r="AG254" s="5"/>
      <c r="AH254" s="5"/>
      <c r="AI254" s="5"/>
      <c r="AJ254" s="5"/>
    </row>
    <row r="255">
      <c r="A255" s="5"/>
      <c r="B255" s="5"/>
      <c r="C255" s="5"/>
      <c r="D255" s="5"/>
      <c r="E255" s="11"/>
      <c r="F255" s="12"/>
      <c r="G255" s="5"/>
      <c r="H255" s="12"/>
      <c r="I255" s="12"/>
      <c r="J255" s="12"/>
      <c r="K255" s="12"/>
      <c r="L255" s="12"/>
      <c r="M255" s="12"/>
      <c r="N255" s="5"/>
      <c r="R255" s="5"/>
      <c r="S255" s="5"/>
      <c r="T255" s="5"/>
      <c r="U255" s="12"/>
      <c r="V255" s="5"/>
      <c r="W255" s="11"/>
      <c r="X255" s="11"/>
      <c r="Y255" s="13"/>
      <c r="Z255" s="5"/>
      <c r="AA255" s="14"/>
      <c r="AB255" s="5"/>
      <c r="AC255" s="5"/>
      <c r="AD255" s="5"/>
      <c r="AE255" s="5"/>
      <c r="AF255" s="5"/>
      <c r="AG255" s="5"/>
      <c r="AH255" s="5"/>
      <c r="AI255" s="5"/>
      <c r="AJ255" s="5"/>
    </row>
    <row r="256">
      <c r="A256" s="5"/>
      <c r="B256" s="5"/>
      <c r="C256" s="5"/>
      <c r="D256" s="5"/>
      <c r="E256" s="11"/>
      <c r="F256" s="12"/>
      <c r="G256" s="5"/>
      <c r="H256" s="12"/>
      <c r="I256" s="12"/>
      <c r="J256" s="12"/>
      <c r="K256" s="12"/>
      <c r="L256" s="12"/>
      <c r="M256" s="12"/>
      <c r="N256" s="5"/>
      <c r="O256" s="5"/>
      <c r="P256" s="5"/>
      <c r="Q256" s="5"/>
      <c r="R256" s="5"/>
      <c r="S256" s="5"/>
      <c r="T256" s="5"/>
      <c r="U256" s="12"/>
      <c r="V256" s="5"/>
      <c r="W256" s="11"/>
      <c r="X256" s="11"/>
      <c r="Y256" s="13"/>
      <c r="Z256" s="5"/>
      <c r="AA256" s="14"/>
      <c r="AB256" s="5"/>
      <c r="AC256" s="5"/>
      <c r="AD256" s="5"/>
      <c r="AE256" s="5"/>
      <c r="AF256" s="5"/>
      <c r="AG256" s="5"/>
      <c r="AH256" s="5"/>
      <c r="AI256" s="5"/>
      <c r="AJ256" s="5"/>
    </row>
    <row r="257">
      <c r="A257" s="5"/>
      <c r="B257" s="5"/>
      <c r="C257" s="5"/>
      <c r="D257" s="5"/>
      <c r="E257" s="11"/>
      <c r="F257" s="12"/>
      <c r="G257" s="5"/>
      <c r="H257" s="12"/>
      <c r="I257" s="12"/>
      <c r="J257" s="12"/>
      <c r="K257" s="12"/>
      <c r="L257" s="12"/>
      <c r="M257" s="12"/>
      <c r="N257" s="5"/>
      <c r="O257" s="5"/>
      <c r="P257" s="5"/>
      <c r="Q257" s="5"/>
      <c r="R257" s="5"/>
      <c r="S257" s="5"/>
      <c r="T257" s="5"/>
      <c r="U257" s="12"/>
      <c r="V257" s="5"/>
      <c r="W257" s="11"/>
      <c r="X257" s="11"/>
      <c r="Y257" s="13"/>
      <c r="Z257" s="5"/>
      <c r="AA257" s="14"/>
      <c r="AB257" s="5"/>
      <c r="AC257" s="5"/>
      <c r="AD257" s="5"/>
      <c r="AE257" s="5"/>
      <c r="AF257" s="5"/>
      <c r="AG257" s="5"/>
      <c r="AH257" s="5"/>
      <c r="AI257" s="5"/>
      <c r="AJ257" s="5"/>
    </row>
    <row r="258">
      <c r="A258" s="5"/>
      <c r="B258" s="5"/>
      <c r="C258" s="5"/>
      <c r="D258" s="5"/>
      <c r="E258" s="11"/>
      <c r="F258" s="12"/>
      <c r="G258" s="5"/>
      <c r="H258" s="12"/>
      <c r="I258" s="12"/>
      <c r="J258" s="12"/>
      <c r="K258" s="12"/>
      <c r="L258" s="12"/>
      <c r="M258" s="12"/>
      <c r="N258" s="5"/>
      <c r="O258" s="5"/>
      <c r="P258" s="5"/>
      <c r="Q258" s="5"/>
      <c r="R258" s="5"/>
      <c r="S258" s="5"/>
      <c r="T258" s="5"/>
      <c r="U258" s="12"/>
      <c r="V258" s="5"/>
      <c r="W258" s="11"/>
      <c r="X258" s="11"/>
      <c r="Y258" s="13"/>
      <c r="Z258" s="5"/>
      <c r="AA258" s="14"/>
      <c r="AB258" s="5"/>
      <c r="AC258" s="5"/>
      <c r="AD258" s="5"/>
      <c r="AE258" s="5"/>
      <c r="AF258" s="5"/>
      <c r="AG258" s="5"/>
      <c r="AH258" s="5"/>
      <c r="AI258" s="5"/>
      <c r="AJ258" s="5"/>
    </row>
    <row r="259">
      <c r="A259" s="5"/>
      <c r="B259" s="5"/>
      <c r="C259" s="5"/>
      <c r="D259" s="5"/>
      <c r="E259" s="11"/>
      <c r="F259" s="12"/>
      <c r="G259" s="5"/>
      <c r="H259" s="12"/>
      <c r="I259" s="12"/>
      <c r="J259" s="12"/>
      <c r="K259" s="12"/>
      <c r="L259" s="12"/>
      <c r="M259" s="12"/>
      <c r="N259" s="5"/>
      <c r="O259" s="5"/>
      <c r="P259" s="5"/>
      <c r="Q259" s="5"/>
      <c r="R259" s="5"/>
      <c r="S259" s="5"/>
      <c r="T259" s="5"/>
      <c r="U259" s="12"/>
      <c r="V259" s="5"/>
      <c r="W259" s="11"/>
      <c r="X259" s="11"/>
      <c r="Y259" s="13"/>
      <c r="Z259" s="5"/>
      <c r="AA259" s="14"/>
      <c r="AB259" s="5"/>
      <c r="AC259" s="5"/>
      <c r="AD259" s="5"/>
      <c r="AE259" s="5"/>
      <c r="AF259" s="5"/>
      <c r="AG259" s="5"/>
      <c r="AH259" s="5"/>
      <c r="AI259" s="5"/>
      <c r="AJ259" s="5"/>
    </row>
    <row r="260">
      <c r="A260" s="5"/>
      <c r="B260" s="5"/>
      <c r="C260" s="5"/>
      <c r="D260" s="5"/>
      <c r="E260" s="11"/>
      <c r="F260" s="12"/>
      <c r="G260" s="5"/>
      <c r="H260" s="12"/>
      <c r="I260" s="12"/>
      <c r="J260" s="12"/>
      <c r="K260" s="12"/>
      <c r="L260" s="12"/>
      <c r="M260" s="12"/>
      <c r="N260" s="5"/>
      <c r="O260" s="5"/>
      <c r="P260" s="5"/>
      <c r="Q260" s="5"/>
      <c r="R260" s="5"/>
      <c r="S260" s="5"/>
      <c r="T260" s="5"/>
      <c r="U260" s="12"/>
      <c r="V260" s="5"/>
      <c r="W260" s="11"/>
      <c r="X260" s="11"/>
      <c r="Y260" s="13"/>
      <c r="Z260" s="5"/>
      <c r="AA260" s="14"/>
      <c r="AB260" s="5"/>
      <c r="AC260" s="5"/>
      <c r="AD260" s="5"/>
      <c r="AE260" s="5"/>
      <c r="AF260" s="5"/>
      <c r="AG260" s="5"/>
      <c r="AH260" s="5"/>
      <c r="AI260" s="5"/>
      <c r="AJ260" s="5"/>
    </row>
    <row r="261">
      <c r="A261" s="5"/>
      <c r="B261" s="5"/>
      <c r="C261" s="5"/>
      <c r="D261" s="5"/>
      <c r="E261" s="11"/>
      <c r="F261" s="12"/>
      <c r="G261" s="5"/>
      <c r="H261" s="12"/>
      <c r="I261" s="12"/>
      <c r="J261" s="12"/>
      <c r="K261" s="12"/>
      <c r="L261" s="12"/>
      <c r="M261" s="12"/>
      <c r="N261" s="5"/>
      <c r="O261" s="5"/>
      <c r="P261" s="5"/>
      <c r="Q261" s="5"/>
      <c r="R261" s="5"/>
      <c r="S261" s="5"/>
      <c r="T261" s="5"/>
      <c r="U261" s="12"/>
      <c r="V261" s="5"/>
      <c r="W261" s="11"/>
      <c r="X261" s="11"/>
      <c r="Y261" s="13"/>
      <c r="Z261" s="5"/>
      <c r="AA261" s="14"/>
      <c r="AB261" s="5"/>
      <c r="AC261" s="5"/>
      <c r="AD261" s="5"/>
      <c r="AE261" s="5"/>
      <c r="AF261" s="5"/>
      <c r="AG261" s="5"/>
      <c r="AH261" s="5"/>
      <c r="AI261" s="5"/>
      <c r="AJ261" s="5"/>
    </row>
    <row r="262">
      <c r="A262" s="5"/>
      <c r="B262" s="5"/>
      <c r="C262" s="5"/>
      <c r="D262" s="5"/>
      <c r="E262" s="11"/>
      <c r="F262" s="12"/>
      <c r="G262" s="5"/>
      <c r="H262" s="12"/>
      <c r="I262" s="12"/>
      <c r="J262" s="12"/>
      <c r="K262" s="12"/>
      <c r="L262" s="12"/>
      <c r="M262" s="12"/>
      <c r="N262" s="5"/>
      <c r="O262" s="5"/>
      <c r="P262" s="5"/>
      <c r="Q262" s="5"/>
      <c r="R262" s="5"/>
      <c r="S262" s="5"/>
      <c r="T262" s="5"/>
      <c r="U262" s="12"/>
      <c r="V262" s="5"/>
      <c r="W262" s="11"/>
      <c r="X262" s="11"/>
      <c r="Y262" s="13"/>
      <c r="Z262" s="5"/>
      <c r="AA262" s="14"/>
      <c r="AB262" s="5"/>
      <c r="AC262" s="5"/>
      <c r="AD262" s="5"/>
      <c r="AE262" s="5"/>
      <c r="AF262" s="5"/>
      <c r="AG262" s="5"/>
      <c r="AH262" s="5"/>
      <c r="AI262" s="5"/>
      <c r="AJ262" s="5"/>
    </row>
    <row r="263">
      <c r="A263" s="5"/>
      <c r="B263" s="5"/>
      <c r="C263" s="5"/>
      <c r="D263" s="5"/>
      <c r="E263" s="11"/>
      <c r="F263" s="12"/>
      <c r="G263" s="5"/>
      <c r="H263" s="12"/>
      <c r="I263" s="12"/>
      <c r="J263" s="12"/>
      <c r="K263" s="12"/>
      <c r="L263" s="12"/>
      <c r="M263" s="12"/>
      <c r="N263" s="5"/>
      <c r="O263" s="5"/>
      <c r="P263" s="5"/>
      <c r="Q263" s="5"/>
      <c r="R263" s="5"/>
      <c r="S263" s="5"/>
      <c r="T263" s="5"/>
      <c r="U263" s="12"/>
      <c r="V263" s="5"/>
      <c r="W263" s="11"/>
      <c r="X263" s="11"/>
      <c r="Y263" s="13"/>
      <c r="Z263" s="5"/>
      <c r="AA263" s="14"/>
      <c r="AB263" s="5"/>
      <c r="AC263" s="5"/>
      <c r="AD263" s="5"/>
      <c r="AE263" s="5"/>
      <c r="AF263" s="5"/>
      <c r="AG263" s="5"/>
      <c r="AH263" s="5"/>
      <c r="AI263" s="5"/>
      <c r="AJ263" s="5"/>
    </row>
    <row r="264">
      <c r="A264" s="5"/>
      <c r="B264" s="5"/>
      <c r="C264" s="5"/>
      <c r="D264" s="5"/>
      <c r="E264" s="11"/>
      <c r="F264" s="12"/>
      <c r="G264" s="5"/>
      <c r="H264" s="12"/>
      <c r="I264" s="12"/>
      <c r="J264" s="12"/>
      <c r="K264" s="12"/>
      <c r="L264" s="12"/>
      <c r="M264" s="12"/>
      <c r="N264" s="5"/>
      <c r="O264" s="5"/>
      <c r="P264" s="5"/>
      <c r="Q264" s="5"/>
      <c r="R264" s="5"/>
      <c r="S264" s="5"/>
      <c r="T264" s="5"/>
      <c r="U264" s="12"/>
      <c r="V264" s="5"/>
      <c r="W264" s="11"/>
      <c r="X264" s="11"/>
      <c r="Y264" s="13"/>
      <c r="Z264" s="5"/>
      <c r="AA264" s="14"/>
      <c r="AB264" s="5"/>
      <c r="AC264" s="5"/>
      <c r="AD264" s="5"/>
      <c r="AE264" s="5"/>
      <c r="AF264" s="5"/>
      <c r="AG264" s="5"/>
      <c r="AH264" s="5"/>
      <c r="AI264" s="5"/>
      <c r="AJ264" s="5"/>
    </row>
    <row r="265">
      <c r="A265" s="5"/>
      <c r="B265" s="5"/>
      <c r="C265" s="5"/>
      <c r="D265" s="5"/>
      <c r="E265" s="11"/>
      <c r="F265" s="12"/>
      <c r="G265" s="5"/>
      <c r="H265" s="12"/>
      <c r="I265" s="12"/>
      <c r="J265" s="12"/>
      <c r="K265" s="12"/>
      <c r="L265" s="12"/>
      <c r="M265" s="12"/>
      <c r="N265" s="5"/>
      <c r="O265" s="5"/>
      <c r="P265" s="5"/>
      <c r="Q265" s="5"/>
      <c r="R265" s="5"/>
      <c r="S265" s="5"/>
      <c r="T265" s="5"/>
      <c r="U265" s="12"/>
      <c r="V265" s="5"/>
      <c r="W265" s="11"/>
      <c r="X265" s="11"/>
      <c r="Y265" s="13"/>
      <c r="Z265" s="5"/>
      <c r="AA265" s="14"/>
      <c r="AB265" s="5"/>
      <c r="AC265" s="5"/>
      <c r="AD265" s="5"/>
      <c r="AE265" s="5"/>
      <c r="AF265" s="5"/>
      <c r="AG265" s="5"/>
      <c r="AH265" s="5"/>
      <c r="AI265" s="5"/>
      <c r="AJ265" s="5"/>
    </row>
    <row r="266">
      <c r="A266" s="5"/>
      <c r="B266" s="5"/>
      <c r="C266" s="5"/>
      <c r="D266" s="5"/>
      <c r="E266" s="11"/>
      <c r="F266" s="12"/>
      <c r="G266" s="5"/>
      <c r="H266" s="12"/>
      <c r="I266" s="12"/>
      <c r="J266" s="12"/>
      <c r="K266" s="12"/>
      <c r="L266" s="12"/>
      <c r="M266" s="12"/>
      <c r="N266" s="5"/>
      <c r="O266" s="5"/>
      <c r="P266" s="5"/>
      <c r="Q266" s="5"/>
      <c r="R266" s="5"/>
      <c r="S266" s="5"/>
      <c r="T266" s="5"/>
      <c r="U266" s="12"/>
      <c r="V266" s="5"/>
      <c r="W266" s="11"/>
      <c r="X266" s="11"/>
      <c r="Y266" s="13"/>
      <c r="Z266" s="5"/>
      <c r="AA266" s="14"/>
      <c r="AB266" s="5"/>
      <c r="AC266" s="5"/>
      <c r="AD266" s="5"/>
      <c r="AE266" s="5"/>
      <c r="AF266" s="5"/>
      <c r="AG266" s="5"/>
      <c r="AH266" s="5"/>
      <c r="AI266" s="5"/>
      <c r="AJ266" s="5"/>
    </row>
    <row r="267">
      <c r="A267" s="5"/>
      <c r="B267" s="5"/>
      <c r="C267" s="5"/>
      <c r="D267" s="5"/>
      <c r="E267" s="11"/>
      <c r="F267" s="12"/>
      <c r="G267" s="5"/>
      <c r="H267" s="12"/>
      <c r="I267" s="12"/>
      <c r="J267" s="12"/>
      <c r="K267" s="12"/>
      <c r="L267" s="12"/>
      <c r="M267" s="12"/>
      <c r="N267" s="5"/>
      <c r="O267" s="5"/>
      <c r="P267" s="5"/>
      <c r="Q267" s="5"/>
      <c r="R267" s="5"/>
      <c r="S267" s="5"/>
      <c r="T267" s="5"/>
      <c r="U267" s="12"/>
      <c r="V267" s="5"/>
      <c r="W267" s="11"/>
      <c r="X267" s="11"/>
      <c r="Y267" s="13"/>
      <c r="Z267" s="5"/>
      <c r="AA267" s="14"/>
      <c r="AB267" s="5"/>
      <c r="AC267" s="5"/>
      <c r="AD267" s="5"/>
      <c r="AE267" s="5"/>
      <c r="AF267" s="5"/>
      <c r="AG267" s="5"/>
      <c r="AH267" s="5"/>
      <c r="AI267" s="5"/>
      <c r="AJ267" s="5"/>
    </row>
    <row r="268">
      <c r="A268" s="5"/>
      <c r="B268" s="5"/>
      <c r="C268" s="5"/>
      <c r="D268" s="5"/>
      <c r="E268" s="11"/>
      <c r="F268" s="12"/>
      <c r="G268" s="5"/>
      <c r="H268" s="12"/>
      <c r="I268" s="12"/>
      <c r="J268" s="12"/>
      <c r="K268" s="12"/>
      <c r="L268" s="12"/>
      <c r="M268" s="12"/>
      <c r="N268" s="5"/>
      <c r="O268" s="5"/>
      <c r="P268" s="5"/>
      <c r="Q268" s="5"/>
      <c r="R268" s="5"/>
      <c r="S268" s="5"/>
      <c r="T268" s="5"/>
      <c r="U268" s="12"/>
      <c r="V268" s="5"/>
      <c r="W268" s="11"/>
      <c r="X268" s="11"/>
      <c r="Y268" s="13"/>
      <c r="Z268" s="5"/>
      <c r="AA268" s="14"/>
      <c r="AB268" s="5"/>
      <c r="AC268" s="5"/>
      <c r="AD268" s="5"/>
      <c r="AE268" s="5"/>
      <c r="AF268" s="5"/>
      <c r="AG268" s="5"/>
      <c r="AH268" s="5"/>
      <c r="AI268" s="5"/>
      <c r="AJ268" s="5"/>
    </row>
    <row r="269">
      <c r="A269" s="5"/>
      <c r="B269" s="5"/>
      <c r="C269" s="5"/>
      <c r="D269" s="5"/>
      <c r="E269" s="11"/>
      <c r="F269" s="12"/>
      <c r="G269" s="5"/>
      <c r="H269" s="12"/>
      <c r="I269" s="12"/>
      <c r="J269" s="12"/>
      <c r="K269" s="12"/>
      <c r="L269" s="12"/>
      <c r="M269" s="12"/>
      <c r="N269" s="5"/>
      <c r="O269" s="5"/>
      <c r="P269" s="5"/>
      <c r="Q269" s="5"/>
      <c r="R269" s="5"/>
      <c r="S269" s="5"/>
      <c r="T269" s="5"/>
      <c r="U269" s="12"/>
      <c r="V269" s="5"/>
      <c r="W269" s="11"/>
      <c r="X269" s="11"/>
      <c r="Y269" s="13"/>
      <c r="Z269" s="5"/>
      <c r="AA269" s="14"/>
      <c r="AB269" s="5"/>
      <c r="AC269" s="5"/>
      <c r="AD269" s="5"/>
      <c r="AE269" s="5"/>
      <c r="AF269" s="5"/>
      <c r="AG269" s="5"/>
      <c r="AH269" s="5"/>
      <c r="AI269" s="5"/>
      <c r="AJ269" s="5"/>
    </row>
    <row r="270">
      <c r="A270" s="5"/>
      <c r="B270" s="5"/>
      <c r="C270" s="5"/>
      <c r="D270" s="5"/>
      <c r="E270" s="11"/>
      <c r="F270" s="12"/>
      <c r="G270" s="5"/>
      <c r="H270" s="12"/>
      <c r="I270" s="12"/>
      <c r="J270" s="12"/>
      <c r="K270" s="12"/>
      <c r="L270" s="12"/>
      <c r="M270" s="12"/>
      <c r="N270" s="5"/>
      <c r="O270" s="5"/>
      <c r="P270" s="5"/>
      <c r="Q270" s="5"/>
      <c r="R270" s="5"/>
      <c r="S270" s="5"/>
      <c r="T270" s="5"/>
      <c r="U270" s="12"/>
      <c r="V270" s="5"/>
      <c r="W270" s="11"/>
      <c r="X270" s="11"/>
      <c r="Y270" s="13"/>
      <c r="Z270" s="5"/>
      <c r="AA270" s="14"/>
      <c r="AB270" s="5"/>
      <c r="AC270" s="5"/>
      <c r="AD270" s="5"/>
      <c r="AE270" s="5"/>
      <c r="AF270" s="5"/>
      <c r="AG270" s="5"/>
      <c r="AH270" s="5"/>
      <c r="AI270" s="5"/>
      <c r="AJ270" s="5"/>
    </row>
    <row r="271">
      <c r="A271" s="5"/>
      <c r="B271" s="5"/>
      <c r="C271" s="5"/>
      <c r="D271" s="5"/>
      <c r="E271" s="11"/>
      <c r="F271" s="12"/>
      <c r="G271" s="5"/>
      <c r="H271" s="12"/>
      <c r="I271" s="12"/>
      <c r="J271" s="12"/>
      <c r="K271" s="12"/>
      <c r="L271" s="12"/>
      <c r="M271" s="12"/>
      <c r="N271" s="5"/>
      <c r="O271" s="5"/>
      <c r="P271" s="5"/>
      <c r="Q271" s="5"/>
      <c r="R271" s="5"/>
      <c r="S271" s="5"/>
      <c r="T271" s="5"/>
      <c r="U271" s="12"/>
      <c r="V271" s="5"/>
      <c r="W271" s="11"/>
      <c r="X271" s="11"/>
      <c r="Y271" s="13"/>
      <c r="Z271" s="5"/>
      <c r="AA271" s="14"/>
      <c r="AB271" s="5"/>
      <c r="AC271" s="5"/>
      <c r="AD271" s="5"/>
      <c r="AE271" s="5"/>
      <c r="AF271" s="5"/>
      <c r="AG271" s="5"/>
      <c r="AH271" s="5"/>
      <c r="AI271" s="5"/>
      <c r="AJ271" s="5"/>
    </row>
    <row r="272">
      <c r="A272" s="5"/>
      <c r="B272" s="5"/>
      <c r="C272" s="5"/>
      <c r="D272" s="5"/>
      <c r="E272" s="11"/>
      <c r="F272" s="12"/>
      <c r="G272" s="5"/>
      <c r="H272" s="12"/>
      <c r="I272" s="12"/>
      <c r="J272" s="12"/>
      <c r="K272" s="12"/>
      <c r="L272" s="12"/>
      <c r="M272" s="12"/>
      <c r="N272" s="5"/>
      <c r="O272" s="5"/>
      <c r="P272" s="5"/>
      <c r="Q272" s="5"/>
      <c r="R272" s="5"/>
      <c r="S272" s="5"/>
      <c r="T272" s="5"/>
      <c r="U272" s="12"/>
      <c r="V272" s="5"/>
      <c r="W272" s="11"/>
      <c r="X272" s="11"/>
      <c r="Y272" s="13"/>
      <c r="Z272" s="5"/>
      <c r="AA272" s="14"/>
      <c r="AB272" s="5"/>
      <c r="AC272" s="5"/>
      <c r="AD272" s="5"/>
      <c r="AE272" s="5"/>
      <c r="AF272" s="5"/>
      <c r="AG272" s="5"/>
      <c r="AH272" s="5"/>
      <c r="AI272" s="5"/>
      <c r="AJ272" s="5"/>
    </row>
    <row r="273">
      <c r="A273" s="5"/>
      <c r="B273" s="5"/>
      <c r="C273" s="5"/>
      <c r="D273" s="5"/>
      <c r="E273" s="11"/>
      <c r="F273" s="12"/>
      <c r="G273" s="5"/>
      <c r="H273" s="12"/>
      <c r="I273" s="12"/>
      <c r="J273" s="12"/>
      <c r="K273" s="12"/>
      <c r="L273" s="12"/>
      <c r="M273" s="12"/>
      <c r="N273" s="5"/>
      <c r="O273" s="5"/>
      <c r="P273" s="5"/>
      <c r="Q273" s="5"/>
      <c r="R273" s="5"/>
      <c r="S273" s="5"/>
      <c r="T273" s="5"/>
      <c r="U273" s="12"/>
      <c r="V273" s="5"/>
      <c r="W273" s="11"/>
      <c r="X273" s="11"/>
      <c r="Y273" s="13"/>
      <c r="Z273" s="5"/>
      <c r="AA273" s="14"/>
      <c r="AB273" s="5"/>
      <c r="AC273" s="5"/>
      <c r="AD273" s="5"/>
      <c r="AE273" s="5"/>
      <c r="AF273" s="5"/>
      <c r="AG273" s="5"/>
      <c r="AH273" s="5"/>
      <c r="AI273" s="5"/>
      <c r="AJ273" s="5"/>
    </row>
    <row r="274">
      <c r="A274" s="5"/>
      <c r="B274" s="5"/>
      <c r="C274" s="5"/>
      <c r="D274" s="5"/>
      <c r="E274" s="11"/>
      <c r="F274" s="12"/>
      <c r="G274" s="5"/>
      <c r="H274" s="12"/>
      <c r="I274" s="12"/>
      <c r="J274" s="12"/>
      <c r="K274" s="12"/>
      <c r="L274" s="12"/>
      <c r="M274" s="12"/>
      <c r="N274" s="5"/>
      <c r="O274" s="5"/>
      <c r="P274" s="5"/>
      <c r="Q274" s="5"/>
      <c r="R274" s="5"/>
      <c r="S274" s="5"/>
      <c r="T274" s="5"/>
      <c r="U274" s="12"/>
      <c r="V274" s="5"/>
      <c r="W274" s="11"/>
      <c r="X274" s="11"/>
      <c r="Y274" s="13"/>
      <c r="Z274" s="5"/>
      <c r="AA274" s="14"/>
      <c r="AB274" s="5"/>
      <c r="AC274" s="5"/>
      <c r="AD274" s="5"/>
      <c r="AE274" s="5"/>
      <c r="AF274" s="5"/>
      <c r="AG274" s="5"/>
      <c r="AH274" s="5"/>
      <c r="AI274" s="5"/>
      <c r="AJ274" s="5"/>
    </row>
    <row r="275">
      <c r="A275" s="5"/>
      <c r="B275" s="5"/>
      <c r="C275" s="5"/>
      <c r="D275" s="5"/>
      <c r="E275" s="11"/>
      <c r="F275" s="12"/>
      <c r="G275" s="5"/>
      <c r="H275" s="12"/>
      <c r="I275" s="12"/>
      <c r="J275" s="12"/>
      <c r="K275" s="12"/>
      <c r="L275" s="12"/>
      <c r="M275" s="12"/>
      <c r="N275" s="5"/>
      <c r="O275" s="5"/>
      <c r="P275" s="5"/>
      <c r="Q275" s="5"/>
      <c r="R275" s="5"/>
      <c r="S275" s="5"/>
      <c r="T275" s="5"/>
      <c r="U275" s="12"/>
      <c r="V275" s="5"/>
      <c r="W275" s="11"/>
      <c r="X275" s="11"/>
      <c r="Y275" s="13"/>
      <c r="Z275" s="5"/>
      <c r="AA275" s="14"/>
      <c r="AB275" s="5"/>
      <c r="AC275" s="5"/>
      <c r="AD275" s="5"/>
      <c r="AE275" s="5"/>
      <c r="AF275" s="5"/>
      <c r="AG275" s="5"/>
      <c r="AH275" s="5"/>
      <c r="AI275" s="5"/>
      <c r="AJ275" s="5"/>
    </row>
    <row r="276">
      <c r="A276" s="5"/>
      <c r="B276" s="5"/>
      <c r="C276" s="5"/>
      <c r="D276" s="5"/>
      <c r="E276" s="11"/>
      <c r="F276" s="12"/>
      <c r="G276" s="5"/>
      <c r="H276" s="12"/>
      <c r="I276" s="12"/>
      <c r="J276" s="12"/>
      <c r="K276" s="12"/>
      <c r="L276" s="12"/>
      <c r="M276" s="12"/>
      <c r="N276" s="5"/>
      <c r="O276" s="5"/>
      <c r="P276" s="5"/>
      <c r="Q276" s="5"/>
      <c r="R276" s="5"/>
      <c r="S276" s="5"/>
      <c r="T276" s="5"/>
      <c r="U276" s="12"/>
      <c r="V276" s="5"/>
      <c r="W276" s="11"/>
      <c r="X276" s="11"/>
      <c r="Y276" s="13"/>
      <c r="Z276" s="5"/>
      <c r="AA276" s="14"/>
      <c r="AB276" s="5"/>
      <c r="AC276" s="5"/>
      <c r="AD276" s="5"/>
      <c r="AE276" s="5"/>
      <c r="AF276" s="5"/>
      <c r="AG276" s="5"/>
      <c r="AH276" s="5"/>
      <c r="AI276" s="5"/>
      <c r="AJ276" s="5"/>
    </row>
    <row r="277">
      <c r="A277" s="5"/>
      <c r="B277" s="5"/>
      <c r="C277" s="5"/>
      <c r="D277" s="5"/>
      <c r="E277" s="11"/>
      <c r="F277" s="12"/>
      <c r="G277" s="5"/>
      <c r="H277" s="12"/>
      <c r="I277" s="12"/>
      <c r="J277" s="12"/>
      <c r="K277" s="12"/>
      <c r="L277" s="12"/>
      <c r="M277" s="12"/>
      <c r="N277" s="5"/>
      <c r="O277" s="5"/>
      <c r="P277" s="5"/>
      <c r="Q277" s="5"/>
      <c r="R277" s="5"/>
      <c r="S277" s="5"/>
      <c r="T277" s="5"/>
      <c r="U277" s="12"/>
      <c r="V277" s="5"/>
      <c r="W277" s="11"/>
      <c r="X277" s="11"/>
      <c r="Y277" s="13"/>
      <c r="Z277" s="5"/>
      <c r="AA277" s="14"/>
      <c r="AB277" s="5"/>
      <c r="AC277" s="5"/>
      <c r="AD277" s="5"/>
      <c r="AE277" s="5"/>
      <c r="AF277" s="5"/>
      <c r="AG277" s="5"/>
      <c r="AH277" s="5"/>
      <c r="AI277" s="5"/>
      <c r="AJ277" s="5"/>
    </row>
    <row r="278">
      <c r="A278" s="5"/>
      <c r="B278" s="5"/>
      <c r="C278" s="5"/>
      <c r="D278" s="5"/>
      <c r="E278" s="11"/>
      <c r="F278" s="12"/>
      <c r="G278" s="5"/>
      <c r="H278" s="12"/>
      <c r="I278" s="12"/>
      <c r="J278" s="12"/>
      <c r="K278" s="12"/>
      <c r="L278" s="12"/>
      <c r="M278" s="12"/>
      <c r="N278" s="5"/>
      <c r="O278" s="5"/>
      <c r="P278" s="5"/>
      <c r="Q278" s="5"/>
      <c r="R278" s="5"/>
      <c r="S278" s="5"/>
      <c r="T278" s="5"/>
      <c r="U278" s="12"/>
      <c r="V278" s="5"/>
      <c r="W278" s="11"/>
      <c r="X278" s="11"/>
      <c r="Y278" s="13"/>
      <c r="Z278" s="5"/>
      <c r="AA278" s="14"/>
      <c r="AB278" s="5"/>
      <c r="AC278" s="5"/>
      <c r="AD278" s="5"/>
      <c r="AE278" s="5"/>
      <c r="AF278" s="5"/>
      <c r="AG278" s="5"/>
      <c r="AH278" s="5"/>
      <c r="AI278" s="5"/>
      <c r="AJ278" s="5"/>
    </row>
    <row r="279">
      <c r="A279" s="5"/>
      <c r="B279" s="5"/>
      <c r="C279" s="5"/>
      <c r="D279" s="5"/>
      <c r="E279" s="11"/>
      <c r="F279" s="12"/>
      <c r="G279" s="5"/>
      <c r="H279" s="12"/>
      <c r="I279" s="12"/>
      <c r="J279" s="12"/>
      <c r="K279" s="12"/>
      <c r="L279" s="12"/>
      <c r="M279" s="12"/>
      <c r="N279" s="5"/>
      <c r="O279" s="5"/>
      <c r="P279" s="5"/>
      <c r="Q279" s="5"/>
      <c r="R279" s="5"/>
      <c r="S279" s="5"/>
      <c r="T279" s="5"/>
      <c r="U279" s="12"/>
      <c r="V279" s="5"/>
      <c r="W279" s="11"/>
      <c r="X279" s="11"/>
      <c r="Y279" s="13"/>
      <c r="Z279" s="5"/>
      <c r="AA279" s="14"/>
      <c r="AB279" s="5"/>
      <c r="AC279" s="5"/>
      <c r="AD279" s="5"/>
      <c r="AE279" s="5"/>
      <c r="AF279" s="5"/>
      <c r="AG279" s="5"/>
      <c r="AH279" s="5"/>
      <c r="AI279" s="5"/>
      <c r="AJ279" s="5"/>
    </row>
    <row r="280">
      <c r="A280" s="5"/>
      <c r="B280" s="5"/>
      <c r="C280" s="5"/>
      <c r="D280" s="5"/>
      <c r="E280" s="11"/>
      <c r="F280" s="12"/>
      <c r="G280" s="5"/>
      <c r="H280" s="12"/>
      <c r="I280" s="12"/>
      <c r="J280" s="12"/>
      <c r="K280" s="12"/>
      <c r="L280" s="12"/>
      <c r="M280" s="12"/>
      <c r="N280" s="5"/>
      <c r="O280" s="5"/>
      <c r="P280" s="5"/>
      <c r="Q280" s="5"/>
      <c r="R280" s="5"/>
      <c r="S280" s="5"/>
      <c r="T280" s="5"/>
      <c r="U280" s="12"/>
      <c r="V280" s="5"/>
      <c r="W280" s="11"/>
      <c r="X280" s="11"/>
      <c r="Y280" s="13"/>
      <c r="Z280" s="5"/>
      <c r="AA280" s="14"/>
      <c r="AB280" s="5"/>
      <c r="AC280" s="5"/>
      <c r="AD280" s="5"/>
      <c r="AE280" s="5"/>
      <c r="AF280" s="5"/>
      <c r="AG280" s="5"/>
      <c r="AH280" s="5"/>
      <c r="AI280" s="5"/>
      <c r="AJ280" s="5"/>
    </row>
    <row r="281">
      <c r="A281" s="5"/>
      <c r="B281" s="5"/>
      <c r="C281" s="5"/>
      <c r="D281" s="5"/>
      <c r="E281" s="11"/>
      <c r="F281" s="12"/>
      <c r="G281" s="5"/>
      <c r="H281" s="12"/>
      <c r="I281" s="12"/>
      <c r="J281" s="12"/>
      <c r="K281" s="12"/>
      <c r="L281" s="12"/>
      <c r="M281" s="12"/>
      <c r="N281" s="5"/>
      <c r="O281" s="5"/>
      <c r="P281" s="5"/>
      <c r="Q281" s="5"/>
      <c r="R281" s="5"/>
      <c r="S281" s="5"/>
      <c r="T281" s="5"/>
      <c r="U281" s="12"/>
      <c r="V281" s="5"/>
      <c r="W281" s="11"/>
      <c r="X281" s="11"/>
      <c r="Y281" s="13"/>
      <c r="Z281" s="5"/>
      <c r="AA281" s="14"/>
      <c r="AB281" s="5"/>
      <c r="AC281" s="5"/>
      <c r="AD281" s="5"/>
      <c r="AE281" s="5"/>
      <c r="AF281" s="5"/>
      <c r="AG281" s="5"/>
      <c r="AH281" s="5"/>
      <c r="AI281" s="5"/>
      <c r="AJ281" s="5"/>
    </row>
    <row r="282">
      <c r="A282" s="5"/>
      <c r="B282" s="5"/>
      <c r="C282" s="5"/>
      <c r="D282" s="5"/>
      <c r="E282" s="11"/>
      <c r="F282" s="12"/>
      <c r="G282" s="5"/>
      <c r="H282" s="12"/>
      <c r="I282" s="12"/>
      <c r="J282" s="12"/>
      <c r="K282" s="12"/>
      <c r="L282" s="12"/>
      <c r="M282" s="12"/>
      <c r="N282" s="5"/>
      <c r="O282" s="5"/>
      <c r="P282" s="5"/>
      <c r="Q282" s="5"/>
      <c r="R282" s="5"/>
      <c r="S282" s="5"/>
      <c r="T282" s="5"/>
      <c r="U282" s="12"/>
      <c r="V282" s="5"/>
      <c r="W282" s="11"/>
      <c r="X282" s="11"/>
      <c r="Y282" s="13"/>
      <c r="Z282" s="5"/>
      <c r="AA282" s="14"/>
      <c r="AB282" s="5"/>
      <c r="AC282" s="5"/>
      <c r="AD282" s="5"/>
      <c r="AE282" s="5"/>
      <c r="AF282" s="5"/>
      <c r="AG282" s="5"/>
      <c r="AH282" s="5"/>
      <c r="AI282" s="5"/>
      <c r="AJ282" s="5"/>
    </row>
    <row r="283">
      <c r="A283" s="5"/>
      <c r="B283" s="5"/>
      <c r="C283" s="5"/>
      <c r="D283" s="5"/>
      <c r="E283" s="11"/>
      <c r="F283" s="12"/>
      <c r="G283" s="5"/>
      <c r="H283" s="12"/>
      <c r="I283" s="12"/>
      <c r="J283" s="12"/>
      <c r="K283" s="12"/>
      <c r="L283" s="12"/>
      <c r="M283" s="12"/>
      <c r="N283" s="5"/>
      <c r="O283" s="5"/>
      <c r="P283" s="5"/>
      <c r="Q283" s="5"/>
      <c r="R283" s="5"/>
      <c r="S283" s="5"/>
      <c r="T283" s="5"/>
      <c r="U283" s="12"/>
      <c r="V283" s="5"/>
      <c r="W283" s="11"/>
      <c r="X283" s="11"/>
      <c r="Y283" s="13"/>
      <c r="Z283" s="5"/>
      <c r="AA283" s="14"/>
      <c r="AB283" s="5"/>
      <c r="AC283" s="5"/>
      <c r="AD283" s="5"/>
      <c r="AE283" s="5"/>
      <c r="AF283" s="5"/>
      <c r="AG283" s="5"/>
      <c r="AH283" s="5"/>
      <c r="AI283" s="5"/>
      <c r="AJ283" s="5"/>
    </row>
    <row r="284">
      <c r="A284" s="5"/>
      <c r="B284" s="5"/>
      <c r="C284" s="5"/>
      <c r="D284" s="5"/>
      <c r="E284" s="11"/>
      <c r="F284" s="12"/>
      <c r="G284" s="5"/>
      <c r="H284" s="12"/>
      <c r="I284" s="12"/>
      <c r="J284" s="12"/>
      <c r="K284" s="12"/>
      <c r="L284" s="12"/>
      <c r="M284" s="12"/>
      <c r="N284" s="5"/>
      <c r="O284" s="5"/>
      <c r="P284" s="5"/>
      <c r="Q284" s="5"/>
      <c r="R284" s="5"/>
      <c r="S284" s="5"/>
      <c r="T284" s="5"/>
      <c r="U284" s="12"/>
      <c r="V284" s="5"/>
      <c r="W284" s="11"/>
      <c r="X284" s="11"/>
      <c r="Y284" s="13"/>
      <c r="Z284" s="5"/>
      <c r="AA284" s="14"/>
      <c r="AB284" s="5"/>
      <c r="AC284" s="5"/>
      <c r="AD284" s="5"/>
      <c r="AE284" s="5"/>
      <c r="AF284" s="5"/>
      <c r="AG284" s="5"/>
      <c r="AH284" s="5"/>
      <c r="AI284" s="5"/>
      <c r="AJ284" s="5"/>
    </row>
    <row r="285">
      <c r="A285" s="5"/>
      <c r="B285" s="5"/>
      <c r="C285" s="5"/>
      <c r="D285" s="5"/>
      <c r="E285" s="11"/>
      <c r="F285" s="12"/>
      <c r="G285" s="5"/>
      <c r="H285" s="12"/>
      <c r="I285" s="12"/>
      <c r="J285" s="12"/>
      <c r="K285" s="12"/>
      <c r="L285" s="12"/>
      <c r="M285" s="12"/>
      <c r="N285" s="5"/>
      <c r="O285" s="5"/>
      <c r="P285" s="5"/>
      <c r="Q285" s="5"/>
      <c r="R285" s="5"/>
      <c r="S285" s="5"/>
      <c r="T285" s="5"/>
      <c r="U285" s="12"/>
      <c r="V285" s="5"/>
      <c r="W285" s="11"/>
      <c r="X285" s="11"/>
      <c r="Y285" s="13"/>
      <c r="Z285" s="5"/>
      <c r="AA285" s="14"/>
      <c r="AB285" s="5"/>
      <c r="AC285" s="5"/>
      <c r="AD285" s="5"/>
      <c r="AE285" s="5"/>
      <c r="AF285" s="5"/>
      <c r="AG285" s="5"/>
      <c r="AH285" s="5"/>
      <c r="AI285" s="5"/>
      <c r="AJ285" s="5"/>
    </row>
    <row r="286">
      <c r="A286" s="5"/>
      <c r="B286" s="5"/>
      <c r="C286" s="5"/>
      <c r="D286" s="5"/>
      <c r="E286" s="11"/>
      <c r="F286" s="12"/>
      <c r="G286" s="5"/>
      <c r="H286" s="12"/>
      <c r="I286" s="12"/>
      <c r="J286" s="12"/>
      <c r="K286" s="12"/>
      <c r="L286" s="12"/>
      <c r="M286" s="12"/>
      <c r="N286" s="5"/>
      <c r="O286" s="5"/>
      <c r="P286" s="5"/>
      <c r="Q286" s="5"/>
      <c r="R286" s="5"/>
      <c r="S286" s="5"/>
      <c r="T286" s="5"/>
      <c r="U286" s="12"/>
      <c r="V286" s="5"/>
      <c r="W286" s="11"/>
      <c r="X286" s="11"/>
      <c r="Y286" s="13"/>
      <c r="Z286" s="5"/>
      <c r="AA286" s="14"/>
      <c r="AB286" s="5"/>
      <c r="AC286" s="5"/>
      <c r="AD286" s="5"/>
      <c r="AE286" s="5"/>
      <c r="AF286" s="5"/>
      <c r="AG286" s="5"/>
      <c r="AH286" s="5"/>
      <c r="AI286" s="5"/>
      <c r="AJ286" s="5"/>
    </row>
    <row r="287">
      <c r="A287" s="5"/>
      <c r="B287" s="5"/>
      <c r="C287" s="5"/>
      <c r="D287" s="5"/>
      <c r="E287" s="11"/>
      <c r="F287" s="12"/>
      <c r="G287" s="5"/>
      <c r="H287" s="12"/>
      <c r="I287" s="12"/>
      <c r="J287" s="12"/>
      <c r="K287" s="12"/>
      <c r="L287" s="12"/>
      <c r="M287" s="12"/>
      <c r="N287" s="5"/>
      <c r="O287" s="5"/>
      <c r="P287" s="5"/>
      <c r="Q287" s="5"/>
      <c r="R287" s="5"/>
      <c r="S287" s="5"/>
      <c r="T287" s="5"/>
      <c r="U287" s="12"/>
      <c r="V287" s="5"/>
      <c r="W287" s="11"/>
      <c r="X287" s="11"/>
      <c r="Y287" s="13"/>
      <c r="Z287" s="5"/>
      <c r="AA287" s="14"/>
      <c r="AB287" s="5"/>
      <c r="AC287" s="5"/>
      <c r="AD287" s="5"/>
      <c r="AE287" s="5"/>
      <c r="AF287" s="5"/>
      <c r="AG287" s="5"/>
      <c r="AH287" s="5"/>
      <c r="AI287" s="5"/>
      <c r="AJ287" s="5"/>
    </row>
    <row r="288">
      <c r="A288" s="5"/>
      <c r="B288" s="5"/>
      <c r="C288" s="5"/>
      <c r="D288" s="5"/>
      <c r="E288" s="11"/>
      <c r="F288" s="12"/>
      <c r="G288" s="5"/>
      <c r="H288" s="12"/>
      <c r="I288" s="12"/>
      <c r="J288" s="12"/>
      <c r="K288" s="12"/>
      <c r="L288" s="12"/>
      <c r="M288" s="12"/>
      <c r="N288" s="5"/>
      <c r="O288" s="5"/>
      <c r="P288" s="5"/>
      <c r="Q288" s="5"/>
      <c r="R288" s="5"/>
      <c r="S288" s="5"/>
      <c r="T288" s="5"/>
      <c r="U288" s="12"/>
      <c r="V288" s="5"/>
      <c r="W288" s="11"/>
      <c r="X288" s="11"/>
      <c r="Y288" s="13"/>
      <c r="Z288" s="5"/>
      <c r="AA288" s="14"/>
      <c r="AB288" s="5"/>
      <c r="AC288" s="5"/>
      <c r="AD288" s="5"/>
      <c r="AE288" s="5"/>
      <c r="AF288" s="5"/>
      <c r="AG288" s="5"/>
      <c r="AH288" s="5"/>
      <c r="AI288" s="5"/>
      <c r="AJ288" s="5"/>
    </row>
    <row r="289">
      <c r="A289" s="5"/>
      <c r="B289" s="5"/>
      <c r="C289" s="5"/>
      <c r="D289" s="5"/>
      <c r="E289" s="11"/>
      <c r="F289" s="12"/>
      <c r="G289" s="5"/>
      <c r="H289" s="12"/>
      <c r="I289" s="12"/>
      <c r="J289" s="12"/>
      <c r="K289" s="12"/>
      <c r="L289" s="12"/>
      <c r="M289" s="12"/>
      <c r="N289" s="5"/>
      <c r="O289" s="5"/>
      <c r="P289" s="5"/>
      <c r="Q289" s="5"/>
      <c r="R289" s="5"/>
      <c r="S289" s="5"/>
      <c r="T289" s="5"/>
      <c r="U289" s="12"/>
      <c r="V289" s="5"/>
      <c r="W289" s="11"/>
      <c r="X289" s="11"/>
      <c r="Y289" s="13"/>
      <c r="Z289" s="5"/>
      <c r="AA289" s="14"/>
      <c r="AB289" s="5"/>
      <c r="AC289" s="5"/>
      <c r="AD289" s="5"/>
      <c r="AE289" s="5"/>
      <c r="AF289" s="5"/>
      <c r="AG289" s="5"/>
      <c r="AH289" s="5"/>
      <c r="AI289" s="5"/>
      <c r="AJ289" s="5"/>
    </row>
    <row r="290">
      <c r="A290" s="5"/>
      <c r="B290" s="5"/>
      <c r="C290" s="5"/>
      <c r="D290" s="5"/>
      <c r="E290" s="11"/>
      <c r="F290" s="12"/>
      <c r="G290" s="5"/>
      <c r="H290" s="12"/>
      <c r="I290" s="12"/>
      <c r="J290" s="12"/>
      <c r="K290" s="12"/>
      <c r="L290" s="12"/>
      <c r="M290" s="12"/>
      <c r="N290" s="5"/>
      <c r="O290" s="5"/>
      <c r="P290" s="5"/>
      <c r="Q290" s="5"/>
      <c r="R290" s="5"/>
      <c r="S290" s="5"/>
      <c r="T290" s="5"/>
      <c r="U290" s="12"/>
      <c r="V290" s="5"/>
      <c r="W290" s="11"/>
      <c r="X290" s="11"/>
      <c r="Y290" s="13"/>
      <c r="Z290" s="5"/>
      <c r="AA290" s="14"/>
      <c r="AB290" s="5"/>
      <c r="AC290" s="5"/>
      <c r="AD290" s="5"/>
      <c r="AE290" s="5"/>
      <c r="AF290" s="5"/>
      <c r="AG290" s="5"/>
      <c r="AH290" s="5"/>
      <c r="AI290" s="5"/>
      <c r="AJ290" s="5"/>
    </row>
    <row r="291">
      <c r="A291" s="5"/>
      <c r="B291" s="5"/>
      <c r="C291" s="5"/>
      <c r="D291" s="5"/>
      <c r="E291" s="11"/>
      <c r="F291" s="12"/>
      <c r="G291" s="5"/>
      <c r="H291" s="12"/>
      <c r="I291" s="12"/>
      <c r="J291" s="12"/>
      <c r="K291" s="12"/>
      <c r="L291" s="12"/>
      <c r="M291" s="12"/>
      <c r="N291" s="5"/>
      <c r="O291" s="5"/>
      <c r="P291" s="5"/>
      <c r="Q291" s="5"/>
      <c r="R291" s="5"/>
      <c r="S291" s="5"/>
      <c r="T291" s="5"/>
      <c r="U291" s="12"/>
      <c r="V291" s="5"/>
      <c r="W291" s="11"/>
      <c r="X291" s="11"/>
      <c r="Y291" s="13"/>
      <c r="Z291" s="5"/>
      <c r="AA291" s="14"/>
      <c r="AB291" s="5"/>
      <c r="AC291" s="5"/>
      <c r="AD291" s="5"/>
      <c r="AE291" s="5"/>
      <c r="AF291" s="5"/>
      <c r="AG291" s="5"/>
      <c r="AH291" s="5"/>
      <c r="AI291" s="5"/>
      <c r="AJ291" s="5"/>
    </row>
    <row r="292">
      <c r="A292" s="5"/>
      <c r="B292" s="5"/>
      <c r="C292" s="5"/>
      <c r="D292" s="5"/>
      <c r="E292" s="11"/>
      <c r="F292" s="12"/>
      <c r="G292" s="5"/>
      <c r="H292" s="12"/>
      <c r="I292" s="12"/>
      <c r="J292" s="12"/>
      <c r="K292" s="12"/>
      <c r="L292" s="12"/>
      <c r="M292" s="12"/>
      <c r="N292" s="5"/>
      <c r="O292" s="5"/>
      <c r="P292" s="5"/>
      <c r="Q292" s="5"/>
      <c r="R292" s="5"/>
      <c r="S292" s="5"/>
      <c r="T292" s="5"/>
      <c r="U292" s="12"/>
      <c r="V292" s="5"/>
      <c r="W292" s="11"/>
      <c r="X292" s="11"/>
      <c r="Y292" s="13"/>
      <c r="Z292" s="5"/>
      <c r="AA292" s="14"/>
      <c r="AB292" s="5"/>
      <c r="AC292" s="5"/>
      <c r="AD292" s="5"/>
      <c r="AE292" s="5"/>
      <c r="AF292" s="5"/>
      <c r="AG292" s="5"/>
      <c r="AH292" s="5"/>
      <c r="AI292" s="5"/>
      <c r="AJ292" s="5"/>
    </row>
    <row r="293">
      <c r="A293" s="5"/>
      <c r="B293" s="5"/>
      <c r="C293" s="5"/>
      <c r="D293" s="5"/>
      <c r="E293" s="11"/>
      <c r="F293" s="12"/>
      <c r="G293" s="5"/>
      <c r="H293" s="12"/>
      <c r="I293" s="12"/>
      <c r="J293" s="12"/>
      <c r="K293" s="12"/>
      <c r="L293" s="12"/>
      <c r="M293" s="12"/>
      <c r="N293" s="5"/>
      <c r="O293" s="5"/>
      <c r="P293" s="5"/>
      <c r="Q293" s="5"/>
      <c r="R293" s="5"/>
      <c r="S293" s="5"/>
      <c r="T293" s="5"/>
      <c r="U293" s="12"/>
      <c r="V293" s="5"/>
      <c r="W293" s="11"/>
      <c r="X293" s="11"/>
      <c r="Y293" s="13"/>
      <c r="Z293" s="5"/>
      <c r="AA293" s="14"/>
      <c r="AB293" s="5"/>
      <c r="AC293" s="5"/>
      <c r="AD293" s="5"/>
      <c r="AE293" s="5"/>
      <c r="AF293" s="5"/>
      <c r="AG293" s="5"/>
      <c r="AH293" s="5"/>
      <c r="AI293" s="5"/>
      <c r="AJ293" s="5"/>
    </row>
    <row r="294">
      <c r="A294" s="5"/>
      <c r="B294" s="5"/>
      <c r="C294" s="5"/>
      <c r="D294" s="5"/>
      <c r="E294" s="11"/>
      <c r="F294" s="12"/>
      <c r="G294" s="5"/>
      <c r="H294" s="12"/>
      <c r="I294" s="12"/>
      <c r="J294" s="12"/>
      <c r="K294" s="12"/>
      <c r="L294" s="12"/>
      <c r="M294" s="12"/>
      <c r="N294" s="5"/>
      <c r="O294" s="5"/>
      <c r="P294" s="5"/>
      <c r="Q294" s="5"/>
      <c r="R294" s="5"/>
      <c r="S294" s="5"/>
      <c r="T294" s="5"/>
      <c r="U294" s="12"/>
      <c r="V294" s="5"/>
      <c r="W294" s="11"/>
      <c r="X294" s="11"/>
      <c r="Y294" s="13"/>
      <c r="Z294" s="5"/>
      <c r="AA294" s="14"/>
      <c r="AB294" s="5"/>
      <c r="AC294" s="5"/>
      <c r="AD294" s="5"/>
      <c r="AE294" s="5"/>
      <c r="AF294" s="5"/>
      <c r="AG294" s="5"/>
      <c r="AH294" s="5"/>
      <c r="AI294" s="5"/>
      <c r="AJ294" s="5"/>
    </row>
    <row r="295">
      <c r="A295" s="5"/>
      <c r="B295" s="5"/>
      <c r="C295" s="5"/>
      <c r="D295" s="5"/>
      <c r="E295" s="11"/>
      <c r="F295" s="12"/>
      <c r="G295" s="5"/>
      <c r="H295" s="12"/>
      <c r="I295" s="12"/>
      <c r="J295" s="12"/>
      <c r="K295" s="12"/>
      <c r="L295" s="12"/>
      <c r="M295" s="12"/>
      <c r="N295" s="5"/>
      <c r="O295" s="5"/>
      <c r="P295" s="5"/>
      <c r="Q295" s="5"/>
      <c r="R295" s="5"/>
      <c r="S295" s="5"/>
      <c r="T295" s="5"/>
      <c r="U295" s="12"/>
      <c r="V295" s="5"/>
      <c r="W295" s="11"/>
      <c r="X295" s="11"/>
      <c r="Y295" s="13"/>
      <c r="Z295" s="5"/>
      <c r="AA295" s="14"/>
      <c r="AB295" s="5"/>
      <c r="AC295" s="5"/>
      <c r="AD295" s="5"/>
      <c r="AE295" s="5"/>
      <c r="AF295" s="5"/>
      <c r="AG295" s="5"/>
      <c r="AH295" s="5"/>
      <c r="AI295" s="5"/>
      <c r="AJ295" s="5"/>
    </row>
    <row r="296">
      <c r="A296" s="5"/>
      <c r="B296" s="5"/>
      <c r="C296" s="5"/>
      <c r="D296" s="5"/>
      <c r="E296" s="11"/>
      <c r="F296" s="12"/>
      <c r="G296" s="5"/>
      <c r="H296" s="12"/>
      <c r="I296" s="12"/>
      <c r="J296" s="12"/>
      <c r="K296" s="12"/>
      <c r="L296" s="12"/>
      <c r="M296" s="12"/>
      <c r="N296" s="5"/>
      <c r="O296" s="5"/>
      <c r="P296" s="5"/>
      <c r="Q296" s="5"/>
      <c r="R296" s="5"/>
      <c r="S296" s="5"/>
      <c r="T296" s="5"/>
      <c r="U296" s="12"/>
      <c r="V296" s="5"/>
      <c r="W296" s="11"/>
      <c r="X296" s="11"/>
      <c r="Y296" s="13"/>
      <c r="Z296" s="5"/>
      <c r="AA296" s="14"/>
      <c r="AB296" s="5"/>
      <c r="AC296" s="5"/>
      <c r="AD296" s="5"/>
      <c r="AE296" s="5"/>
      <c r="AF296" s="5"/>
      <c r="AG296" s="5"/>
      <c r="AH296" s="5"/>
      <c r="AI296" s="5"/>
      <c r="AJ296" s="5"/>
    </row>
    <row r="297">
      <c r="A297" s="5"/>
      <c r="B297" s="5"/>
      <c r="C297" s="5"/>
      <c r="D297" s="5"/>
      <c r="E297" s="11"/>
      <c r="F297" s="12"/>
      <c r="G297" s="5"/>
      <c r="H297" s="12"/>
      <c r="I297" s="12"/>
      <c r="J297" s="12"/>
      <c r="K297" s="12"/>
      <c r="L297" s="12"/>
      <c r="M297" s="12"/>
      <c r="N297" s="5"/>
      <c r="O297" s="5"/>
      <c r="P297" s="5"/>
      <c r="Q297" s="5"/>
      <c r="R297" s="5"/>
      <c r="S297" s="5"/>
      <c r="T297" s="5"/>
      <c r="U297" s="12"/>
      <c r="V297" s="5"/>
      <c r="W297" s="11"/>
      <c r="X297" s="11"/>
      <c r="Y297" s="13"/>
      <c r="Z297" s="5"/>
      <c r="AA297" s="14"/>
      <c r="AB297" s="5"/>
      <c r="AC297" s="5"/>
      <c r="AD297" s="5"/>
      <c r="AE297" s="5"/>
      <c r="AF297" s="5"/>
      <c r="AG297" s="5"/>
      <c r="AH297" s="5"/>
      <c r="AI297" s="5"/>
      <c r="AJ297" s="5"/>
    </row>
    <row r="298">
      <c r="A298" s="5"/>
      <c r="B298" s="5"/>
      <c r="C298" s="5"/>
      <c r="D298" s="5"/>
      <c r="E298" s="11"/>
      <c r="F298" s="12"/>
      <c r="G298" s="5"/>
      <c r="H298" s="12"/>
      <c r="I298" s="12"/>
      <c r="J298" s="12"/>
      <c r="K298" s="12"/>
      <c r="L298" s="12"/>
      <c r="M298" s="12"/>
      <c r="N298" s="5"/>
      <c r="O298" s="5"/>
      <c r="P298" s="5"/>
      <c r="Q298" s="5"/>
      <c r="R298" s="5"/>
      <c r="S298" s="5"/>
      <c r="T298" s="5"/>
      <c r="U298" s="12"/>
      <c r="V298" s="5"/>
      <c r="W298" s="11"/>
      <c r="X298" s="11"/>
      <c r="Y298" s="13"/>
      <c r="Z298" s="5"/>
      <c r="AA298" s="14"/>
      <c r="AB298" s="5"/>
      <c r="AC298" s="5"/>
      <c r="AD298" s="5"/>
      <c r="AE298" s="5"/>
      <c r="AF298" s="5"/>
      <c r="AG298" s="5"/>
      <c r="AH298" s="5"/>
      <c r="AI298" s="5"/>
      <c r="AJ298" s="5"/>
    </row>
    <row r="299">
      <c r="A299" s="5"/>
      <c r="B299" s="5"/>
      <c r="C299" s="5"/>
      <c r="D299" s="5"/>
      <c r="E299" s="11"/>
      <c r="F299" s="12"/>
      <c r="G299" s="5"/>
      <c r="H299" s="12"/>
      <c r="I299" s="12"/>
      <c r="J299" s="12"/>
      <c r="K299" s="12"/>
      <c r="L299" s="12"/>
      <c r="M299" s="12"/>
      <c r="N299" s="5"/>
      <c r="O299" s="5"/>
      <c r="P299" s="5"/>
      <c r="Q299" s="5"/>
      <c r="R299" s="5"/>
      <c r="S299" s="5"/>
      <c r="T299" s="5"/>
      <c r="U299" s="12"/>
      <c r="V299" s="5"/>
      <c r="W299" s="11"/>
      <c r="X299" s="11"/>
      <c r="Y299" s="13"/>
      <c r="Z299" s="5"/>
      <c r="AA299" s="14"/>
      <c r="AB299" s="5"/>
      <c r="AC299" s="5"/>
      <c r="AD299" s="5"/>
      <c r="AE299" s="5"/>
      <c r="AF299" s="5"/>
      <c r="AG299" s="5"/>
      <c r="AH299" s="5"/>
      <c r="AI299" s="5"/>
      <c r="AJ299" s="5"/>
    </row>
    <row r="300">
      <c r="A300" s="5"/>
      <c r="B300" s="5"/>
      <c r="C300" s="5"/>
      <c r="D300" s="5"/>
      <c r="E300" s="11"/>
      <c r="F300" s="12"/>
      <c r="G300" s="5"/>
      <c r="H300" s="12"/>
      <c r="I300" s="12"/>
      <c r="J300" s="12"/>
      <c r="K300" s="12"/>
      <c r="L300" s="12"/>
      <c r="M300" s="12"/>
      <c r="N300" s="5"/>
      <c r="O300" s="5"/>
      <c r="P300" s="5"/>
      <c r="Q300" s="5"/>
      <c r="R300" s="5"/>
      <c r="S300" s="5"/>
      <c r="T300" s="5"/>
      <c r="U300" s="12"/>
      <c r="V300" s="5"/>
      <c r="W300" s="11"/>
      <c r="X300" s="11"/>
      <c r="Y300" s="13"/>
      <c r="Z300" s="5"/>
      <c r="AA300" s="14"/>
      <c r="AB300" s="5"/>
      <c r="AC300" s="5"/>
      <c r="AD300" s="5"/>
      <c r="AE300" s="5"/>
      <c r="AF300" s="5"/>
      <c r="AG300" s="5"/>
      <c r="AH300" s="5"/>
      <c r="AI300" s="5"/>
      <c r="AJ300" s="5"/>
    </row>
    <row r="301">
      <c r="A301" s="5"/>
      <c r="B301" s="5"/>
      <c r="C301" s="5"/>
      <c r="D301" s="5"/>
      <c r="E301" s="11"/>
      <c r="F301" s="12"/>
      <c r="G301" s="5"/>
      <c r="H301" s="12"/>
      <c r="I301" s="12"/>
      <c r="J301" s="12"/>
      <c r="K301" s="12"/>
      <c r="L301" s="12"/>
      <c r="M301" s="12"/>
      <c r="N301" s="5"/>
      <c r="O301" s="5"/>
      <c r="P301" s="5"/>
      <c r="Q301" s="5"/>
      <c r="R301" s="5"/>
      <c r="S301" s="5"/>
      <c r="T301" s="5"/>
      <c r="U301" s="12"/>
      <c r="V301" s="5"/>
      <c r="W301" s="11"/>
      <c r="X301" s="11"/>
      <c r="Y301" s="13"/>
      <c r="Z301" s="5"/>
      <c r="AA301" s="14"/>
      <c r="AB301" s="5"/>
      <c r="AC301" s="5"/>
      <c r="AD301" s="5"/>
      <c r="AE301" s="5"/>
      <c r="AF301" s="5"/>
      <c r="AG301" s="5"/>
      <c r="AH301" s="5"/>
      <c r="AI301" s="5"/>
      <c r="AJ301" s="5"/>
    </row>
    <row r="302">
      <c r="A302" s="5"/>
      <c r="B302" s="5"/>
      <c r="C302" s="5"/>
      <c r="D302" s="5"/>
      <c r="E302" s="11"/>
      <c r="F302" s="12"/>
      <c r="G302" s="5"/>
      <c r="H302" s="12"/>
      <c r="I302" s="12"/>
      <c r="J302" s="12"/>
      <c r="K302" s="12"/>
      <c r="L302" s="12"/>
      <c r="M302" s="12"/>
      <c r="N302" s="5"/>
      <c r="O302" s="5"/>
      <c r="P302" s="5"/>
      <c r="Q302" s="5"/>
      <c r="R302" s="5"/>
      <c r="S302" s="5"/>
      <c r="T302" s="5"/>
      <c r="U302" s="12"/>
      <c r="V302" s="5"/>
      <c r="W302" s="11"/>
      <c r="X302" s="11"/>
      <c r="Y302" s="13"/>
      <c r="Z302" s="5"/>
      <c r="AA302" s="14"/>
      <c r="AB302" s="5"/>
      <c r="AC302" s="5"/>
      <c r="AD302" s="5"/>
      <c r="AE302" s="5"/>
      <c r="AF302" s="5"/>
      <c r="AG302" s="5"/>
      <c r="AH302" s="5"/>
      <c r="AI302" s="5"/>
      <c r="AJ302" s="5"/>
    </row>
    <row r="303">
      <c r="A303" s="5"/>
      <c r="B303" s="5"/>
      <c r="C303" s="5"/>
      <c r="D303" s="5"/>
      <c r="E303" s="11"/>
      <c r="F303" s="12"/>
      <c r="G303" s="5"/>
      <c r="H303" s="12"/>
      <c r="I303" s="12"/>
      <c r="J303" s="12"/>
      <c r="K303" s="12"/>
      <c r="L303" s="12"/>
      <c r="M303" s="12"/>
      <c r="N303" s="5"/>
      <c r="O303" s="5"/>
      <c r="P303" s="5"/>
      <c r="Q303" s="5"/>
      <c r="R303" s="5"/>
      <c r="S303" s="5"/>
      <c r="T303" s="5"/>
      <c r="U303" s="12"/>
      <c r="V303" s="5"/>
      <c r="W303" s="11"/>
      <c r="X303" s="11"/>
      <c r="Y303" s="13"/>
      <c r="Z303" s="5"/>
      <c r="AA303" s="14"/>
      <c r="AB303" s="5"/>
      <c r="AC303" s="5"/>
      <c r="AD303" s="5"/>
      <c r="AE303" s="5"/>
      <c r="AF303" s="5"/>
      <c r="AG303" s="5"/>
      <c r="AH303" s="5"/>
      <c r="AI303" s="5"/>
      <c r="AJ303" s="5"/>
    </row>
    <row r="304">
      <c r="A304" s="5"/>
      <c r="B304" s="5"/>
      <c r="C304" s="5"/>
      <c r="D304" s="5"/>
      <c r="E304" s="11"/>
      <c r="F304" s="12"/>
      <c r="G304" s="5"/>
      <c r="H304" s="12"/>
      <c r="I304" s="12"/>
      <c r="J304" s="12"/>
      <c r="K304" s="12"/>
      <c r="L304" s="12"/>
      <c r="M304" s="12"/>
      <c r="N304" s="5"/>
      <c r="O304" s="5"/>
      <c r="P304" s="5"/>
      <c r="Q304" s="5"/>
      <c r="R304" s="5"/>
      <c r="S304" s="5"/>
      <c r="T304" s="5"/>
      <c r="U304" s="12"/>
      <c r="V304" s="5"/>
      <c r="W304" s="11"/>
      <c r="X304" s="11"/>
      <c r="Y304" s="13"/>
      <c r="Z304" s="5"/>
      <c r="AA304" s="14"/>
      <c r="AB304" s="5"/>
      <c r="AC304" s="5"/>
      <c r="AD304" s="5"/>
      <c r="AE304" s="5"/>
      <c r="AF304" s="5"/>
      <c r="AG304" s="5"/>
      <c r="AH304" s="5"/>
      <c r="AI304" s="5"/>
      <c r="AJ304" s="5"/>
    </row>
    <row r="305">
      <c r="A305" s="5"/>
      <c r="B305" s="5"/>
      <c r="C305" s="5"/>
      <c r="D305" s="5"/>
      <c r="E305" s="11"/>
      <c r="F305" s="12"/>
      <c r="G305" s="5"/>
      <c r="H305" s="12"/>
      <c r="I305" s="12"/>
      <c r="J305" s="12"/>
      <c r="K305" s="12"/>
      <c r="L305" s="12"/>
      <c r="M305" s="12"/>
      <c r="N305" s="5"/>
      <c r="O305" s="5"/>
      <c r="P305" s="5"/>
      <c r="Q305" s="5"/>
      <c r="R305" s="5"/>
      <c r="S305" s="5"/>
      <c r="T305" s="5"/>
      <c r="U305" s="12"/>
      <c r="V305" s="5"/>
      <c r="W305" s="11"/>
      <c r="X305" s="11"/>
      <c r="Y305" s="13"/>
      <c r="Z305" s="5"/>
      <c r="AA305" s="14"/>
      <c r="AB305" s="5"/>
      <c r="AC305" s="5"/>
      <c r="AD305" s="5"/>
      <c r="AE305" s="5"/>
      <c r="AF305" s="5"/>
      <c r="AG305" s="5"/>
      <c r="AH305" s="5"/>
      <c r="AI305" s="5"/>
      <c r="AJ305" s="5"/>
    </row>
    <row r="306">
      <c r="A306" s="5"/>
      <c r="B306" s="5"/>
      <c r="C306" s="5"/>
      <c r="D306" s="5"/>
      <c r="E306" s="11"/>
      <c r="F306" s="12"/>
      <c r="G306" s="5"/>
      <c r="H306" s="12"/>
      <c r="I306" s="12"/>
      <c r="J306" s="12"/>
      <c r="K306" s="12"/>
      <c r="L306" s="12"/>
      <c r="M306" s="12"/>
      <c r="N306" s="5"/>
      <c r="O306" s="5"/>
      <c r="P306" s="5"/>
      <c r="Q306" s="5"/>
      <c r="R306" s="5"/>
      <c r="S306" s="5"/>
      <c r="T306" s="5"/>
      <c r="U306" s="12"/>
      <c r="V306" s="5"/>
      <c r="W306" s="11"/>
      <c r="X306" s="11"/>
      <c r="Y306" s="13"/>
      <c r="Z306" s="5"/>
      <c r="AA306" s="14"/>
      <c r="AB306" s="5"/>
      <c r="AC306" s="5"/>
      <c r="AD306" s="5"/>
      <c r="AE306" s="5"/>
      <c r="AF306" s="5"/>
      <c r="AG306" s="5"/>
      <c r="AH306" s="5"/>
      <c r="AI306" s="5"/>
      <c r="AJ306" s="5"/>
    </row>
    <row r="307">
      <c r="A307" s="5"/>
      <c r="B307" s="5"/>
      <c r="C307" s="5"/>
      <c r="D307" s="5"/>
      <c r="E307" s="11"/>
      <c r="F307" s="12"/>
      <c r="G307" s="5"/>
      <c r="H307" s="12"/>
      <c r="I307" s="12"/>
      <c r="J307" s="12"/>
      <c r="K307" s="12"/>
      <c r="L307" s="12"/>
      <c r="M307" s="12"/>
      <c r="N307" s="5"/>
      <c r="O307" s="5"/>
      <c r="P307" s="5"/>
      <c r="Q307" s="5"/>
      <c r="R307" s="5"/>
      <c r="S307" s="5"/>
      <c r="T307" s="5"/>
      <c r="U307" s="12"/>
      <c r="V307" s="5"/>
      <c r="W307" s="11"/>
      <c r="X307" s="11"/>
      <c r="Y307" s="13"/>
      <c r="Z307" s="5"/>
      <c r="AA307" s="14"/>
      <c r="AB307" s="5"/>
      <c r="AC307" s="5"/>
      <c r="AD307" s="5"/>
      <c r="AE307" s="5"/>
      <c r="AF307" s="5"/>
      <c r="AG307" s="5"/>
      <c r="AH307" s="5"/>
      <c r="AI307" s="5"/>
      <c r="AJ307" s="5"/>
    </row>
    <row r="308">
      <c r="A308" s="5"/>
      <c r="B308" s="5"/>
      <c r="C308" s="5"/>
      <c r="D308" s="5"/>
      <c r="E308" s="11"/>
      <c r="F308" s="12"/>
      <c r="G308" s="5"/>
      <c r="H308" s="12"/>
      <c r="I308" s="12"/>
      <c r="J308" s="12"/>
      <c r="K308" s="12"/>
      <c r="L308" s="12"/>
      <c r="M308" s="12"/>
      <c r="N308" s="5"/>
      <c r="O308" s="5"/>
      <c r="P308" s="5"/>
      <c r="Q308" s="5"/>
      <c r="R308" s="5"/>
      <c r="S308" s="5"/>
      <c r="T308" s="5"/>
      <c r="U308" s="12"/>
      <c r="V308" s="5"/>
      <c r="W308" s="11"/>
      <c r="X308" s="11"/>
      <c r="Y308" s="13"/>
      <c r="Z308" s="5"/>
      <c r="AA308" s="14"/>
      <c r="AB308" s="5"/>
      <c r="AC308" s="5"/>
      <c r="AD308" s="5"/>
      <c r="AE308" s="5"/>
      <c r="AF308" s="5"/>
      <c r="AG308" s="5"/>
      <c r="AH308" s="5"/>
      <c r="AI308" s="5"/>
      <c r="AJ308" s="5"/>
    </row>
    <row r="309">
      <c r="A309" s="5"/>
      <c r="B309" s="5"/>
      <c r="C309" s="5"/>
      <c r="D309" s="5"/>
      <c r="E309" s="11"/>
      <c r="F309" s="12"/>
      <c r="G309" s="5"/>
      <c r="H309" s="12"/>
      <c r="I309" s="12"/>
      <c r="J309" s="12"/>
      <c r="K309" s="12"/>
      <c r="L309" s="12"/>
      <c r="M309" s="12"/>
      <c r="N309" s="5"/>
      <c r="O309" s="5"/>
      <c r="P309" s="5"/>
      <c r="Q309" s="5"/>
      <c r="R309" s="5"/>
      <c r="S309" s="5"/>
      <c r="T309" s="5"/>
      <c r="U309" s="12"/>
      <c r="V309" s="5"/>
      <c r="W309" s="11"/>
      <c r="X309" s="11"/>
      <c r="Y309" s="13"/>
      <c r="Z309" s="5"/>
      <c r="AA309" s="14"/>
      <c r="AB309" s="5"/>
      <c r="AC309" s="5"/>
      <c r="AD309" s="5"/>
      <c r="AE309" s="5"/>
      <c r="AF309" s="5"/>
      <c r="AG309" s="5"/>
      <c r="AH309" s="5"/>
      <c r="AI309" s="5"/>
      <c r="AJ309" s="5"/>
    </row>
    <row r="310">
      <c r="A310" s="5"/>
      <c r="B310" s="5"/>
      <c r="C310" s="5"/>
      <c r="D310" s="5"/>
      <c r="E310" s="11"/>
      <c r="F310" s="12"/>
      <c r="G310" s="5"/>
      <c r="H310" s="12"/>
      <c r="I310" s="12"/>
      <c r="J310" s="12"/>
      <c r="K310" s="12"/>
      <c r="L310" s="12"/>
      <c r="M310" s="12"/>
      <c r="N310" s="5"/>
      <c r="O310" s="5"/>
      <c r="P310" s="5"/>
      <c r="Q310" s="5"/>
      <c r="R310" s="5"/>
      <c r="S310" s="5"/>
      <c r="T310" s="5"/>
      <c r="U310" s="12"/>
      <c r="V310" s="5"/>
      <c r="W310" s="11"/>
      <c r="X310" s="11"/>
      <c r="Y310" s="13"/>
      <c r="Z310" s="5"/>
      <c r="AA310" s="14"/>
      <c r="AB310" s="5"/>
      <c r="AC310" s="5"/>
      <c r="AD310" s="5"/>
      <c r="AE310" s="5"/>
      <c r="AF310" s="5"/>
      <c r="AG310" s="5"/>
      <c r="AH310" s="5"/>
      <c r="AI310" s="5"/>
      <c r="AJ310" s="5"/>
    </row>
    <row r="311">
      <c r="A311" s="5"/>
      <c r="B311" s="5"/>
      <c r="C311" s="5"/>
      <c r="D311" s="5"/>
      <c r="E311" s="11"/>
      <c r="F311" s="12"/>
      <c r="G311" s="5"/>
      <c r="H311" s="12"/>
      <c r="I311" s="12"/>
      <c r="J311" s="12"/>
      <c r="K311" s="12"/>
      <c r="L311" s="12"/>
      <c r="M311" s="12"/>
      <c r="N311" s="5"/>
      <c r="O311" s="5"/>
      <c r="P311" s="5"/>
      <c r="Q311" s="5"/>
      <c r="R311" s="5"/>
      <c r="S311" s="5"/>
      <c r="T311" s="5"/>
      <c r="U311" s="12"/>
      <c r="V311" s="5"/>
      <c r="W311" s="11"/>
      <c r="X311" s="11"/>
      <c r="Y311" s="13"/>
      <c r="Z311" s="5"/>
      <c r="AA311" s="14"/>
      <c r="AB311" s="5"/>
      <c r="AC311" s="5"/>
      <c r="AD311" s="5"/>
      <c r="AE311" s="5"/>
      <c r="AF311" s="5"/>
      <c r="AG311" s="5"/>
      <c r="AH311" s="5"/>
      <c r="AI311" s="5"/>
      <c r="AJ311" s="5"/>
    </row>
    <row r="312">
      <c r="A312" s="5"/>
      <c r="B312" s="5"/>
      <c r="C312" s="5"/>
      <c r="D312" s="5"/>
      <c r="E312" s="11"/>
      <c r="F312" s="12"/>
      <c r="G312" s="5"/>
      <c r="H312" s="12"/>
      <c r="I312" s="12"/>
      <c r="J312" s="12"/>
      <c r="K312" s="12"/>
      <c r="L312" s="12"/>
      <c r="M312" s="12"/>
      <c r="N312" s="5"/>
      <c r="O312" s="5"/>
      <c r="P312" s="5"/>
      <c r="Q312" s="5"/>
      <c r="R312" s="5"/>
      <c r="S312" s="5"/>
      <c r="T312" s="5"/>
      <c r="U312" s="12"/>
      <c r="V312" s="5"/>
      <c r="W312" s="11"/>
      <c r="X312" s="11"/>
      <c r="Y312" s="13"/>
      <c r="Z312" s="5"/>
      <c r="AA312" s="14"/>
      <c r="AB312" s="5"/>
      <c r="AC312" s="5"/>
      <c r="AD312" s="5"/>
      <c r="AE312" s="5"/>
      <c r="AF312" s="5"/>
      <c r="AG312" s="5"/>
      <c r="AH312" s="5"/>
      <c r="AI312" s="5"/>
      <c r="AJ312" s="5"/>
    </row>
    <row r="313">
      <c r="A313" s="5"/>
      <c r="B313" s="5"/>
      <c r="C313" s="5"/>
      <c r="D313" s="5"/>
      <c r="E313" s="11"/>
      <c r="F313" s="12"/>
      <c r="G313" s="5"/>
      <c r="H313" s="12"/>
      <c r="I313" s="12"/>
      <c r="J313" s="12"/>
      <c r="K313" s="12"/>
      <c r="L313" s="12"/>
      <c r="M313" s="12"/>
      <c r="N313" s="5"/>
      <c r="O313" s="5"/>
      <c r="P313" s="5"/>
      <c r="Q313" s="5"/>
      <c r="R313" s="5"/>
      <c r="S313" s="5"/>
      <c r="T313" s="5"/>
      <c r="U313" s="12"/>
      <c r="V313" s="5"/>
      <c r="W313" s="11"/>
      <c r="X313" s="11"/>
      <c r="Y313" s="13"/>
      <c r="Z313" s="5"/>
      <c r="AA313" s="14"/>
      <c r="AB313" s="5"/>
      <c r="AC313" s="5"/>
      <c r="AD313" s="5"/>
      <c r="AE313" s="5"/>
      <c r="AF313" s="5"/>
      <c r="AG313" s="5"/>
      <c r="AH313" s="5"/>
      <c r="AI313" s="5"/>
      <c r="AJ313" s="5"/>
    </row>
    <row r="314">
      <c r="A314" s="5"/>
      <c r="B314" s="5"/>
      <c r="C314" s="5"/>
      <c r="D314" s="5"/>
      <c r="E314" s="11"/>
      <c r="F314" s="12"/>
      <c r="G314" s="5"/>
      <c r="H314" s="12"/>
      <c r="I314" s="12"/>
      <c r="J314" s="12"/>
      <c r="K314" s="12"/>
      <c r="L314" s="12"/>
      <c r="M314" s="12"/>
      <c r="N314" s="5"/>
      <c r="O314" s="5"/>
      <c r="P314" s="5"/>
      <c r="Q314" s="5"/>
      <c r="R314" s="5"/>
      <c r="S314" s="5"/>
      <c r="T314" s="5"/>
      <c r="U314" s="12"/>
      <c r="V314" s="5"/>
      <c r="W314" s="11"/>
      <c r="X314" s="11"/>
      <c r="Y314" s="13"/>
      <c r="Z314" s="5"/>
      <c r="AA314" s="14"/>
      <c r="AB314" s="5"/>
      <c r="AC314" s="5"/>
      <c r="AD314" s="5"/>
      <c r="AE314" s="5"/>
      <c r="AF314" s="5"/>
      <c r="AG314" s="5"/>
      <c r="AH314" s="5"/>
      <c r="AI314" s="5"/>
      <c r="AJ314" s="5"/>
    </row>
    <row r="315">
      <c r="A315" s="5"/>
      <c r="B315" s="5"/>
      <c r="C315" s="5"/>
      <c r="D315" s="5"/>
      <c r="E315" s="11"/>
      <c r="F315" s="12"/>
      <c r="G315" s="5"/>
      <c r="H315" s="12"/>
      <c r="I315" s="12"/>
      <c r="J315" s="12"/>
      <c r="K315" s="12"/>
      <c r="L315" s="12"/>
      <c r="M315" s="12"/>
      <c r="N315" s="5"/>
      <c r="O315" s="5"/>
      <c r="P315" s="5"/>
      <c r="Q315" s="5"/>
      <c r="R315" s="5"/>
      <c r="S315" s="5"/>
      <c r="T315" s="5"/>
      <c r="U315" s="12"/>
      <c r="V315" s="5"/>
      <c r="W315" s="11"/>
      <c r="X315" s="11"/>
      <c r="Y315" s="13"/>
      <c r="Z315" s="5"/>
      <c r="AA315" s="14"/>
      <c r="AB315" s="5"/>
      <c r="AC315" s="5"/>
      <c r="AD315" s="5"/>
      <c r="AE315" s="5"/>
      <c r="AF315" s="5"/>
      <c r="AG315" s="5"/>
      <c r="AH315" s="5"/>
      <c r="AI315" s="5"/>
      <c r="AJ315" s="5"/>
    </row>
    <row r="316">
      <c r="A316" s="5"/>
      <c r="B316" s="5"/>
      <c r="C316" s="5"/>
      <c r="D316" s="5"/>
      <c r="E316" s="11"/>
      <c r="F316" s="12"/>
      <c r="G316" s="5"/>
      <c r="H316" s="12"/>
      <c r="I316" s="12"/>
      <c r="J316" s="12"/>
      <c r="K316" s="12"/>
      <c r="L316" s="12"/>
      <c r="M316" s="12"/>
      <c r="N316" s="5"/>
      <c r="O316" s="5"/>
      <c r="P316" s="5"/>
      <c r="Q316" s="5"/>
      <c r="R316" s="5"/>
      <c r="S316" s="5"/>
      <c r="T316" s="5"/>
      <c r="U316" s="12"/>
      <c r="V316" s="5"/>
      <c r="W316" s="11"/>
      <c r="X316" s="11"/>
      <c r="Y316" s="13"/>
      <c r="Z316" s="5"/>
      <c r="AA316" s="14"/>
      <c r="AB316" s="5"/>
      <c r="AC316" s="5"/>
      <c r="AD316" s="5"/>
      <c r="AE316" s="5"/>
      <c r="AF316" s="5"/>
      <c r="AG316" s="5"/>
      <c r="AH316" s="5"/>
      <c r="AI316" s="5"/>
      <c r="AJ316" s="5"/>
    </row>
    <row r="317">
      <c r="A317" s="5"/>
      <c r="B317" s="5"/>
      <c r="C317" s="5"/>
      <c r="D317" s="5"/>
      <c r="E317" s="11"/>
      <c r="F317" s="12"/>
      <c r="G317" s="5"/>
      <c r="H317" s="12"/>
      <c r="I317" s="12"/>
      <c r="J317" s="12"/>
      <c r="K317" s="12"/>
      <c r="L317" s="12"/>
      <c r="M317" s="12"/>
      <c r="N317" s="5"/>
      <c r="O317" s="5"/>
      <c r="P317" s="5"/>
      <c r="Q317" s="5"/>
      <c r="R317" s="5"/>
      <c r="S317" s="5"/>
      <c r="T317" s="5"/>
      <c r="U317" s="12"/>
      <c r="V317" s="5"/>
      <c r="W317" s="11"/>
      <c r="X317" s="11"/>
      <c r="Y317" s="13"/>
      <c r="Z317" s="5"/>
      <c r="AA317" s="14"/>
      <c r="AB317" s="5"/>
      <c r="AC317" s="5"/>
      <c r="AD317" s="5"/>
      <c r="AE317" s="5"/>
      <c r="AF317" s="5"/>
      <c r="AG317" s="5"/>
      <c r="AH317" s="5"/>
      <c r="AI317" s="5"/>
      <c r="AJ317" s="5"/>
    </row>
    <row r="318">
      <c r="A318" s="5"/>
      <c r="B318" s="5"/>
      <c r="C318" s="5"/>
      <c r="D318" s="5"/>
      <c r="E318" s="11"/>
      <c r="F318" s="12"/>
      <c r="G318" s="5"/>
      <c r="H318" s="12"/>
      <c r="I318" s="12"/>
      <c r="J318" s="12"/>
      <c r="K318" s="12"/>
      <c r="L318" s="12"/>
      <c r="M318" s="12"/>
      <c r="N318" s="5"/>
      <c r="O318" s="5"/>
      <c r="P318" s="5"/>
      <c r="Q318" s="5"/>
      <c r="R318" s="5"/>
      <c r="S318" s="5"/>
      <c r="T318" s="5"/>
      <c r="U318" s="12"/>
      <c r="V318" s="5"/>
      <c r="W318" s="11"/>
      <c r="X318" s="11"/>
      <c r="Y318" s="13"/>
      <c r="Z318" s="5"/>
      <c r="AA318" s="14"/>
      <c r="AB318" s="5"/>
      <c r="AC318" s="5"/>
      <c r="AD318" s="5"/>
      <c r="AE318" s="5"/>
      <c r="AF318" s="5"/>
      <c r="AG318" s="5"/>
      <c r="AH318" s="5"/>
      <c r="AI318" s="5"/>
      <c r="AJ318" s="5"/>
    </row>
    <row r="319">
      <c r="A319" s="5"/>
      <c r="B319" s="5"/>
      <c r="C319" s="5"/>
      <c r="D319" s="5"/>
      <c r="E319" s="11"/>
      <c r="F319" s="12"/>
      <c r="G319" s="5"/>
      <c r="H319" s="12"/>
      <c r="I319" s="12"/>
      <c r="J319" s="12"/>
      <c r="K319" s="12"/>
      <c r="L319" s="12"/>
      <c r="M319" s="12"/>
      <c r="N319" s="5"/>
      <c r="O319" s="5"/>
      <c r="P319" s="5"/>
      <c r="Q319" s="5"/>
      <c r="R319" s="5"/>
      <c r="S319" s="5"/>
      <c r="T319" s="5"/>
      <c r="U319" s="12"/>
      <c r="V319" s="5"/>
      <c r="W319" s="11"/>
      <c r="X319" s="11"/>
      <c r="Y319" s="13"/>
      <c r="Z319" s="5"/>
      <c r="AA319" s="14"/>
      <c r="AB319" s="5"/>
      <c r="AC319" s="5"/>
      <c r="AD319" s="5"/>
      <c r="AE319" s="5"/>
      <c r="AF319" s="5"/>
      <c r="AG319" s="5"/>
      <c r="AH319" s="5"/>
      <c r="AI319" s="5"/>
      <c r="AJ319" s="5"/>
    </row>
    <row r="320">
      <c r="A320" s="5"/>
      <c r="B320" s="5"/>
      <c r="C320" s="5"/>
      <c r="D320" s="5"/>
      <c r="E320" s="11"/>
      <c r="F320" s="12"/>
      <c r="G320" s="5"/>
      <c r="H320" s="12"/>
      <c r="I320" s="12"/>
      <c r="J320" s="12"/>
      <c r="K320" s="12"/>
      <c r="L320" s="12"/>
      <c r="M320" s="12"/>
      <c r="N320" s="5"/>
      <c r="O320" s="5"/>
      <c r="P320" s="5"/>
      <c r="Q320" s="5"/>
      <c r="R320" s="5"/>
      <c r="S320" s="5"/>
      <c r="T320" s="5"/>
      <c r="U320" s="12"/>
      <c r="V320" s="5"/>
      <c r="W320" s="11"/>
      <c r="X320" s="11"/>
      <c r="Y320" s="13"/>
      <c r="Z320" s="5"/>
      <c r="AA320" s="14"/>
      <c r="AB320" s="5"/>
      <c r="AC320" s="5"/>
      <c r="AD320" s="5"/>
      <c r="AE320" s="5"/>
      <c r="AF320" s="5"/>
      <c r="AG320" s="5"/>
      <c r="AH320" s="5"/>
      <c r="AI320" s="5"/>
      <c r="AJ320" s="5"/>
    </row>
    <row r="321">
      <c r="A321" s="5"/>
      <c r="B321" s="5"/>
      <c r="C321" s="5"/>
      <c r="D321" s="5"/>
      <c r="E321" s="11"/>
      <c r="F321" s="12"/>
      <c r="G321" s="5"/>
      <c r="H321" s="12"/>
      <c r="I321" s="12"/>
      <c r="J321" s="12"/>
      <c r="K321" s="12"/>
      <c r="L321" s="12"/>
      <c r="M321" s="12"/>
      <c r="N321" s="5"/>
      <c r="O321" s="5"/>
      <c r="P321" s="5"/>
      <c r="Q321" s="5"/>
      <c r="R321" s="5"/>
      <c r="S321" s="5"/>
      <c r="T321" s="5"/>
      <c r="U321" s="12"/>
      <c r="V321" s="5"/>
      <c r="W321" s="11"/>
      <c r="X321" s="11"/>
      <c r="Y321" s="13"/>
      <c r="Z321" s="5"/>
      <c r="AA321" s="14"/>
      <c r="AB321" s="5"/>
      <c r="AC321" s="5"/>
      <c r="AD321" s="5"/>
      <c r="AE321" s="5"/>
      <c r="AF321" s="5"/>
      <c r="AG321" s="5"/>
      <c r="AH321" s="5"/>
      <c r="AI321" s="5"/>
      <c r="AJ321" s="5"/>
    </row>
    <row r="322">
      <c r="A322" s="5"/>
      <c r="B322" s="5"/>
      <c r="C322" s="5"/>
      <c r="D322" s="5"/>
      <c r="E322" s="11"/>
      <c r="F322" s="12"/>
      <c r="G322" s="5"/>
      <c r="H322" s="12"/>
      <c r="I322" s="12"/>
      <c r="J322" s="12"/>
      <c r="K322" s="12"/>
      <c r="L322" s="12"/>
      <c r="M322" s="12"/>
      <c r="N322" s="5"/>
      <c r="O322" s="5"/>
      <c r="P322" s="5"/>
      <c r="Q322" s="5"/>
      <c r="R322" s="5"/>
      <c r="S322" s="5"/>
      <c r="T322" s="5"/>
      <c r="U322" s="12"/>
      <c r="V322" s="5"/>
      <c r="W322" s="11"/>
      <c r="X322" s="11"/>
      <c r="Y322" s="13"/>
      <c r="Z322" s="5"/>
      <c r="AA322" s="14"/>
      <c r="AB322" s="5"/>
      <c r="AC322" s="5"/>
      <c r="AD322" s="5"/>
      <c r="AE322" s="5"/>
      <c r="AF322" s="5"/>
      <c r="AG322" s="5"/>
      <c r="AH322" s="5"/>
      <c r="AI322" s="5"/>
      <c r="AJ322" s="5"/>
    </row>
    <row r="323">
      <c r="A323" s="5"/>
      <c r="B323" s="5"/>
      <c r="C323" s="5"/>
      <c r="D323" s="5"/>
      <c r="E323" s="11"/>
      <c r="F323" s="12"/>
      <c r="G323" s="5"/>
      <c r="H323" s="12"/>
      <c r="I323" s="12"/>
      <c r="J323" s="12"/>
      <c r="K323" s="12"/>
      <c r="L323" s="12"/>
      <c r="M323" s="12"/>
      <c r="N323" s="5"/>
      <c r="O323" s="5"/>
      <c r="P323" s="5"/>
      <c r="Q323" s="5"/>
      <c r="R323" s="5"/>
      <c r="S323" s="5"/>
      <c r="T323" s="5"/>
      <c r="U323" s="12"/>
      <c r="V323" s="5"/>
      <c r="W323" s="11"/>
      <c r="X323" s="11"/>
      <c r="Y323" s="13"/>
      <c r="Z323" s="5"/>
      <c r="AA323" s="14"/>
      <c r="AB323" s="5"/>
      <c r="AC323" s="5"/>
      <c r="AD323" s="5"/>
      <c r="AE323" s="5"/>
      <c r="AF323" s="5"/>
      <c r="AG323" s="5"/>
      <c r="AH323" s="5"/>
      <c r="AI323" s="5"/>
      <c r="AJ323" s="5"/>
    </row>
    <row r="324">
      <c r="A324" s="5"/>
      <c r="B324" s="5"/>
      <c r="C324" s="5"/>
      <c r="D324" s="5"/>
      <c r="E324" s="11"/>
      <c r="F324" s="12"/>
      <c r="G324" s="5"/>
      <c r="H324" s="12"/>
      <c r="I324" s="12"/>
      <c r="J324" s="12"/>
      <c r="K324" s="12"/>
      <c r="L324" s="12"/>
      <c r="M324" s="12"/>
      <c r="N324" s="5"/>
      <c r="O324" s="5"/>
      <c r="P324" s="5"/>
      <c r="Q324" s="5"/>
      <c r="R324" s="5"/>
      <c r="S324" s="5"/>
      <c r="T324" s="5"/>
      <c r="U324" s="12"/>
      <c r="V324" s="5"/>
      <c r="W324" s="11"/>
      <c r="X324" s="11"/>
      <c r="Y324" s="13"/>
      <c r="Z324" s="5"/>
      <c r="AA324" s="14"/>
      <c r="AB324" s="5"/>
      <c r="AC324" s="5"/>
      <c r="AD324" s="5"/>
      <c r="AE324" s="5"/>
      <c r="AF324" s="5"/>
      <c r="AG324" s="5"/>
      <c r="AH324" s="5"/>
      <c r="AI324" s="5"/>
      <c r="AJ324" s="5"/>
    </row>
    <row r="325">
      <c r="A325" s="5"/>
      <c r="B325" s="5"/>
      <c r="C325" s="5"/>
      <c r="D325" s="5"/>
      <c r="E325" s="11"/>
      <c r="F325" s="12"/>
      <c r="G325" s="5"/>
      <c r="H325" s="12"/>
      <c r="I325" s="12"/>
      <c r="J325" s="12"/>
      <c r="K325" s="12"/>
      <c r="L325" s="12"/>
      <c r="M325" s="12"/>
      <c r="N325" s="5"/>
      <c r="O325" s="5"/>
      <c r="P325" s="5"/>
      <c r="Q325" s="5"/>
      <c r="R325" s="5"/>
      <c r="S325" s="5"/>
      <c r="T325" s="5"/>
      <c r="U325" s="12"/>
      <c r="V325" s="5"/>
      <c r="W325" s="11"/>
      <c r="X325" s="11"/>
      <c r="Y325" s="13"/>
      <c r="Z325" s="5"/>
      <c r="AA325" s="14"/>
      <c r="AB325" s="5"/>
      <c r="AC325" s="5"/>
      <c r="AD325" s="5"/>
      <c r="AE325" s="5"/>
      <c r="AF325" s="5"/>
      <c r="AG325" s="5"/>
      <c r="AH325" s="5"/>
      <c r="AI325" s="5"/>
      <c r="AJ325" s="5"/>
    </row>
    <row r="326">
      <c r="A326" s="5"/>
      <c r="B326" s="5"/>
      <c r="C326" s="5"/>
      <c r="D326" s="5"/>
      <c r="E326" s="11"/>
      <c r="F326" s="12"/>
      <c r="G326" s="5"/>
      <c r="H326" s="12"/>
      <c r="I326" s="12"/>
      <c r="J326" s="12"/>
      <c r="K326" s="12"/>
      <c r="L326" s="12"/>
      <c r="M326" s="12"/>
      <c r="N326" s="5"/>
      <c r="O326" s="5"/>
      <c r="P326" s="5"/>
      <c r="Q326" s="5"/>
      <c r="R326" s="5"/>
      <c r="S326" s="5"/>
      <c r="T326" s="5"/>
      <c r="U326" s="12"/>
      <c r="V326" s="5"/>
      <c r="W326" s="11"/>
      <c r="X326" s="11"/>
      <c r="Y326" s="13"/>
      <c r="Z326" s="5"/>
      <c r="AA326" s="14"/>
      <c r="AB326" s="5"/>
      <c r="AC326" s="5"/>
      <c r="AD326" s="5"/>
      <c r="AE326" s="5"/>
      <c r="AF326" s="5"/>
      <c r="AG326" s="5"/>
      <c r="AH326" s="5"/>
      <c r="AI326" s="5"/>
      <c r="AJ326" s="5"/>
    </row>
    <row r="327">
      <c r="A327" s="5"/>
      <c r="B327" s="5"/>
      <c r="C327" s="5"/>
      <c r="D327" s="5"/>
      <c r="E327" s="11"/>
      <c r="F327" s="12"/>
      <c r="G327" s="5"/>
      <c r="H327" s="12"/>
      <c r="I327" s="12"/>
      <c r="J327" s="12"/>
      <c r="K327" s="12"/>
      <c r="L327" s="12"/>
      <c r="M327" s="12"/>
      <c r="N327" s="5"/>
      <c r="O327" s="5"/>
      <c r="P327" s="5"/>
      <c r="Q327" s="5"/>
      <c r="R327" s="5"/>
      <c r="S327" s="5"/>
      <c r="T327" s="5"/>
      <c r="U327" s="12"/>
      <c r="V327" s="5"/>
      <c r="W327" s="11"/>
      <c r="X327" s="11"/>
      <c r="Y327" s="13"/>
      <c r="Z327" s="5"/>
      <c r="AA327" s="14"/>
      <c r="AB327" s="5"/>
      <c r="AC327" s="5"/>
      <c r="AD327" s="5"/>
      <c r="AE327" s="5"/>
      <c r="AF327" s="5"/>
      <c r="AG327" s="5"/>
      <c r="AH327" s="5"/>
      <c r="AI327" s="5"/>
      <c r="AJ327" s="5"/>
    </row>
    <row r="328">
      <c r="A328" s="5"/>
      <c r="B328" s="5"/>
      <c r="C328" s="5"/>
      <c r="D328" s="5"/>
      <c r="E328" s="11"/>
      <c r="F328" s="12"/>
      <c r="G328" s="5"/>
      <c r="H328" s="12"/>
      <c r="I328" s="12"/>
      <c r="J328" s="12"/>
      <c r="K328" s="12"/>
      <c r="L328" s="12"/>
      <c r="M328" s="12"/>
      <c r="N328" s="5"/>
      <c r="O328" s="5"/>
      <c r="P328" s="5"/>
      <c r="Q328" s="5"/>
      <c r="R328" s="5"/>
      <c r="S328" s="5"/>
      <c r="T328" s="5"/>
      <c r="U328" s="12"/>
      <c r="V328" s="5"/>
      <c r="W328" s="11"/>
      <c r="X328" s="11"/>
      <c r="Y328" s="13"/>
      <c r="Z328" s="5"/>
      <c r="AA328" s="14"/>
      <c r="AB328" s="5"/>
      <c r="AC328" s="5"/>
      <c r="AD328" s="5"/>
      <c r="AE328" s="5"/>
      <c r="AF328" s="5"/>
      <c r="AG328" s="5"/>
      <c r="AH328" s="5"/>
      <c r="AI328" s="5"/>
      <c r="AJ328" s="5"/>
    </row>
    <row r="329">
      <c r="A329" s="5"/>
      <c r="B329" s="5"/>
      <c r="C329" s="5"/>
      <c r="D329" s="5"/>
      <c r="E329" s="11"/>
      <c r="F329" s="12"/>
      <c r="G329" s="5"/>
      <c r="H329" s="12"/>
      <c r="I329" s="12"/>
      <c r="J329" s="12"/>
      <c r="K329" s="12"/>
      <c r="L329" s="12"/>
      <c r="M329" s="12"/>
      <c r="N329" s="5"/>
      <c r="O329" s="5"/>
      <c r="P329" s="5"/>
      <c r="Q329" s="5"/>
      <c r="R329" s="5"/>
      <c r="S329" s="5"/>
      <c r="T329" s="5"/>
      <c r="U329" s="12"/>
      <c r="V329" s="5"/>
      <c r="W329" s="11"/>
      <c r="X329" s="11"/>
      <c r="Y329" s="13"/>
      <c r="Z329" s="5"/>
      <c r="AA329" s="14"/>
      <c r="AB329" s="5"/>
      <c r="AC329" s="5"/>
      <c r="AD329" s="5"/>
      <c r="AE329" s="5"/>
      <c r="AF329" s="5"/>
      <c r="AG329" s="5"/>
      <c r="AH329" s="5"/>
      <c r="AI329" s="5"/>
      <c r="AJ329" s="5"/>
    </row>
    <row r="330">
      <c r="A330" s="5"/>
      <c r="B330" s="5"/>
      <c r="C330" s="5"/>
      <c r="D330" s="5"/>
      <c r="E330" s="11"/>
      <c r="F330" s="12"/>
      <c r="G330" s="5"/>
      <c r="H330" s="12"/>
      <c r="I330" s="12"/>
      <c r="J330" s="12"/>
      <c r="K330" s="12"/>
      <c r="L330" s="12"/>
      <c r="M330" s="12"/>
      <c r="N330" s="5"/>
      <c r="O330" s="5"/>
      <c r="P330" s="5"/>
      <c r="Q330" s="5"/>
      <c r="R330" s="5"/>
      <c r="S330" s="5"/>
      <c r="T330" s="5"/>
      <c r="U330" s="12"/>
      <c r="V330" s="5"/>
      <c r="W330" s="11"/>
      <c r="X330" s="11"/>
      <c r="Y330" s="13"/>
      <c r="Z330" s="5"/>
      <c r="AA330" s="14"/>
      <c r="AB330" s="5"/>
      <c r="AC330" s="5"/>
      <c r="AD330" s="5"/>
      <c r="AE330" s="5"/>
      <c r="AF330" s="5"/>
      <c r="AG330" s="5"/>
      <c r="AH330" s="5"/>
      <c r="AI330" s="5"/>
      <c r="AJ330" s="5"/>
    </row>
    <row r="331">
      <c r="A331" s="5"/>
      <c r="B331" s="5"/>
      <c r="C331" s="5"/>
      <c r="D331" s="5"/>
      <c r="E331" s="11"/>
      <c r="F331" s="12"/>
      <c r="G331" s="5"/>
      <c r="H331" s="12"/>
      <c r="I331" s="12"/>
      <c r="J331" s="12"/>
      <c r="K331" s="12"/>
      <c r="L331" s="12"/>
      <c r="M331" s="12"/>
      <c r="N331" s="5"/>
      <c r="O331" s="5"/>
      <c r="P331" s="5"/>
      <c r="Q331" s="5"/>
      <c r="R331" s="5"/>
      <c r="S331" s="5"/>
      <c r="T331" s="5"/>
      <c r="U331" s="12"/>
      <c r="V331" s="5"/>
      <c r="W331" s="11"/>
      <c r="X331" s="11"/>
      <c r="Y331" s="13"/>
      <c r="Z331" s="5"/>
      <c r="AA331" s="14"/>
      <c r="AB331" s="5"/>
      <c r="AC331" s="5"/>
      <c r="AD331" s="5"/>
      <c r="AE331" s="5"/>
      <c r="AF331" s="5"/>
      <c r="AG331" s="5"/>
      <c r="AH331" s="5"/>
      <c r="AI331" s="5"/>
      <c r="AJ331" s="5"/>
    </row>
    <row r="332">
      <c r="A332" s="5"/>
      <c r="B332" s="5"/>
      <c r="C332" s="5"/>
      <c r="D332" s="5"/>
      <c r="E332" s="11"/>
      <c r="F332" s="12"/>
      <c r="G332" s="5"/>
      <c r="H332" s="12"/>
      <c r="I332" s="12"/>
      <c r="J332" s="12"/>
      <c r="K332" s="12"/>
      <c r="L332" s="12"/>
      <c r="M332" s="12"/>
      <c r="N332" s="5"/>
      <c r="O332" s="5"/>
      <c r="P332" s="5"/>
      <c r="Q332" s="5"/>
      <c r="R332" s="5"/>
      <c r="S332" s="5"/>
      <c r="T332" s="5"/>
      <c r="U332" s="12"/>
      <c r="V332" s="5"/>
      <c r="W332" s="11"/>
      <c r="X332" s="11"/>
      <c r="Y332" s="13"/>
      <c r="Z332" s="5"/>
      <c r="AA332" s="14"/>
      <c r="AB332" s="5"/>
      <c r="AC332" s="5"/>
      <c r="AD332" s="5"/>
      <c r="AE332" s="5"/>
      <c r="AF332" s="5"/>
      <c r="AG332" s="5"/>
      <c r="AH332" s="5"/>
      <c r="AI332" s="5"/>
      <c r="AJ332" s="5"/>
    </row>
    <row r="333">
      <c r="A333" s="5"/>
      <c r="B333" s="5"/>
      <c r="C333" s="5"/>
      <c r="D333" s="5"/>
      <c r="E333" s="11"/>
      <c r="F333" s="12"/>
      <c r="G333" s="5"/>
      <c r="H333" s="12"/>
      <c r="I333" s="12"/>
      <c r="J333" s="12"/>
      <c r="K333" s="12"/>
      <c r="L333" s="12"/>
      <c r="M333" s="12"/>
      <c r="N333" s="5"/>
      <c r="O333" s="5"/>
      <c r="P333" s="5"/>
      <c r="Q333" s="5"/>
      <c r="R333" s="5"/>
      <c r="S333" s="5"/>
      <c r="T333" s="5"/>
      <c r="U333" s="12"/>
      <c r="V333" s="5"/>
      <c r="W333" s="11"/>
      <c r="X333" s="11"/>
      <c r="Y333" s="13"/>
      <c r="Z333" s="5"/>
      <c r="AA333" s="14"/>
      <c r="AB333" s="5"/>
      <c r="AC333" s="5"/>
      <c r="AD333" s="5"/>
      <c r="AE333" s="5"/>
      <c r="AF333" s="5"/>
      <c r="AG333" s="5"/>
      <c r="AH333" s="5"/>
      <c r="AI333" s="5"/>
      <c r="AJ333" s="5"/>
    </row>
    <row r="334">
      <c r="A334" s="5"/>
      <c r="B334" s="5"/>
      <c r="C334" s="5"/>
      <c r="D334" s="5"/>
      <c r="E334" s="11"/>
      <c r="F334" s="12"/>
      <c r="G334" s="5"/>
      <c r="H334" s="12"/>
      <c r="I334" s="12"/>
      <c r="J334" s="12"/>
      <c r="K334" s="12"/>
      <c r="L334" s="12"/>
      <c r="M334" s="12"/>
      <c r="N334" s="5"/>
      <c r="O334" s="5"/>
      <c r="P334" s="5"/>
      <c r="Q334" s="5"/>
      <c r="R334" s="5"/>
      <c r="S334" s="5"/>
      <c r="T334" s="5"/>
      <c r="U334" s="12"/>
      <c r="V334" s="5"/>
      <c r="W334" s="11"/>
      <c r="X334" s="11"/>
      <c r="Y334" s="13"/>
      <c r="Z334" s="5"/>
      <c r="AA334" s="14"/>
      <c r="AB334" s="5"/>
      <c r="AC334" s="5"/>
      <c r="AD334" s="5"/>
      <c r="AE334" s="5"/>
      <c r="AF334" s="5"/>
      <c r="AG334" s="5"/>
      <c r="AH334" s="5"/>
      <c r="AI334" s="5"/>
      <c r="AJ334" s="5"/>
    </row>
    <row r="335">
      <c r="A335" s="5"/>
      <c r="B335" s="5"/>
      <c r="C335" s="5"/>
      <c r="D335" s="5"/>
      <c r="E335" s="11"/>
      <c r="F335" s="12"/>
      <c r="G335" s="5"/>
      <c r="H335" s="12"/>
      <c r="I335" s="12"/>
      <c r="J335" s="12"/>
      <c r="K335" s="12"/>
      <c r="L335" s="12"/>
      <c r="M335" s="12"/>
      <c r="N335" s="5"/>
      <c r="O335" s="5"/>
      <c r="P335" s="5"/>
      <c r="Q335" s="5"/>
      <c r="R335" s="5"/>
      <c r="S335" s="5"/>
      <c r="T335" s="5"/>
      <c r="U335" s="12"/>
      <c r="V335" s="5"/>
      <c r="W335" s="11"/>
      <c r="X335" s="11"/>
      <c r="Y335" s="13"/>
      <c r="Z335" s="5"/>
      <c r="AA335" s="14"/>
      <c r="AB335" s="5"/>
      <c r="AC335" s="5"/>
      <c r="AD335" s="5"/>
      <c r="AE335" s="5"/>
      <c r="AF335" s="5"/>
      <c r="AG335" s="5"/>
      <c r="AH335" s="5"/>
      <c r="AI335" s="5"/>
      <c r="AJ335" s="5"/>
    </row>
    <row r="336">
      <c r="A336" s="5"/>
      <c r="B336" s="5"/>
      <c r="C336" s="5"/>
      <c r="D336" s="5"/>
      <c r="E336" s="11"/>
      <c r="F336" s="12"/>
      <c r="G336" s="5"/>
      <c r="H336" s="12"/>
      <c r="I336" s="12"/>
      <c r="J336" s="12"/>
      <c r="K336" s="12"/>
      <c r="L336" s="12"/>
      <c r="M336" s="12"/>
      <c r="N336" s="5"/>
      <c r="O336" s="5"/>
      <c r="P336" s="5"/>
      <c r="Q336" s="5"/>
      <c r="R336" s="5"/>
      <c r="S336" s="5"/>
      <c r="T336" s="5"/>
      <c r="U336" s="12"/>
      <c r="V336" s="5"/>
      <c r="W336" s="11"/>
      <c r="X336" s="11"/>
      <c r="Y336" s="13"/>
      <c r="Z336" s="5"/>
      <c r="AA336" s="14"/>
      <c r="AB336" s="5"/>
      <c r="AC336" s="5"/>
      <c r="AD336" s="5"/>
      <c r="AE336" s="5"/>
      <c r="AF336" s="5"/>
      <c r="AG336" s="5"/>
      <c r="AH336" s="5"/>
      <c r="AI336" s="5"/>
      <c r="AJ336" s="5"/>
    </row>
    <row r="337">
      <c r="A337" s="5"/>
      <c r="B337" s="5"/>
      <c r="C337" s="5"/>
      <c r="D337" s="5"/>
      <c r="E337" s="11"/>
      <c r="F337" s="12"/>
      <c r="G337" s="5"/>
      <c r="H337" s="12"/>
      <c r="I337" s="12"/>
      <c r="J337" s="12"/>
      <c r="K337" s="12"/>
      <c r="L337" s="12"/>
      <c r="M337" s="12"/>
      <c r="N337" s="5"/>
      <c r="O337" s="5"/>
      <c r="P337" s="5"/>
      <c r="Q337" s="5"/>
      <c r="R337" s="5"/>
      <c r="S337" s="5"/>
      <c r="T337" s="5"/>
      <c r="U337" s="12"/>
      <c r="V337" s="5"/>
      <c r="W337" s="11"/>
      <c r="X337" s="11"/>
      <c r="Y337" s="13"/>
      <c r="Z337" s="5"/>
      <c r="AA337" s="14"/>
      <c r="AB337" s="5"/>
      <c r="AC337" s="5"/>
      <c r="AD337" s="5"/>
      <c r="AE337" s="5"/>
      <c r="AF337" s="5"/>
      <c r="AG337" s="5"/>
      <c r="AH337" s="5"/>
      <c r="AI337" s="5"/>
      <c r="AJ337" s="5"/>
    </row>
    <row r="338">
      <c r="A338" s="5"/>
      <c r="B338" s="5"/>
      <c r="C338" s="5"/>
      <c r="D338" s="5"/>
      <c r="E338" s="11"/>
      <c r="F338" s="12"/>
      <c r="G338" s="5"/>
      <c r="H338" s="12"/>
      <c r="I338" s="12"/>
      <c r="J338" s="12"/>
      <c r="K338" s="12"/>
      <c r="L338" s="12"/>
      <c r="M338" s="12"/>
      <c r="N338" s="5"/>
      <c r="O338" s="5"/>
      <c r="P338" s="5"/>
      <c r="Q338" s="5"/>
      <c r="R338" s="5"/>
      <c r="S338" s="5"/>
      <c r="T338" s="5"/>
      <c r="U338" s="12"/>
      <c r="V338" s="5"/>
      <c r="W338" s="11"/>
      <c r="X338" s="11"/>
      <c r="Y338" s="13"/>
      <c r="Z338" s="5"/>
      <c r="AA338" s="14"/>
      <c r="AB338" s="5"/>
      <c r="AC338" s="5"/>
      <c r="AD338" s="5"/>
      <c r="AE338" s="5"/>
      <c r="AF338" s="5"/>
      <c r="AG338" s="5"/>
      <c r="AH338" s="5"/>
      <c r="AI338" s="5"/>
      <c r="AJ338" s="5"/>
    </row>
    <row r="339">
      <c r="A339" s="5"/>
      <c r="B339" s="5"/>
      <c r="C339" s="5"/>
      <c r="D339" s="5"/>
      <c r="E339" s="11"/>
      <c r="F339" s="12"/>
      <c r="G339" s="5"/>
      <c r="H339" s="12"/>
      <c r="I339" s="12"/>
      <c r="J339" s="12"/>
      <c r="K339" s="12"/>
      <c r="L339" s="12"/>
      <c r="M339" s="12"/>
      <c r="N339" s="5"/>
      <c r="O339" s="5"/>
      <c r="P339" s="5"/>
      <c r="Q339" s="5"/>
      <c r="R339" s="5"/>
      <c r="S339" s="5"/>
      <c r="T339" s="5"/>
      <c r="U339" s="12"/>
      <c r="V339" s="5"/>
      <c r="W339" s="11"/>
      <c r="X339" s="11"/>
      <c r="Y339" s="13"/>
      <c r="Z339" s="5"/>
      <c r="AA339" s="14"/>
      <c r="AB339" s="5"/>
      <c r="AC339" s="5"/>
      <c r="AD339" s="5"/>
      <c r="AE339" s="5"/>
      <c r="AF339" s="5"/>
      <c r="AG339" s="5"/>
      <c r="AH339" s="5"/>
      <c r="AI339" s="5"/>
      <c r="AJ339" s="5"/>
    </row>
    <row r="340">
      <c r="A340" s="5"/>
      <c r="B340" s="5"/>
      <c r="C340" s="5"/>
      <c r="D340" s="5"/>
      <c r="E340" s="11"/>
      <c r="F340" s="12"/>
      <c r="G340" s="5"/>
      <c r="H340" s="12"/>
      <c r="I340" s="12"/>
      <c r="J340" s="12"/>
      <c r="K340" s="12"/>
      <c r="L340" s="12"/>
      <c r="M340" s="12"/>
      <c r="N340" s="5"/>
      <c r="O340" s="5"/>
      <c r="P340" s="5"/>
      <c r="Q340" s="5"/>
      <c r="R340" s="5"/>
      <c r="S340" s="5"/>
      <c r="T340" s="5"/>
      <c r="U340" s="12"/>
      <c r="V340" s="5"/>
      <c r="W340" s="11"/>
      <c r="X340" s="11"/>
      <c r="Y340" s="13"/>
      <c r="Z340" s="5"/>
      <c r="AA340" s="14"/>
      <c r="AB340" s="5"/>
      <c r="AC340" s="5"/>
      <c r="AD340" s="5"/>
      <c r="AE340" s="5"/>
      <c r="AF340" s="5"/>
      <c r="AG340" s="5"/>
      <c r="AH340" s="5"/>
      <c r="AI340" s="5"/>
      <c r="AJ340" s="5"/>
    </row>
    <row r="341">
      <c r="A341" s="5"/>
      <c r="B341" s="5"/>
      <c r="C341" s="5"/>
      <c r="D341" s="5"/>
      <c r="E341" s="11"/>
      <c r="F341" s="12"/>
      <c r="G341" s="5"/>
      <c r="H341" s="12"/>
      <c r="I341" s="12"/>
      <c r="J341" s="12"/>
      <c r="K341" s="12"/>
      <c r="L341" s="12"/>
      <c r="M341" s="12"/>
      <c r="N341" s="5"/>
      <c r="O341" s="5"/>
      <c r="P341" s="5"/>
      <c r="Q341" s="5"/>
      <c r="R341" s="5"/>
      <c r="S341" s="5"/>
      <c r="T341" s="5"/>
      <c r="U341" s="12"/>
      <c r="V341" s="5"/>
      <c r="W341" s="11"/>
      <c r="X341" s="11"/>
      <c r="Y341" s="13"/>
      <c r="Z341" s="5"/>
      <c r="AA341" s="14"/>
      <c r="AB341" s="5"/>
      <c r="AC341" s="5"/>
      <c r="AD341" s="5"/>
      <c r="AE341" s="5"/>
      <c r="AF341" s="5"/>
      <c r="AG341" s="5"/>
      <c r="AH341" s="5"/>
      <c r="AI341" s="5"/>
      <c r="AJ341" s="5"/>
    </row>
    <row r="342">
      <c r="A342" s="5"/>
      <c r="B342" s="5"/>
      <c r="C342" s="5"/>
      <c r="D342" s="5"/>
      <c r="E342" s="11"/>
      <c r="F342" s="12"/>
      <c r="G342" s="5"/>
      <c r="H342" s="12"/>
      <c r="I342" s="12"/>
      <c r="J342" s="12"/>
      <c r="K342" s="12"/>
      <c r="L342" s="12"/>
      <c r="M342" s="12"/>
      <c r="N342" s="5"/>
      <c r="O342" s="5"/>
      <c r="P342" s="5"/>
      <c r="Q342" s="5"/>
      <c r="R342" s="5"/>
      <c r="S342" s="5"/>
      <c r="T342" s="5"/>
      <c r="U342" s="12"/>
      <c r="V342" s="5"/>
      <c r="W342" s="11"/>
      <c r="X342" s="11"/>
      <c r="Y342" s="13"/>
      <c r="Z342" s="5"/>
      <c r="AA342" s="14"/>
      <c r="AB342" s="5"/>
      <c r="AC342" s="5"/>
      <c r="AD342" s="5"/>
      <c r="AE342" s="5"/>
      <c r="AF342" s="5"/>
      <c r="AG342" s="5"/>
      <c r="AH342" s="5"/>
      <c r="AI342" s="5"/>
      <c r="AJ342" s="5"/>
    </row>
    <row r="343">
      <c r="A343" s="5"/>
      <c r="B343" s="5"/>
      <c r="C343" s="5"/>
      <c r="D343" s="5"/>
      <c r="E343" s="11"/>
      <c r="F343" s="12"/>
      <c r="G343" s="5"/>
      <c r="H343" s="12"/>
      <c r="I343" s="12"/>
      <c r="J343" s="12"/>
      <c r="K343" s="12"/>
      <c r="L343" s="12"/>
      <c r="M343" s="12"/>
      <c r="N343" s="5"/>
      <c r="O343" s="5"/>
      <c r="P343" s="5"/>
      <c r="Q343" s="5"/>
      <c r="R343" s="5"/>
      <c r="S343" s="5"/>
      <c r="T343" s="5"/>
      <c r="U343" s="12"/>
      <c r="V343" s="5"/>
      <c r="W343" s="11"/>
      <c r="X343" s="11"/>
      <c r="Y343" s="13"/>
      <c r="Z343" s="5"/>
      <c r="AA343" s="14"/>
      <c r="AB343" s="5"/>
      <c r="AC343" s="5"/>
      <c r="AD343" s="5"/>
      <c r="AE343" s="5"/>
      <c r="AF343" s="5"/>
      <c r="AG343" s="5"/>
      <c r="AH343" s="5"/>
      <c r="AI343" s="5"/>
      <c r="AJ343" s="5"/>
    </row>
    <row r="344">
      <c r="A344" s="5"/>
      <c r="B344" s="5"/>
      <c r="C344" s="5"/>
      <c r="D344" s="5"/>
      <c r="E344" s="11"/>
      <c r="F344" s="12"/>
      <c r="G344" s="5"/>
      <c r="H344" s="12"/>
      <c r="I344" s="12"/>
      <c r="J344" s="12"/>
      <c r="K344" s="12"/>
      <c r="L344" s="12"/>
      <c r="M344" s="12"/>
      <c r="N344" s="5"/>
      <c r="O344" s="5"/>
      <c r="P344" s="5"/>
      <c r="Q344" s="5"/>
      <c r="R344" s="5"/>
      <c r="S344" s="5"/>
      <c r="T344" s="5"/>
      <c r="U344" s="12"/>
      <c r="V344" s="5"/>
      <c r="W344" s="11"/>
      <c r="X344" s="11"/>
      <c r="Y344" s="13"/>
      <c r="Z344" s="5"/>
      <c r="AA344" s="14"/>
      <c r="AB344" s="5"/>
      <c r="AC344" s="5"/>
      <c r="AD344" s="5"/>
      <c r="AE344" s="5"/>
      <c r="AF344" s="5"/>
      <c r="AG344" s="5"/>
      <c r="AH344" s="5"/>
      <c r="AI344" s="5"/>
      <c r="AJ344" s="5"/>
    </row>
    <row r="345">
      <c r="A345" s="5"/>
      <c r="B345" s="5"/>
      <c r="C345" s="5"/>
      <c r="D345" s="5"/>
      <c r="E345" s="11"/>
      <c r="F345" s="12"/>
      <c r="G345" s="5"/>
      <c r="H345" s="12"/>
      <c r="I345" s="12"/>
      <c r="J345" s="12"/>
      <c r="K345" s="12"/>
      <c r="L345" s="12"/>
      <c r="M345" s="12"/>
      <c r="N345" s="5"/>
      <c r="O345" s="5"/>
      <c r="P345" s="5"/>
      <c r="Q345" s="5"/>
      <c r="R345" s="5"/>
      <c r="S345" s="5"/>
      <c r="T345" s="5"/>
      <c r="U345" s="12"/>
      <c r="V345" s="5"/>
      <c r="W345" s="11"/>
      <c r="X345" s="11"/>
      <c r="Y345" s="13"/>
      <c r="Z345" s="5"/>
      <c r="AA345" s="14"/>
      <c r="AB345" s="5"/>
      <c r="AC345" s="5"/>
      <c r="AD345" s="5"/>
      <c r="AE345" s="5"/>
      <c r="AF345" s="5"/>
      <c r="AG345" s="5"/>
      <c r="AH345" s="5"/>
      <c r="AI345" s="5"/>
      <c r="AJ345" s="5"/>
    </row>
    <row r="346">
      <c r="A346" s="5"/>
      <c r="B346" s="5"/>
      <c r="C346" s="5"/>
      <c r="D346" s="5"/>
      <c r="E346" s="11"/>
      <c r="F346" s="12"/>
      <c r="G346" s="5"/>
      <c r="H346" s="12"/>
      <c r="I346" s="12"/>
      <c r="J346" s="12"/>
      <c r="K346" s="12"/>
      <c r="L346" s="12"/>
      <c r="M346" s="12"/>
      <c r="N346" s="5"/>
      <c r="O346" s="5"/>
      <c r="P346" s="5"/>
      <c r="Q346" s="5"/>
      <c r="R346" s="5"/>
      <c r="S346" s="5"/>
      <c r="T346" s="5"/>
      <c r="U346" s="12"/>
      <c r="V346" s="5"/>
      <c r="W346" s="11"/>
      <c r="X346" s="11"/>
      <c r="Y346" s="13"/>
      <c r="Z346" s="5"/>
      <c r="AA346" s="14"/>
      <c r="AB346" s="5"/>
      <c r="AC346" s="5"/>
      <c r="AD346" s="5"/>
      <c r="AE346" s="5"/>
      <c r="AF346" s="5"/>
      <c r="AG346" s="5"/>
      <c r="AH346" s="5"/>
      <c r="AI346" s="5"/>
      <c r="AJ346" s="5"/>
    </row>
    <row r="347">
      <c r="A347" s="5"/>
      <c r="B347" s="5"/>
      <c r="C347" s="5"/>
      <c r="D347" s="5"/>
      <c r="E347" s="11"/>
      <c r="F347" s="12"/>
      <c r="G347" s="5"/>
      <c r="H347" s="12"/>
      <c r="I347" s="12"/>
      <c r="J347" s="12"/>
      <c r="K347" s="12"/>
      <c r="L347" s="12"/>
      <c r="M347" s="12"/>
      <c r="N347" s="5"/>
      <c r="O347" s="5"/>
      <c r="P347" s="5"/>
      <c r="Q347" s="5"/>
      <c r="R347" s="5"/>
      <c r="S347" s="5"/>
      <c r="T347" s="5"/>
      <c r="U347" s="12"/>
      <c r="V347" s="5"/>
      <c r="W347" s="11"/>
      <c r="X347" s="11"/>
      <c r="Y347" s="13"/>
      <c r="Z347" s="5"/>
      <c r="AA347" s="14"/>
      <c r="AB347" s="5"/>
      <c r="AC347" s="5"/>
      <c r="AD347" s="5"/>
      <c r="AE347" s="5"/>
      <c r="AF347" s="5"/>
      <c r="AG347" s="5"/>
      <c r="AH347" s="5"/>
      <c r="AI347" s="5"/>
      <c r="AJ347" s="5"/>
    </row>
    <row r="348">
      <c r="A348" s="5"/>
      <c r="B348" s="5"/>
      <c r="C348" s="5"/>
      <c r="D348" s="5"/>
      <c r="E348" s="11"/>
      <c r="F348" s="12"/>
      <c r="G348" s="5"/>
      <c r="H348" s="12"/>
      <c r="I348" s="12"/>
      <c r="J348" s="12"/>
      <c r="K348" s="12"/>
      <c r="L348" s="12"/>
      <c r="M348" s="12"/>
      <c r="N348" s="5"/>
      <c r="O348" s="5"/>
      <c r="P348" s="5"/>
      <c r="Q348" s="5"/>
      <c r="R348" s="5"/>
      <c r="S348" s="5"/>
      <c r="T348" s="5"/>
      <c r="U348" s="12"/>
      <c r="V348" s="5"/>
      <c r="W348" s="11"/>
      <c r="X348" s="11"/>
      <c r="Y348" s="13"/>
      <c r="Z348" s="5"/>
      <c r="AA348" s="14"/>
      <c r="AB348" s="5"/>
      <c r="AC348" s="5"/>
      <c r="AD348" s="5"/>
      <c r="AE348" s="5"/>
      <c r="AF348" s="5"/>
      <c r="AG348" s="5"/>
      <c r="AH348" s="5"/>
      <c r="AI348" s="5"/>
      <c r="AJ348" s="5"/>
    </row>
    <row r="349">
      <c r="A349" s="5"/>
      <c r="B349" s="5"/>
      <c r="C349" s="5"/>
      <c r="D349" s="5"/>
      <c r="E349" s="11"/>
      <c r="F349" s="12"/>
      <c r="G349" s="5"/>
      <c r="H349" s="12"/>
      <c r="I349" s="12"/>
      <c r="J349" s="12"/>
      <c r="K349" s="12"/>
      <c r="L349" s="12"/>
      <c r="M349" s="12"/>
      <c r="N349" s="5"/>
      <c r="O349" s="5"/>
      <c r="P349" s="5"/>
      <c r="Q349" s="5"/>
      <c r="R349" s="5"/>
      <c r="S349" s="5"/>
      <c r="T349" s="5"/>
      <c r="U349" s="12"/>
      <c r="V349" s="5"/>
      <c r="W349" s="11"/>
      <c r="X349" s="11"/>
      <c r="Y349" s="13"/>
      <c r="Z349" s="5"/>
      <c r="AA349" s="14"/>
      <c r="AB349" s="5"/>
      <c r="AC349" s="5"/>
      <c r="AD349" s="5"/>
      <c r="AE349" s="5"/>
      <c r="AF349" s="5"/>
      <c r="AG349" s="5"/>
      <c r="AH349" s="5"/>
      <c r="AI349" s="5"/>
      <c r="AJ349" s="5"/>
    </row>
    <row r="350">
      <c r="A350" s="5"/>
      <c r="B350" s="5"/>
      <c r="C350" s="5"/>
      <c r="D350" s="5"/>
      <c r="E350" s="11"/>
      <c r="F350" s="12"/>
      <c r="G350" s="5"/>
      <c r="H350" s="12"/>
      <c r="I350" s="12"/>
      <c r="J350" s="12"/>
      <c r="K350" s="12"/>
      <c r="L350" s="12"/>
      <c r="M350" s="12"/>
      <c r="N350" s="5"/>
      <c r="O350" s="5"/>
      <c r="P350" s="5"/>
      <c r="Q350" s="5"/>
      <c r="R350" s="5"/>
      <c r="S350" s="5"/>
      <c r="T350" s="5"/>
      <c r="U350" s="12"/>
      <c r="V350" s="5"/>
      <c r="W350" s="11"/>
      <c r="X350" s="11"/>
      <c r="Y350" s="13"/>
      <c r="Z350" s="5"/>
      <c r="AA350" s="14"/>
      <c r="AB350" s="5"/>
      <c r="AC350" s="5"/>
      <c r="AD350" s="5"/>
      <c r="AE350" s="5"/>
      <c r="AF350" s="5"/>
      <c r="AG350" s="5"/>
      <c r="AH350" s="5"/>
      <c r="AI350" s="5"/>
      <c r="AJ350" s="5"/>
    </row>
    <row r="351">
      <c r="A351" s="5"/>
      <c r="B351" s="5"/>
      <c r="C351" s="5"/>
      <c r="D351" s="5"/>
      <c r="E351" s="11"/>
      <c r="F351" s="12"/>
      <c r="G351" s="5"/>
      <c r="H351" s="12"/>
      <c r="I351" s="12"/>
      <c r="J351" s="12"/>
      <c r="K351" s="12"/>
      <c r="L351" s="12"/>
      <c r="M351" s="12"/>
      <c r="N351" s="5"/>
      <c r="O351" s="5"/>
      <c r="P351" s="5"/>
      <c r="Q351" s="5"/>
      <c r="R351" s="5"/>
      <c r="S351" s="5"/>
      <c r="T351" s="5"/>
      <c r="U351" s="12"/>
      <c r="V351" s="5"/>
      <c r="W351" s="11"/>
      <c r="X351" s="11"/>
      <c r="Y351" s="13"/>
      <c r="Z351" s="5"/>
      <c r="AA351" s="14"/>
      <c r="AB351" s="5"/>
      <c r="AC351" s="5"/>
      <c r="AD351" s="5"/>
      <c r="AE351" s="5"/>
      <c r="AF351" s="5"/>
      <c r="AG351" s="5"/>
      <c r="AH351" s="5"/>
      <c r="AI351" s="5"/>
      <c r="AJ351" s="5"/>
    </row>
    <row r="352">
      <c r="A352" s="5"/>
      <c r="B352" s="5"/>
      <c r="C352" s="5"/>
      <c r="D352" s="5"/>
      <c r="E352" s="11"/>
      <c r="F352" s="12"/>
      <c r="G352" s="5"/>
      <c r="H352" s="12"/>
      <c r="I352" s="12"/>
      <c r="J352" s="12"/>
      <c r="K352" s="12"/>
      <c r="L352" s="12"/>
      <c r="M352" s="12"/>
      <c r="N352" s="5"/>
      <c r="O352" s="5"/>
      <c r="P352" s="5"/>
      <c r="Q352" s="5"/>
      <c r="R352" s="5"/>
      <c r="S352" s="5"/>
      <c r="T352" s="5"/>
      <c r="U352" s="12"/>
      <c r="V352" s="5"/>
      <c r="W352" s="11"/>
      <c r="X352" s="11"/>
      <c r="Y352" s="13"/>
      <c r="Z352" s="5"/>
      <c r="AA352" s="14"/>
      <c r="AB352" s="5"/>
      <c r="AC352" s="5"/>
      <c r="AD352" s="5"/>
      <c r="AE352" s="5"/>
      <c r="AF352" s="5"/>
      <c r="AG352" s="5"/>
      <c r="AH352" s="5"/>
      <c r="AI352" s="5"/>
      <c r="AJ352" s="5"/>
    </row>
    <row r="353">
      <c r="A353" s="5"/>
      <c r="B353" s="5"/>
      <c r="C353" s="5"/>
      <c r="D353" s="5"/>
      <c r="E353" s="11"/>
      <c r="F353" s="12"/>
      <c r="G353" s="5"/>
      <c r="H353" s="12"/>
      <c r="I353" s="12"/>
      <c r="J353" s="12"/>
      <c r="K353" s="12"/>
      <c r="L353" s="12"/>
      <c r="M353" s="12"/>
      <c r="N353" s="5"/>
      <c r="O353" s="5"/>
      <c r="P353" s="5"/>
      <c r="Q353" s="5"/>
      <c r="R353" s="5"/>
      <c r="S353" s="5"/>
      <c r="T353" s="5"/>
      <c r="U353" s="12"/>
      <c r="V353" s="5"/>
      <c r="W353" s="11"/>
      <c r="X353" s="11"/>
      <c r="Y353" s="13"/>
      <c r="Z353" s="5"/>
      <c r="AA353" s="14"/>
      <c r="AB353" s="5"/>
      <c r="AC353" s="5"/>
      <c r="AD353" s="5"/>
      <c r="AE353" s="5"/>
      <c r="AF353" s="5"/>
      <c r="AG353" s="5"/>
      <c r="AH353" s="5"/>
      <c r="AI353" s="5"/>
      <c r="AJ353" s="5"/>
    </row>
    <row r="354">
      <c r="A354" s="5"/>
      <c r="B354" s="5"/>
      <c r="C354" s="5"/>
      <c r="D354" s="5"/>
      <c r="E354" s="11"/>
      <c r="F354" s="12"/>
      <c r="G354" s="5"/>
      <c r="H354" s="12"/>
      <c r="I354" s="12"/>
      <c r="J354" s="12"/>
      <c r="K354" s="12"/>
      <c r="L354" s="12"/>
      <c r="M354" s="12"/>
      <c r="N354" s="5"/>
      <c r="O354" s="5"/>
      <c r="P354" s="5"/>
      <c r="Q354" s="5"/>
      <c r="R354" s="5"/>
      <c r="S354" s="5"/>
      <c r="T354" s="5"/>
      <c r="U354" s="12"/>
      <c r="V354" s="5"/>
      <c r="W354" s="11"/>
      <c r="X354" s="11"/>
      <c r="Y354" s="13"/>
      <c r="Z354" s="5"/>
      <c r="AA354" s="14"/>
      <c r="AB354" s="5"/>
      <c r="AC354" s="5"/>
      <c r="AD354" s="5"/>
      <c r="AE354" s="5"/>
      <c r="AF354" s="5"/>
      <c r="AG354" s="5"/>
      <c r="AH354" s="5"/>
      <c r="AI354" s="5"/>
      <c r="AJ354" s="5"/>
    </row>
    <row r="355">
      <c r="A355" s="5"/>
      <c r="B355" s="5"/>
      <c r="C355" s="5"/>
      <c r="D355" s="5"/>
      <c r="E355" s="11"/>
      <c r="F355" s="12"/>
      <c r="G355" s="5"/>
      <c r="H355" s="12"/>
      <c r="I355" s="12"/>
      <c r="J355" s="12"/>
      <c r="K355" s="12"/>
      <c r="L355" s="12"/>
      <c r="M355" s="12"/>
      <c r="N355" s="5"/>
      <c r="O355" s="5"/>
      <c r="P355" s="5"/>
      <c r="Q355" s="5"/>
      <c r="R355" s="5"/>
      <c r="S355" s="5"/>
      <c r="T355" s="5"/>
      <c r="U355" s="12"/>
      <c r="V355" s="5"/>
      <c r="W355" s="11"/>
      <c r="X355" s="11"/>
      <c r="Y355" s="13"/>
      <c r="Z355" s="5"/>
      <c r="AA355" s="14"/>
      <c r="AB355" s="5"/>
      <c r="AC355" s="5"/>
      <c r="AD355" s="5"/>
      <c r="AE355" s="5"/>
      <c r="AF355" s="5"/>
      <c r="AG355" s="5"/>
      <c r="AH355" s="5"/>
      <c r="AI355" s="5"/>
      <c r="AJ355" s="5"/>
    </row>
    <row r="356">
      <c r="A356" s="5"/>
      <c r="B356" s="5"/>
      <c r="C356" s="5"/>
      <c r="D356" s="5"/>
      <c r="E356" s="11"/>
      <c r="F356" s="12"/>
      <c r="G356" s="5"/>
      <c r="H356" s="12"/>
      <c r="I356" s="12"/>
      <c r="J356" s="12"/>
      <c r="K356" s="12"/>
      <c r="L356" s="12"/>
      <c r="M356" s="12"/>
      <c r="N356" s="5"/>
      <c r="O356" s="5"/>
      <c r="P356" s="5"/>
      <c r="Q356" s="5"/>
      <c r="R356" s="5"/>
      <c r="S356" s="5"/>
      <c r="T356" s="5"/>
      <c r="U356" s="12"/>
      <c r="V356" s="5"/>
      <c r="W356" s="11"/>
      <c r="X356" s="11"/>
      <c r="Y356" s="13"/>
      <c r="Z356" s="5"/>
      <c r="AA356" s="14"/>
      <c r="AB356" s="5"/>
      <c r="AC356" s="5"/>
      <c r="AD356" s="5"/>
      <c r="AE356" s="5"/>
      <c r="AF356" s="5"/>
      <c r="AG356" s="5"/>
      <c r="AH356" s="5"/>
      <c r="AI356" s="5"/>
      <c r="AJ356" s="5"/>
    </row>
    <row r="357">
      <c r="A357" s="5"/>
      <c r="B357" s="5"/>
      <c r="C357" s="5"/>
      <c r="D357" s="5"/>
      <c r="E357" s="11"/>
      <c r="F357" s="12"/>
      <c r="G357" s="5"/>
      <c r="H357" s="12"/>
      <c r="I357" s="12"/>
      <c r="J357" s="12"/>
      <c r="K357" s="12"/>
      <c r="L357" s="12"/>
      <c r="M357" s="12"/>
      <c r="N357" s="5"/>
      <c r="O357" s="5"/>
      <c r="P357" s="5"/>
      <c r="Q357" s="5"/>
      <c r="R357" s="5"/>
      <c r="S357" s="5"/>
      <c r="T357" s="5"/>
      <c r="U357" s="12"/>
      <c r="V357" s="5"/>
      <c r="W357" s="11"/>
      <c r="X357" s="11"/>
      <c r="Y357" s="13"/>
      <c r="Z357" s="5"/>
      <c r="AA357" s="14"/>
      <c r="AB357" s="5"/>
      <c r="AC357" s="5"/>
      <c r="AD357" s="5"/>
      <c r="AE357" s="5"/>
      <c r="AF357" s="5"/>
      <c r="AG357" s="5"/>
      <c r="AH357" s="5"/>
      <c r="AI357" s="5"/>
      <c r="AJ357" s="5"/>
    </row>
    <row r="358">
      <c r="A358" s="5"/>
      <c r="B358" s="5"/>
      <c r="C358" s="5"/>
      <c r="D358" s="5"/>
      <c r="E358" s="11"/>
      <c r="F358" s="12"/>
      <c r="G358" s="5"/>
      <c r="H358" s="12"/>
      <c r="I358" s="12"/>
      <c r="J358" s="12"/>
      <c r="K358" s="12"/>
      <c r="L358" s="12"/>
      <c r="M358" s="12"/>
      <c r="N358" s="5"/>
      <c r="O358" s="5"/>
      <c r="P358" s="5"/>
      <c r="Q358" s="5"/>
      <c r="R358" s="5"/>
      <c r="S358" s="5"/>
      <c r="T358" s="5"/>
      <c r="U358" s="12"/>
      <c r="V358" s="5"/>
      <c r="W358" s="11"/>
      <c r="X358" s="11"/>
      <c r="Y358" s="13"/>
      <c r="Z358" s="5"/>
      <c r="AA358" s="14"/>
      <c r="AB358" s="5"/>
      <c r="AC358" s="5"/>
      <c r="AD358" s="5"/>
      <c r="AE358" s="5"/>
      <c r="AF358" s="5"/>
      <c r="AG358" s="5"/>
      <c r="AH358" s="5"/>
      <c r="AI358" s="5"/>
      <c r="AJ358" s="5"/>
    </row>
    <row r="359">
      <c r="A359" s="5"/>
      <c r="B359" s="5"/>
      <c r="C359" s="5"/>
      <c r="D359" s="5"/>
      <c r="E359" s="11"/>
      <c r="F359" s="12"/>
      <c r="G359" s="5"/>
      <c r="H359" s="12"/>
      <c r="I359" s="12"/>
      <c r="J359" s="12"/>
      <c r="K359" s="12"/>
      <c r="L359" s="12"/>
      <c r="M359" s="12"/>
      <c r="N359" s="5"/>
      <c r="O359" s="5"/>
      <c r="P359" s="5"/>
      <c r="Q359" s="5"/>
      <c r="R359" s="5"/>
      <c r="S359" s="5"/>
      <c r="T359" s="5"/>
      <c r="U359" s="12"/>
      <c r="V359" s="5"/>
      <c r="W359" s="11"/>
      <c r="X359" s="11"/>
      <c r="Y359" s="13"/>
      <c r="Z359" s="5"/>
      <c r="AA359" s="14"/>
      <c r="AB359" s="5"/>
      <c r="AC359" s="5"/>
      <c r="AD359" s="5"/>
      <c r="AE359" s="5"/>
      <c r="AF359" s="5"/>
      <c r="AG359" s="5"/>
      <c r="AH359" s="5"/>
      <c r="AI359" s="5"/>
      <c r="AJ359" s="5"/>
    </row>
    <row r="360">
      <c r="A360" s="5"/>
      <c r="B360" s="5"/>
      <c r="C360" s="5"/>
      <c r="D360" s="5"/>
      <c r="E360" s="11"/>
      <c r="F360" s="12"/>
      <c r="G360" s="5"/>
      <c r="H360" s="12"/>
      <c r="I360" s="12"/>
      <c r="J360" s="12"/>
      <c r="K360" s="12"/>
      <c r="L360" s="12"/>
      <c r="M360" s="12"/>
      <c r="N360" s="5"/>
      <c r="O360" s="5"/>
      <c r="P360" s="5"/>
      <c r="Q360" s="5"/>
      <c r="R360" s="5"/>
      <c r="S360" s="5"/>
      <c r="T360" s="5"/>
      <c r="U360" s="12"/>
      <c r="V360" s="5"/>
      <c r="W360" s="11"/>
      <c r="X360" s="11"/>
      <c r="Y360" s="13"/>
      <c r="Z360" s="5"/>
      <c r="AA360" s="14"/>
      <c r="AB360" s="5"/>
      <c r="AC360" s="5"/>
      <c r="AD360" s="5"/>
      <c r="AE360" s="5"/>
      <c r="AF360" s="5"/>
      <c r="AG360" s="5"/>
      <c r="AH360" s="5"/>
      <c r="AI360" s="5"/>
      <c r="AJ360" s="5"/>
    </row>
    <row r="361">
      <c r="A361" s="5"/>
      <c r="B361" s="5"/>
      <c r="C361" s="5"/>
      <c r="D361" s="5"/>
      <c r="E361" s="11"/>
      <c r="F361" s="12"/>
      <c r="G361" s="5"/>
      <c r="H361" s="12"/>
      <c r="I361" s="12"/>
      <c r="J361" s="12"/>
      <c r="K361" s="12"/>
      <c r="L361" s="12"/>
      <c r="M361" s="12"/>
      <c r="N361" s="5"/>
      <c r="O361" s="5"/>
      <c r="P361" s="5"/>
      <c r="Q361" s="5"/>
      <c r="R361" s="5"/>
      <c r="S361" s="5"/>
      <c r="T361" s="5"/>
      <c r="U361" s="12"/>
      <c r="V361" s="5"/>
      <c r="W361" s="11"/>
      <c r="X361" s="11"/>
      <c r="Y361" s="13"/>
      <c r="Z361" s="5"/>
      <c r="AA361" s="14"/>
      <c r="AB361" s="5"/>
      <c r="AC361" s="5"/>
      <c r="AD361" s="5"/>
      <c r="AE361" s="5"/>
      <c r="AF361" s="5"/>
      <c r="AG361" s="5"/>
      <c r="AH361" s="5"/>
      <c r="AI361" s="5"/>
      <c r="AJ361" s="5"/>
    </row>
    <row r="362">
      <c r="A362" s="5"/>
      <c r="B362" s="5"/>
      <c r="C362" s="5"/>
      <c r="D362" s="5"/>
      <c r="E362" s="11"/>
      <c r="F362" s="12"/>
      <c r="G362" s="5"/>
      <c r="H362" s="12"/>
      <c r="I362" s="12"/>
      <c r="J362" s="12"/>
      <c r="K362" s="12"/>
      <c r="L362" s="12"/>
      <c r="M362" s="12"/>
      <c r="N362" s="5"/>
      <c r="O362" s="5"/>
      <c r="P362" s="5"/>
      <c r="Q362" s="5"/>
      <c r="R362" s="5"/>
      <c r="S362" s="5"/>
      <c r="T362" s="5"/>
      <c r="U362" s="12"/>
      <c r="V362" s="5"/>
      <c r="W362" s="11"/>
      <c r="X362" s="11"/>
      <c r="Y362" s="13"/>
      <c r="Z362" s="5"/>
      <c r="AA362" s="14"/>
      <c r="AB362" s="5"/>
      <c r="AC362" s="5"/>
      <c r="AD362" s="5"/>
      <c r="AE362" s="5"/>
      <c r="AF362" s="5"/>
      <c r="AG362" s="5"/>
      <c r="AH362" s="5"/>
      <c r="AI362" s="5"/>
      <c r="AJ362" s="5"/>
    </row>
    <row r="363">
      <c r="A363" s="5"/>
      <c r="B363" s="5"/>
      <c r="C363" s="5"/>
      <c r="D363" s="5"/>
      <c r="E363" s="11"/>
      <c r="F363" s="12"/>
      <c r="G363" s="5"/>
      <c r="H363" s="12"/>
      <c r="I363" s="12"/>
      <c r="J363" s="12"/>
      <c r="K363" s="12"/>
      <c r="L363" s="12"/>
      <c r="M363" s="12"/>
      <c r="N363" s="5"/>
      <c r="O363" s="5"/>
      <c r="P363" s="5"/>
      <c r="Q363" s="5"/>
      <c r="R363" s="5"/>
      <c r="S363" s="5"/>
      <c r="T363" s="5"/>
      <c r="U363" s="12"/>
      <c r="V363" s="5"/>
      <c r="W363" s="11"/>
      <c r="X363" s="11"/>
      <c r="Y363" s="13"/>
      <c r="Z363" s="5"/>
      <c r="AA363" s="14"/>
      <c r="AB363" s="5"/>
      <c r="AC363" s="5"/>
      <c r="AD363" s="5"/>
      <c r="AE363" s="5"/>
      <c r="AF363" s="5"/>
      <c r="AG363" s="5"/>
      <c r="AH363" s="5"/>
      <c r="AI363" s="5"/>
      <c r="AJ363" s="5"/>
    </row>
    <row r="364">
      <c r="A364" s="5"/>
      <c r="B364" s="5"/>
      <c r="C364" s="5"/>
      <c r="D364" s="5"/>
      <c r="E364" s="11"/>
      <c r="F364" s="12"/>
      <c r="G364" s="5"/>
      <c r="H364" s="12"/>
      <c r="I364" s="12"/>
      <c r="J364" s="12"/>
      <c r="K364" s="12"/>
      <c r="L364" s="12"/>
      <c r="M364" s="12"/>
      <c r="N364" s="5"/>
      <c r="O364" s="5"/>
      <c r="P364" s="5"/>
      <c r="Q364" s="5"/>
      <c r="R364" s="5"/>
      <c r="S364" s="5"/>
      <c r="T364" s="5"/>
      <c r="U364" s="12"/>
      <c r="V364" s="5"/>
      <c r="W364" s="11"/>
      <c r="X364" s="11"/>
      <c r="Y364" s="13"/>
      <c r="Z364" s="5"/>
      <c r="AA364" s="14"/>
      <c r="AB364" s="5"/>
      <c r="AC364" s="5"/>
      <c r="AD364" s="5"/>
      <c r="AE364" s="5"/>
      <c r="AF364" s="5"/>
      <c r="AG364" s="5"/>
      <c r="AH364" s="5"/>
      <c r="AI364" s="5"/>
      <c r="AJ364" s="5"/>
    </row>
    <row r="365">
      <c r="A365" s="5"/>
      <c r="B365" s="5"/>
      <c r="C365" s="5"/>
      <c r="D365" s="5"/>
      <c r="E365" s="11"/>
      <c r="F365" s="12"/>
      <c r="G365" s="5"/>
      <c r="H365" s="12"/>
      <c r="I365" s="12"/>
      <c r="J365" s="12"/>
      <c r="K365" s="12"/>
      <c r="L365" s="12"/>
      <c r="M365" s="12"/>
      <c r="N365" s="5"/>
      <c r="O365" s="5"/>
      <c r="P365" s="5"/>
      <c r="Q365" s="5"/>
      <c r="R365" s="5"/>
      <c r="S365" s="5"/>
      <c r="T365" s="5"/>
      <c r="U365" s="12"/>
      <c r="V365" s="5"/>
      <c r="W365" s="11"/>
      <c r="X365" s="11"/>
      <c r="Y365" s="13"/>
      <c r="Z365" s="5"/>
      <c r="AA365" s="14"/>
      <c r="AB365" s="5"/>
      <c r="AC365" s="5"/>
      <c r="AD365" s="5"/>
      <c r="AE365" s="5"/>
      <c r="AF365" s="5"/>
      <c r="AG365" s="5"/>
      <c r="AH365" s="5"/>
      <c r="AI365" s="5"/>
      <c r="AJ365" s="5"/>
    </row>
    <row r="366">
      <c r="A366" s="5"/>
      <c r="B366" s="5"/>
      <c r="C366" s="5"/>
      <c r="D366" s="5"/>
      <c r="E366" s="11"/>
      <c r="F366" s="12"/>
      <c r="G366" s="5"/>
      <c r="H366" s="12"/>
      <c r="I366" s="12"/>
      <c r="J366" s="12"/>
      <c r="K366" s="12"/>
      <c r="L366" s="12"/>
      <c r="M366" s="12"/>
      <c r="N366" s="5"/>
      <c r="O366" s="5"/>
      <c r="P366" s="5"/>
      <c r="Q366" s="5"/>
      <c r="R366" s="5"/>
      <c r="S366" s="5"/>
      <c r="T366" s="5"/>
      <c r="U366" s="12"/>
      <c r="V366" s="5"/>
      <c r="W366" s="11"/>
      <c r="X366" s="11"/>
      <c r="Y366" s="13"/>
      <c r="Z366" s="5"/>
      <c r="AA366" s="14"/>
      <c r="AB366" s="5"/>
      <c r="AC366" s="5"/>
      <c r="AD366" s="5"/>
      <c r="AE366" s="5"/>
      <c r="AF366" s="5"/>
      <c r="AG366" s="5"/>
      <c r="AH366" s="5"/>
      <c r="AI366" s="5"/>
      <c r="AJ366" s="5"/>
    </row>
    <row r="367">
      <c r="A367" s="5"/>
      <c r="B367" s="5"/>
      <c r="C367" s="5"/>
      <c r="D367" s="5"/>
      <c r="E367" s="11"/>
      <c r="F367" s="12"/>
      <c r="G367" s="5"/>
      <c r="H367" s="12"/>
      <c r="I367" s="12"/>
      <c r="J367" s="12"/>
      <c r="K367" s="12"/>
      <c r="L367" s="12"/>
      <c r="M367" s="12"/>
      <c r="N367" s="5"/>
      <c r="O367" s="5"/>
      <c r="P367" s="5"/>
      <c r="Q367" s="5"/>
      <c r="R367" s="5"/>
      <c r="S367" s="5"/>
      <c r="T367" s="5"/>
      <c r="U367" s="12"/>
      <c r="V367" s="5"/>
      <c r="W367" s="11"/>
      <c r="X367" s="11"/>
      <c r="Y367" s="13"/>
      <c r="Z367" s="5"/>
      <c r="AA367" s="14"/>
      <c r="AB367" s="5"/>
      <c r="AC367" s="5"/>
      <c r="AD367" s="5"/>
      <c r="AE367" s="5"/>
      <c r="AF367" s="5"/>
      <c r="AG367" s="5"/>
      <c r="AH367" s="5"/>
      <c r="AI367" s="5"/>
      <c r="AJ367" s="5"/>
    </row>
    <row r="368">
      <c r="A368" s="5"/>
      <c r="B368" s="5"/>
      <c r="C368" s="5"/>
      <c r="D368" s="5"/>
      <c r="E368" s="11"/>
      <c r="F368" s="12"/>
      <c r="G368" s="5"/>
      <c r="H368" s="12"/>
      <c r="I368" s="12"/>
      <c r="J368" s="12"/>
      <c r="K368" s="12"/>
      <c r="L368" s="12"/>
      <c r="M368" s="12"/>
      <c r="N368" s="5"/>
      <c r="O368" s="5"/>
      <c r="P368" s="5"/>
      <c r="Q368" s="5"/>
      <c r="R368" s="5"/>
      <c r="S368" s="5"/>
      <c r="T368" s="5"/>
      <c r="U368" s="12"/>
      <c r="V368" s="5"/>
      <c r="W368" s="11"/>
      <c r="X368" s="11"/>
      <c r="Y368" s="13"/>
      <c r="Z368" s="5"/>
      <c r="AA368" s="14"/>
      <c r="AB368" s="5"/>
      <c r="AC368" s="5"/>
      <c r="AD368" s="5"/>
      <c r="AE368" s="5"/>
      <c r="AF368" s="5"/>
      <c r="AG368" s="5"/>
      <c r="AH368" s="5"/>
      <c r="AI368" s="5"/>
      <c r="AJ368" s="5"/>
    </row>
    <row r="369">
      <c r="A369" s="5"/>
      <c r="B369" s="5"/>
      <c r="C369" s="5"/>
      <c r="D369" s="5"/>
      <c r="E369" s="11"/>
      <c r="F369" s="12"/>
      <c r="G369" s="5"/>
      <c r="H369" s="12"/>
      <c r="I369" s="12"/>
      <c r="J369" s="12"/>
      <c r="K369" s="12"/>
      <c r="L369" s="12"/>
      <c r="M369" s="12"/>
      <c r="N369" s="5"/>
      <c r="O369" s="5"/>
      <c r="P369" s="5"/>
      <c r="Q369" s="5"/>
      <c r="R369" s="5"/>
      <c r="S369" s="5"/>
      <c r="T369" s="5"/>
      <c r="U369" s="12"/>
      <c r="V369" s="5"/>
      <c r="W369" s="11"/>
      <c r="X369" s="11"/>
      <c r="Y369" s="13"/>
      <c r="Z369" s="5"/>
      <c r="AA369" s="14"/>
      <c r="AB369" s="5"/>
      <c r="AC369" s="5"/>
      <c r="AD369" s="5"/>
      <c r="AE369" s="5"/>
      <c r="AF369" s="5"/>
      <c r="AG369" s="5"/>
      <c r="AH369" s="5"/>
      <c r="AI369" s="5"/>
      <c r="AJ369" s="5"/>
    </row>
    <row r="370">
      <c r="A370" s="5"/>
      <c r="B370" s="5"/>
      <c r="C370" s="5"/>
      <c r="D370" s="5"/>
      <c r="E370" s="11"/>
      <c r="F370" s="12"/>
      <c r="G370" s="5"/>
      <c r="H370" s="12"/>
      <c r="I370" s="12"/>
      <c r="J370" s="12"/>
      <c r="K370" s="12"/>
      <c r="L370" s="12"/>
      <c r="M370" s="12"/>
      <c r="N370" s="5"/>
      <c r="O370" s="5"/>
      <c r="P370" s="5"/>
      <c r="Q370" s="5"/>
      <c r="R370" s="5"/>
      <c r="S370" s="5"/>
      <c r="T370" s="5"/>
      <c r="U370" s="12"/>
      <c r="V370" s="5"/>
      <c r="W370" s="11"/>
      <c r="X370" s="11"/>
      <c r="Y370" s="13"/>
      <c r="Z370" s="5"/>
      <c r="AA370" s="14"/>
      <c r="AB370" s="5"/>
      <c r="AC370" s="5"/>
      <c r="AD370" s="5"/>
      <c r="AE370" s="5"/>
      <c r="AF370" s="5"/>
      <c r="AG370" s="5"/>
      <c r="AH370" s="5"/>
      <c r="AI370" s="5"/>
      <c r="AJ370" s="5"/>
    </row>
    <row r="371">
      <c r="A371" s="5"/>
      <c r="B371" s="5"/>
      <c r="C371" s="5"/>
      <c r="D371" s="5"/>
      <c r="E371" s="11"/>
      <c r="F371" s="12"/>
      <c r="G371" s="5"/>
      <c r="H371" s="12"/>
      <c r="I371" s="12"/>
      <c r="J371" s="12"/>
      <c r="K371" s="12"/>
      <c r="L371" s="12"/>
      <c r="M371" s="12"/>
      <c r="N371" s="5"/>
      <c r="O371" s="5"/>
      <c r="P371" s="5"/>
      <c r="Q371" s="5"/>
      <c r="R371" s="5"/>
      <c r="S371" s="5"/>
      <c r="T371" s="5"/>
      <c r="U371" s="12"/>
      <c r="V371" s="5"/>
      <c r="W371" s="11"/>
      <c r="X371" s="11"/>
      <c r="Y371" s="13"/>
      <c r="Z371" s="5"/>
      <c r="AA371" s="14"/>
      <c r="AB371" s="5"/>
      <c r="AC371" s="5"/>
      <c r="AD371" s="5"/>
      <c r="AE371" s="5"/>
      <c r="AF371" s="5"/>
      <c r="AG371" s="5"/>
      <c r="AH371" s="5"/>
      <c r="AI371" s="5"/>
      <c r="AJ371" s="5"/>
    </row>
    <row r="372">
      <c r="A372" s="5"/>
      <c r="B372" s="5"/>
      <c r="C372" s="5"/>
      <c r="D372" s="5"/>
      <c r="E372" s="11"/>
      <c r="F372" s="12"/>
      <c r="G372" s="5"/>
      <c r="H372" s="12"/>
      <c r="I372" s="12"/>
      <c r="J372" s="12"/>
      <c r="K372" s="12"/>
      <c r="L372" s="12"/>
      <c r="M372" s="12"/>
      <c r="N372" s="5"/>
      <c r="O372" s="5"/>
      <c r="P372" s="5"/>
      <c r="Q372" s="5"/>
      <c r="R372" s="5"/>
      <c r="S372" s="5"/>
      <c r="T372" s="5"/>
      <c r="U372" s="12"/>
      <c r="V372" s="5"/>
      <c r="W372" s="11"/>
      <c r="X372" s="11"/>
      <c r="Y372" s="13"/>
      <c r="Z372" s="5"/>
      <c r="AA372" s="14"/>
      <c r="AB372" s="5"/>
      <c r="AC372" s="5"/>
      <c r="AD372" s="5"/>
      <c r="AE372" s="5"/>
      <c r="AF372" s="5"/>
      <c r="AG372" s="5"/>
      <c r="AH372" s="5"/>
      <c r="AI372" s="5"/>
      <c r="AJ372" s="5"/>
    </row>
    <row r="373">
      <c r="A373" s="5"/>
      <c r="B373" s="5"/>
      <c r="C373" s="5"/>
      <c r="D373" s="5"/>
      <c r="E373" s="11"/>
      <c r="F373" s="12"/>
      <c r="G373" s="5"/>
      <c r="H373" s="12"/>
      <c r="I373" s="12"/>
      <c r="J373" s="12"/>
      <c r="K373" s="12"/>
      <c r="L373" s="12"/>
      <c r="M373" s="12"/>
      <c r="N373" s="5"/>
      <c r="O373" s="5"/>
      <c r="P373" s="5"/>
      <c r="Q373" s="5"/>
      <c r="R373" s="5"/>
      <c r="S373" s="5"/>
      <c r="T373" s="5"/>
      <c r="U373" s="12"/>
      <c r="V373" s="5"/>
      <c r="W373" s="11"/>
      <c r="X373" s="11"/>
      <c r="Y373" s="13"/>
      <c r="Z373" s="5"/>
      <c r="AA373" s="14"/>
      <c r="AB373" s="5"/>
      <c r="AC373" s="5"/>
      <c r="AD373" s="5"/>
      <c r="AE373" s="5"/>
      <c r="AF373" s="5"/>
      <c r="AG373" s="5"/>
      <c r="AH373" s="5"/>
      <c r="AI373" s="5"/>
      <c r="AJ373" s="5"/>
    </row>
    <row r="374">
      <c r="A374" s="5"/>
      <c r="B374" s="5"/>
      <c r="C374" s="5"/>
      <c r="D374" s="5"/>
      <c r="E374" s="11"/>
      <c r="F374" s="12"/>
      <c r="G374" s="5"/>
      <c r="H374" s="12"/>
      <c r="I374" s="12"/>
      <c r="J374" s="12"/>
      <c r="K374" s="12"/>
      <c r="L374" s="12"/>
      <c r="M374" s="12"/>
      <c r="N374" s="5"/>
      <c r="O374" s="5"/>
      <c r="P374" s="5"/>
      <c r="Q374" s="5"/>
      <c r="R374" s="5"/>
      <c r="S374" s="5"/>
      <c r="T374" s="5"/>
      <c r="U374" s="12"/>
      <c r="V374" s="5"/>
      <c r="W374" s="11"/>
      <c r="X374" s="11"/>
      <c r="Y374" s="13"/>
      <c r="Z374" s="5"/>
      <c r="AA374" s="14"/>
      <c r="AB374" s="5"/>
      <c r="AC374" s="5"/>
      <c r="AD374" s="5"/>
      <c r="AE374" s="5"/>
      <c r="AF374" s="5"/>
      <c r="AG374" s="5"/>
      <c r="AH374" s="5"/>
      <c r="AI374" s="5"/>
      <c r="AJ374" s="5"/>
    </row>
    <row r="375">
      <c r="A375" s="5"/>
      <c r="B375" s="5"/>
      <c r="C375" s="5"/>
      <c r="D375" s="5"/>
      <c r="E375" s="11"/>
      <c r="F375" s="12"/>
      <c r="G375" s="5"/>
      <c r="H375" s="12"/>
      <c r="I375" s="12"/>
      <c r="J375" s="12"/>
      <c r="K375" s="12"/>
      <c r="L375" s="12"/>
      <c r="M375" s="12"/>
      <c r="N375" s="5"/>
      <c r="O375" s="5"/>
      <c r="P375" s="5"/>
      <c r="Q375" s="5"/>
      <c r="R375" s="5"/>
      <c r="S375" s="5"/>
      <c r="T375" s="5"/>
      <c r="U375" s="12"/>
      <c r="V375" s="5"/>
      <c r="W375" s="11"/>
      <c r="X375" s="11"/>
      <c r="Y375" s="13"/>
      <c r="Z375" s="5"/>
      <c r="AA375" s="14"/>
      <c r="AB375" s="5"/>
      <c r="AC375" s="5"/>
      <c r="AD375" s="5"/>
      <c r="AE375" s="5"/>
      <c r="AF375" s="5"/>
      <c r="AG375" s="5"/>
      <c r="AH375" s="5"/>
      <c r="AI375" s="5"/>
      <c r="AJ375" s="5"/>
    </row>
    <row r="376">
      <c r="A376" s="5"/>
      <c r="B376" s="5"/>
      <c r="C376" s="5"/>
      <c r="D376" s="5"/>
      <c r="E376" s="11"/>
      <c r="F376" s="12"/>
      <c r="G376" s="5"/>
      <c r="H376" s="12"/>
      <c r="I376" s="12"/>
      <c r="J376" s="12"/>
      <c r="K376" s="12"/>
      <c r="L376" s="12"/>
      <c r="M376" s="12"/>
      <c r="N376" s="5"/>
      <c r="O376" s="5"/>
      <c r="P376" s="5"/>
      <c r="Q376" s="5"/>
      <c r="R376" s="5"/>
      <c r="S376" s="5"/>
      <c r="T376" s="5"/>
      <c r="U376" s="12"/>
      <c r="V376" s="5"/>
      <c r="W376" s="11"/>
      <c r="X376" s="11"/>
      <c r="Y376" s="13"/>
      <c r="Z376" s="5"/>
      <c r="AA376" s="14"/>
      <c r="AB376" s="5"/>
      <c r="AC376" s="5"/>
      <c r="AD376" s="5"/>
      <c r="AE376" s="5"/>
      <c r="AF376" s="5"/>
      <c r="AG376" s="5"/>
      <c r="AH376" s="5"/>
      <c r="AI376" s="5"/>
      <c r="AJ376" s="5"/>
    </row>
    <row r="377">
      <c r="A377" s="5"/>
      <c r="B377" s="5"/>
      <c r="C377" s="5"/>
      <c r="D377" s="5"/>
      <c r="E377" s="11"/>
      <c r="F377" s="12"/>
      <c r="G377" s="5"/>
      <c r="H377" s="12"/>
      <c r="I377" s="12"/>
      <c r="J377" s="12"/>
      <c r="K377" s="12"/>
      <c r="L377" s="12"/>
      <c r="M377" s="12"/>
      <c r="N377" s="5"/>
      <c r="O377" s="5"/>
      <c r="P377" s="5"/>
      <c r="Q377" s="5"/>
      <c r="R377" s="5"/>
      <c r="S377" s="5"/>
      <c r="T377" s="5"/>
      <c r="U377" s="12"/>
      <c r="V377" s="5"/>
      <c r="W377" s="11"/>
      <c r="X377" s="11"/>
      <c r="Y377" s="13"/>
      <c r="Z377" s="5"/>
      <c r="AA377" s="14"/>
      <c r="AB377" s="5"/>
      <c r="AC377" s="5"/>
      <c r="AD377" s="5"/>
      <c r="AE377" s="5"/>
      <c r="AF377" s="5"/>
      <c r="AG377" s="5"/>
      <c r="AH377" s="5"/>
      <c r="AI377" s="5"/>
      <c r="AJ377" s="5"/>
    </row>
    <row r="378">
      <c r="A378" s="5"/>
      <c r="B378" s="5"/>
      <c r="C378" s="5"/>
      <c r="D378" s="5"/>
      <c r="E378" s="11"/>
      <c r="F378" s="12"/>
      <c r="G378" s="5"/>
      <c r="H378" s="12"/>
      <c r="I378" s="12"/>
      <c r="J378" s="12"/>
      <c r="K378" s="12"/>
      <c r="L378" s="12"/>
      <c r="M378" s="12"/>
      <c r="N378" s="5"/>
      <c r="O378" s="5"/>
      <c r="P378" s="5"/>
      <c r="Q378" s="5"/>
      <c r="R378" s="5"/>
      <c r="S378" s="5"/>
      <c r="T378" s="5"/>
      <c r="U378" s="12"/>
      <c r="V378" s="5"/>
      <c r="W378" s="11"/>
      <c r="X378" s="11"/>
      <c r="Y378" s="13"/>
      <c r="Z378" s="5"/>
      <c r="AA378" s="14"/>
      <c r="AB378" s="5"/>
      <c r="AC378" s="5"/>
      <c r="AD378" s="5"/>
      <c r="AE378" s="5"/>
      <c r="AF378" s="5"/>
      <c r="AG378" s="5"/>
      <c r="AH378" s="5"/>
      <c r="AI378" s="5"/>
      <c r="AJ378" s="5"/>
    </row>
    <row r="379">
      <c r="A379" s="5"/>
      <c r="B379" s="5"/>
      <c r="C379" s="5"/>
      <c r="D379" s="5"/>
      <c r="E379" s="11"/>
      <c r="F379" s="12"/>
      <c r="G379" s="5"/>
      <c r="H379" s="12"/>
      <c r="I379" s="12"/>
      <c r="J379" s="12"/>
      <c r="K379" s="12"/>
      <c r="L379" s="12"/>
      <c r="M379" s="12"/>
      <c r="N379" s="5"/>
      <c r="O379" s="5"/>
      <c r="P379" s="5"/>
      <c r="Q379" s="5"/>
      <c r="R379" s="5"/>
      <c r="S379" s="5"/>
      <c r="T379" s="5"/>
      <c r="U379" s="12"/>
      <c r="V379" s="5"/>
      <c r="W379" s="11"/>
      <c r="X379" s="11"/>
      <c r="Y379" s="13"/>
      <c r="Z379" s="5"/>
      <c r="AA379" s="14"/>
      <c r="AB379" s="5"/>
      <c r="AC379" s="5"/>
      <c r="AD379" s="5"/>
      <c r="AE379" s="5"/>
      <c r="AF379" s="5"/>
      <c r="AG379" s="5"/>
      <c r="AH379" s="5"/>
      <c r="AI379" s="5"/>
      <c r="AJ379" s="5"/>
    </row>
    <row r="380">
      <c r="A380" s="5"/>
      <c r="B380" s="5"/>
      <c r="C380" s="5"/>
      <c r="D380" s="5"/>
      <c r="E380" s="11"/>
      <c r="F380" s="12"/>
      <c r="G380" s="5"/>
      <c r="H380" s="12"/>
      <c r="I380" s="12"/>
      <c r="J380" s="12"/>
      <c r="K380" s="12"/>
      <c r="L380" s="12"/>
      <c r="M380" s="12"/>
      <c r="N380" s="5"/>
      <c r="O380" s="5"/>
      <c r="P380" s="5"/>
      <c r="Q380" s="5"/>
      <c r="R380" s="5"/>
      <c r="S380" s="5"/>
      <c r="T380" s="5"/>
      <c r="U380" s="12"/>
      <c r="V380" s="5"/>
      <c r="W380" s="11"/>
      <c r="X380" s="11"/>
      <c r="Y380" s="13"/>
      <c r="Z380" s="5"/>
      <c r="AA380" s="14"/>
      <c r="AB380" s="5"/>
      <c r="AC380" s="5"/>
      <c r="AD380" s="5"/>
      <c r="AE380" s="5"/>
      <c r="AF380" s="5"/>
      <c r="AG380" s="5"/>
      <c r="AH380" s="5"/>
      <c r="AI380" s="5"/>
      <c r="AJ380" s="5"/>
    </row>
    <row r="381">
      <c r="A381" s="5"/>
      <c r="B381" s="5"/>
      <c r="C381" s="5"/>
      <c r="D381" s="5"/>
      <c r="E381" s="11"/>
      <c r="F381" s="12"/>
      <c r="G381" s="5"/>
      <c r="H381" s="12"/>
      <c r="I381" s="12"/>
      <c r="J381" s="12"/>
      <c r="K381" s="12"/>
      <c r="L381" s="12"/>
      <c r="M381" s="12"/>
      <c r="N381" s="5"/>
      <c r="O381" s="5"/>
      <c r="P381" s="5"/>
      <c r="Q381" s="5"/>
      <c r="R381" s="5"/>
      <c r="S381" s="5"/>
      <c r="T381" s="5"/>
      <c r="U381" s="12"/>
      <c r="V381" s="5"/>
      <c r="W381" s="11"/>
      <c r="X381" s="11"/>
      <c r="Y381" s="13"/>
      <c r="Z381" s="5"/>
      <c r="AA381" s="14"/>
      <c r="AB381" s="5"/>
      <c r="AC381" s="5"/>
      <c r="AD381" s="5"/>
      <c r="AE381" s="5"/>
      <c r="AF381" s="5"/>
      <c r="AG381" s="5"/>
      <c r="AH381" s="5"/>
      <c r="AI381" s="5"/>
      <c r="AJ381" s="5"/>
    </row>
    <row r="382">
      <c r="A382" s="5"/>
      <c r="B382" s="5"/>
      <c r="C382" s="5"/>
      <c r="D382" s="5"/>
      <c r="E382" s="11"/>
      <c r="F382" s="12"/>
      <c r="G382" s="5"/>
      <c r="H382" s="12"/>
      <c r="I382" s="12"/>
      <c r="J382" s="12"/>
      <c r="K382" s="12"/>
      <c r="L382" s="12"/>
      <c r="M382" s="12"/>
      <c r="N382" s="5"/>
      <c r="O382" s="5"/>
      <c r="P382" s="5"/>
      <c r="Q382" s="5"/>
      <c r="R382" s="5"/>
      <c r="S382" s="5"/>
      <c r="T382" s="5"/>
      <c r="U382" s="12"/>
      <c r="V382" s="5"/>
      <c r="W382" s="11"/>
      <c r="X382" s="11"/>
      <c r="Y382" s="13"/>
      <c r="Z382" s="5"/>
      <c r="AA382" s="14"/>
      <c r="AB382" s="5"/>
      <c r="AC382" s="5"/>
      <c r="AD382" s="5"/>
      <c r="AE382" s="5"/>
      <c r="AF382" s="5"/>
      <c r="AG382" s="5"/>
      <c r="AH382" s="5"/>
      <c r="AI382" s="5"/>
      <c r="AJ382" s="5"/>
    </row>
    <row r="383">
      <c r="A383" s="5"/>
      <c r="B383" s="5"/>
      <c r="C383" s="5"/>
      <c r="D383" s="5"/>
      <c r="E383" s="11"/>
      <c r="F383" s="12"/>
      <c r="G383" s="5"/>
      <c r="H383" s="12"/>
      <c r="I383" s="12"/>
      <c r="J383" s="12"/>
      <c r="K383" s="12"/>
      <c r="L383" s="12"/>
      <c r="M383" s="12"/>
      <c r="N383" s="5"/>
      <c r="O383" s="5"/>
      <c r="P383" s="5"/>
      <c r="Q383" s="5"/>
      <c r="R383" s="5"/>
      <c r="S383" s="5"/>
      <c r="T383" s="5"/>
      <c r="U383" s="12"/>
      <c r="V383" s="5"/>
      <c r="W383" s="11"/>
      <c r="X383" s="11"/>
      <c r="Y383" s="13"/>
      <c r="Z383" s="5"/>
      <c r="AA383" s="14"/>
      <c r="AB383" s="5"/>
      <c r="AC383" s="5"/>
      <c r="AD383" s="5"/>
      <c r="AE383" s="5"/>
      <c r="AF383" s="5"/>
      <c r="AG383" s="5"/>
      <c r="AH383" s="5"/>
      <c r="AI383" s="5"/>
      <c r="AJ383" s="5"/>
    </row>
    <row r="384">
      <c r="A384" s="5"/>
      <c r="B384" s="5"/>
      <c r="C384" s="5"/>
      <c r="D384" s="5"/>
      <c r="E384" s="11"/>
      <c r="F384" s="12"/>
      <c r="G384" s="5"/>
      <c r="H384" s="12"/>
      <c r="I384" s="12"/>
      <c r="J384" s="12"/>
      <c r="K384" s="12"/>
      <c r="L384" s="12"/>
      <c r="M384" s="12"/>
      <c r="N384" s="5"/>
      <c r="O384" s="5"/>
      <c r="P384" s="5"/>
      <c r="Q384" s="5"/>
      <c r="R384" s="5"/>
      <c r="S384" s="5"/>
      <c r="T384" s="5"/>
      <c r="U384" s="12"/>
      <c r="V384" s="5"/>
      <c r="W384" s="11"/>
      <c r="X384" s="11"/>
      <c r="Y384" s="13"/>
      <c r="Z384" s="5"/>
      <c r="AA384" s="14"/>
      <c r="AB384" s="5"/>
      <c r="AC384" s="5"/>
      <c r="AD384" s="5"/>
      <c r="AE384" s="5"/>
      <c r="AF384" s="5"/>
      <c r="AG384" s="5"/>
      <c r="AH384" s="5"/>
      <c r="AI384" s="5"/>
      <c r="AJ384" s="5"/>
    </row>
    <row r="385">
      <c r="A385" s="5"/>
      <c r="B385" s="5"/>
      <c r="C385" s="5"/>
      <c r="D385" s="5"/>
      <c r="E385" s="11"/>
      <c r="F385" s="12"/>
      <c r="G385" s="5"/>
      <c r="H385" s="12"/>
      <c r="I385" s="12"/>
      <c r="J385" s="12"/>
      <c r="K385" s="12"/>
      <c r="L385" s="12"/>
      <c r="M385" s="12"/>
      <c r="N385" s="5"/>
      <c r="O385" s="5"/>
      <c r="P385" s="5"/>
      <c r="Q385" s="5"/>
      <c r="R385" s="5"/>
      <c r="S385" s="5"/>
      <c r="T385" s="5"/>
      <c r="U385" s="12"/>
      <c r="V385" s="5"/>
      <c r="W385" s="11"/>
      <c r="X385" s="11"/>
      <c r="Y385" s="13"/>
      <c r="Z385" s="5"/>
      <c r="AA385" s="14"/>
      <c r="AB385" s="5"/>
      <c r="AC385" s="5"/>
      <c r="AD385" s="5"/>
      <c r="AE385" s="5"/>
      <c r="AF385" s="5"/>
      <c r="AG385" s="5"/>
      <c r="AH385" s="5"/>
      <c r="AI385" s="5"/>
      <c r="AJ385" s="5"/>
    </row>
    <row r="386">
      <c r="A386" s="5"/>
      <c r="B386" s="5"/>
      <c r="C386" s="5"/>
      <c r="D386" s="5"/>
      <c r="E386" s="11"/>
      <c r="F386" s="12"/>
      <c r="G386" s="5"/>
      <c r="H386" s="12"/>
      <c r="I386" s="12"/>
      <c r="J386" s="12"/>
      <c r="K386" s="12"/>
      <c r="L386" s="12"/>
      <c r="M386" s="12"/>
      <c r="N386" s="5"/>
      <c r="O386" s="5"/>
      <c r="P386" s="5"/>
      <c r="Q386" s="5"/>
      <c r="R386" s="5"/>
      <c r="S386" s="5"/>
      <c r="T386" s="5"/>
      <c r="U386" s="12"/>
      <c r="V386" s="5"/>
      <c r="W386" s="11"/>
      <c r="X386" s="11"/>
      <c r="Y386" s="13"/>
      <c r="Z386" s="5"/>
      <c r="AA386" s="14"/>
      <c r="AB386" s="5"/>
      <c r="AC386" s="5"/>
      <c r="AD386" s="5"/>
      <c r="AE386" s="5"/>
      <c r="AF386" s="5"/>
      <c r="AG386" s="5"/>
      <c r="AH386" s="5"/>
      <c r="AI386" s="5"/>
      <c r="AJ386" s="5"/>
    </row>
    <row r="387">
      <c r="A387" s="5"/>
      <c r="B387" s="5"/>
      <c r="C387" s="5"/>
      <c r="D387" s="5"/>
      <c r="E387" s="11"/>
      <c r="F387" s="12"/>
      <c r="G387" s="5"/>
      <c r="H387" s="12"/>
      <c r="I387" s="12"/>
      <c r="J387" s="12"/>
      <c r="K387" s="12"/>
      <c r="L387" s="12"/>
      <c r="M387" s="12"/>
      <c r="N387" s="5"/>
      <c r="O387" s="5"/>
      <c r="P387" s="5"/>
      <c r="Q387" s="5"/>
      <c r="R387" s="5"/>
      <c r="S387" s="5"/>
      <c r="T387" s="5"/>
      <c r="U387" s="12"/>
      <c r="V387" s="5"/>
      <c r="W387" s="11"/>
      <c r="X387" s="11"/>
      <c r="Y387" s="13"/>
      <c r="Z387" s="5"/>
      <c r="AA387" s="14"/>
      <c r="AB387" s="5"/>
      <c r="AC387" s="5"/>
      <c r="AD387" s="5"/>
      <c r="AE387" s="5"/>
      <c r="AF387" s="5"/>
      <c r="AG387" s="5"/>
      <c r="AH387" s="5"/>
      <c r="AI387" s="5"/>
      <c r="AJ387" s="5"/>
    </row>
    <row r="388">
      <c r="A388" s="5"/>
      <c r="B388" s="5"/>
      <c r="C388" s="5"/>
      <c r="D388" s="5"/>
      <c r="E388" s="11"/>
      <c r="F388" s="12"/>
      <c r="G388" s="5"/>
      <c r="H388" s="12"/>
      <c r="I388" s="12"/>
      <c r="J388" s="12"/>
      <c r="K388" s="12"/>
      <c r="L388" s="12"/>
      <c r="M388" s="12"/>
      <c r="N388" s="5"/>
      <c r="O388" s="5"/>
      <c r="P388" s="5"/>
      <c r="Q388" s="5"/>
      <c r="R388" s="5"/>
      <c r="S388" s="5"/>
      <c r="T388" s="5"/>
      <c r="U388" s="12"/>
      <c r="V388" s="5"/>
      <c r="W388" s="11"/>
      <c r="X388" s="11"/>
      <c r="Y388" s="13"/>
      <c r="Z388" s="5"/>
      <c r="AA388" s="14"/>
      <c r="AB388" s="5"/>
      <c r="AC388" s="5"/>
      <c r="AD388" s="5"/>
      <c r="AE388" s="5"/>
      <c r="AF388" s="5"/>
      <c r="AG388" s="5"/>
      <c r="AH388" s="5"/>
      <c r="AI388" s="5"/>
      <c r="AJ388" s="5"/>
    </row>
    <row r="389">
      <c r="A389" s="5"/>
      <c r="B389" s="5"/>
      <c r="C389" s="5"/>
      <c r="D389" s="5"/>
      <c r="E389" s="11"/>
      <c r="F389" s="12"/>
      <c r="G389" s="5"/>
      <c r="H389" s="12"/>
      <c r="I389" s="12"/>
      <c r="J389" s="12"/>
      <c r="K389" s="12"/>
      <c r="L389" s="12"/>
      <c r="M389" s="12"/>
      <c r="N389" s="5"/>
      <c r="O389" s="5"/>
      <c r="P389" s="5"/>
      <c r="Q389" s="5"/>
      <c r="R389" s="5"/>
      <c r="S389" s="5"/>
      <c r="T389" s="5"/>
      <c r="U389" s="12"/>
      <c r="V389" s="5"/>
      <c r="W389" s="11"/>
      <c r="X389" s="11"/>
      <c r="Y389" s="13"/>
      <c r="Z389" s="5"/>
      <c r="AA389" s="14"/>
      <c r="AB389" s="5"/>
      <c r="AC389" s="5"/>
      <c r="AD389" s="5"/>
      <c r="AE389" s="5"/>
      <c r="AF389" s="5"/>
      <c r="AG389" s="5"/>
      <c r="AH389" s="5"/>
      <c r="AI389" s="5"/>
      <c r="AJ389" s="5"/>
    </row>
    <row r="390">
      <c r="A390" s="5"/>
      <c r="B390" s="5"/>
      <c r="C390" s="5"/>
      <c r="D390" s="5"/>
      <c r="E390" s="11"/>
      <c r="F390" s="12"/>
      <c r="G390" s="5"/>
      <c r="H390" s="12"/>
      <c r="I390" s="12"/>
      <c r="J390" s="12"/>
      <c r="K390" s="12"/>
      <c r="L390" s="12"/>
      <c r="M390" s="12"/>
      <c r="N390" s="5"/>
      <c r="O390" s="5"/>
      <c r="P390" s="5"/>
      <c r="Q390" s="5"/>
      <c r="R390" s="5"/>
      <c r="S390" s="5"/>
      <c r="T390" s="5"/>
      <c r="U390" s="12"/>
      <c r="V390" s="5"/>
      <c r="W390" s="11"/>
      <c r="X390" s="11"/>
      <c r="Y390" s="13"/>
      <c r="Z390" s="5"/>
      <c r="AA390" s="14"/>
      <c r="AB390" s="5"/>
      <c r="AC390" s="5"/>
      <c r="AD390" s="5"/>
      <c r="AE390" s="5"/>
      <c r="AF390" s="5"/>
      <c r="AG390" s="5"/>
      <c r="AH390" s="5"/>
      <c r="AI390" s="5"/>
      <c r="AJ390" s="5"/>
    </row>
    <row r="391">
      <c r="A391" s="5"/>
      <c r="B391" s="5"/>
      <c r="C391" s="5"/>
      <c r="D391" s="5"/>
      <c r="E391" s="11"/>
      <c r="F391" s="12"/>
      <c r="G391" s="5"/>
      <c r="H391" s="12"/>
      <c r="I391" s="12"/>
      <c r="J391" s="12"/>
      <c r="K391" s="12"/>
      <c r="L391" s="12"/>
      <c r="M391" s="12"/>
      <c r="N391" s="5"/>
      <c r="O391" s="5"/>
      <c r="P391" s="5"/>
      <c r="Q391" s="5"/>
      <c r="R391" s="5"/>
      <c r="S391" s="5"/>
      <c r="T391" s="5"/>
      <c r="U391" s="12"/>
      <c r="V391" s="5"/>
      <c r="W391" s="11"/>
      <c r="X391" s="11"/>
      <c r="Y391" s="13"/>
      <c r="Z391" s="5"/>
      <c r="AA391" s="14"/>
      <c r="AB391" s="5"/>
      <c r="AC391" s="5"/>
      <c r="AD391" s="5"/>
      <c r="AE391" s="5"/>
      <c r="AF391" s="5"/>
      <c r="AG391" s="5"/>
      <c r="AH391" s="5"/>
      <c r="AI391" s="5"/>
      <c r="AJ391" s="5"/>
    </row>
    <row r="392">
      <c r="A392" s="5"/>
      <c r="B392" s="5"/>
      <c r="C392" s="5"/>
      <c r="D392" s="5"/>
      <c r="E392" s="11"/>
      <c r="F392" s="12"/>
      <c r="G392" s="5"/>
      <c r="H392" s="12"/>
      <c r="I392" s="12"/>
      <c r="J392" s="12"/>
      <c r="K392" s="12"/>
      <c r="L392" s="12"/>
      <c r="M392" s="12"/>
      <c r="N392" s="5"/>
      <c r="O392" s="5"/>
      <c r="P392" s="5"/>
      <c r="Q392" s="5"/>
      <c r="R392" s="5"/>
      <c r="S392" s="5"/>
      <c r="T392" s="5"/>
      <c r="U392" s="12"/>
      <c r="V392" s="5"/>
      <c r="W392" s="11"/>
      <c r="X392" s="11"/>
      <c r="Y392" s="13"/>
      <c r="Z392" s="5"/>
      <c r="AA392" s="14"/>
      <c r="AB392" s="5"/>
      <c r="AC392" s="5"/>
      <c r="AD392" s="5"/>
      <c r="AE392" s="5"/>
      <c r="AF392" s="5"/>
      <c r="AG392" s="5"/>
      <c r="AH392" s="5"/>
      <c r="AI392" s="5"/>
      <c r="AJ392" s="5"/>
    </row>
    <row r="393">
      <c r="A393" s="5"/>
      <c r="B393" s="5"/>
      <c r="C393" s="5"/>
      <c r="D393" s="5"/>
      <c r="E393" s="11"/>
      <c r="F393" s="12"/>
      <c r="G393" s="5"/>
      <c r="H393" s="12"/>
      <c r="I393" s="12"/>
      <c r="J393" s="12"/>
      <c r="K393" s="12"/>
      <c r="L393" s="12"/>
      <c r="M393" s="12"/>
      <c r="N393" s="5"/>
      <c r="O393" s="5"/>
      <c r="P393" s="5"/>
      <c r="Q393" s="5"/>
      <c r="R393" s="5"/>
      <c r="S393" s="5"/>
      <c r="T393" s="5"/>
      <c r="U393" s="12"/>
      <c r="V393" s="5"/>
      <c r="W393" s="11"/>
      <c r="X393" s="11"/>
      <c r="Y393" s="13"/>
      <c r="Z393" s="5"/>
      <c r="AA393" s="14"/>
      <c r="AB393" s="5"/>
      <c r="AC393" s="5"/>
      <c r="AD393" s="5"/>
      <c r="AE393" s="5"/>
      <c r="AF393" s="5"/>
      <c r="AG393" s="5"/>
      <c r="AH393" s="5"/>
      <c r="AI393" s="5"/>
      <c r="AJ393" s="5"/>
    </row>
    <row r="394">
      <c r="A394" s="5"/>
      <c r="B394" s="5"/>
      <c r="C394" s="5"/>
      <c r="D394" s="5"/>
      <c r="E394" s="11"/>
      <c r="F394" s="12"/>
      <c r="G394" s="5"/>
      <c r="H394" s="12"/>
      <c r="I394" s="12"/>
      <c r="J394" s="12"/>
      <c r="K394" s="12"/>
      <c r="L394" s="12"/>
      <c r="M394" s="12"/>
      <c r="N394" s="5"/>
      <c r="O394" s="5"/>
      <c r="P394" s="5"/>
      <c r="Q394" s="5"/>
      <c r="R394" s="5"/>
      <c r="S394" s="5"/>
      <c r="T394" s="5"/>
      <c r="U394" s="12"/>
      <c r="V394" s="5"/>
      <c r="W394" s="11"/>
      <c r="X394" s="11"/>
      <c r="Y394" s="13"/>
      <c r="Z394" s="5"/>
      <c r="AA394" s="14"/>
      <c r="AB394" s="5"/>
      <c r="AC394" s="5"/>
      <c r="AD394" s="5"/>
      <c r="AE394" s="5"/>
      <c r="AF394" s="5"/>
      <c r="AG394" s="5"/>
      <c r="AH394" s="5"/>
      <c r="AI394" s="5"/>
      <c r="AJ394" s="5"/>
    </row>
    <row r="395">
      <c r="A395" s="5"/>
      <c r="B395" s="5"/>
      <c r="C395" s="5"/>
      <c r="D395" s="5"/>
      <c r="E395" s="11"/>
      <c r="F395" s="12"/>
      <c r="G395" s="5"/>
      <c r="H395" s="12"/>
      <c r="I395" s="12"/>
      <c r="J395" s="12"/>
      <c r="K395" s="12"/>
      <c r="L395" s="12"/>
      <c r="M395" s="12"/>
      <c r="N395" s="5"/>
      <c r="O395" s="5"/>
      <c r="P395" s="5"/>
      <c r="Q395" s="5"/>
      <c r="R395" s="5"/>
      <c r="S395" s="5"/>
      <c r="T395" s="5"/>
      <c r="U395" s="12"/>
      <c r="V395" s="5"/>
      <c r="W395" s="11"/>
      <c r="X395" s="11"/>
      <c r="Y395" s="13"/>
      <c r="Z395" s="5"/>
      <c r="AA395" s="14"/>
      <c r="AB395" s="5"/>
      <c r="AC395" s="5"/>
      <c r="AD395" s="5"/>
      <c r="AE395" s="5"/>
      <c r="AF395" s="5"/>
      <c r="AG395" s="5"/>
      <c r="AH395" s="5"/>
      <c r="AI395" s="5"/>
      <c r="AJ395" s="5"/>
    </row>
    <row r="396">
      <c r="A396" s="5"/>
      <c r="B396" s="5"/>
      <c r="C396" s="5"/>
      <c r="D396" s="5"/>
      <c r="E396" s="11"/>
      <c r="F396" s="12"/>
      <c r="G396" s="5"/>
      <c r="H396" s="12"/>
      <c r="I396" s="12"/>
      <c r="J396" s="12"/>
      <c r="K396" s="12"/>
      <c r="L396" s="12"/>
      <c r="M396" s="12"/>
      <c r="N396" s="5"/>
      <c r="O396" s="5"/>
      <c r="P396" s="5"/>
      <c r="Q396" s="5"/>
      <c r="R396" s="5"/>
      <c r="S396" s="5"/>
      <c r="T396" s="5"/>
      <c r="U396" s="12"/>
      <c r="V396" s="5"/>
      <c r="W396" s="11"/>
      <c r="X396" s="11"/>
      <c r="Y396" s="13"/>
      <c r="Z396" s="5"/>
      <c r="AA396" s="14"/>
      <c r="AB396" s="5"/>
      <c r="AC396" s="5"/>
      <c r="AD396" s="5"/>
      <c r="AE396" s="5"/>
      <c r="AF396" s="5"/>
      <c r="AG396" s="5"/>
      <c r="AH396" s="5"/>
      <c r="AI396" s="5"/>
      <c r="AJ396" s="5"/>
    </row>
    <row r="397">
      <c r="A397" s="5"/>
      <c r="B397" s="5"/>
      <c r="C397" s="5"/>
      <c r="D397" s="5"/>
      <c r="E397" s="11"/>
      <c r="F397" s="12"/>
      <c r="G397" s="5"/>
      <c r="H397" s="12"/>
      <c r="I397" s="12"/>
      <c r="J397" s="12"/>
      <c r="K397" s="12"/>
      <c r="L397" s="12"/>
      <c r="M397" s="12"/>
      <c r="N397" s="5"/>
      <c r="O397" s="5"/>
      <c r="P397" s="5"/>
      <c r="Q397" s="5"/>
      <c r="R397" s="5"/>
      <c r="S397" s="5"/>
      <c r="T397" s="5"/>
      <c r="U397" s="12"/>
      <c r="V397" s="5"/>
      <c r="W397" s="11"/>
      <c r="X397" s="11"/>
      <c r="Y397" s="13"/>
      <c r="Z397" s="5"/>
      <c r="AA397" s="14"/>
      <c r="AB397" s="5"/>
      <c r="AC397" s="5"/>
      <c r="AD397" s="5"/>
      <c r="AE397" s="5"/>
      <c r="AF397" s="5"/>
      <c r="AG397" s="5"/>
      <c r="AH397" s="5"/>
      <c r="AI397" s="5"/>
      <c r="AJ397" s="5"/>
    </row>
    <row r="398">
      <c r="A398" s="5"/>
      <c r="B398" s="5"/>
      <c r="C398" s="5"/>
      <c r="D398" s="5"/>
      <c r="E398" s="11"/>
      <c r="F398" s="12"/>
      <c r="G398" s="5"/>
      <c r="H398" s="12"/>
      <c r="I398" s="12"/>
      <c r="J398" s="12"/>
      <c r="K398" s="12"/>
      <c r="L398" s="12"/>
      <c r="M398" s="12"/>
      <c r="N398" s="5"/>
      <c r="O398" s="5"/>
      <c r="P398" s="5"/>
      <c r="Q398" s="5"/>
      <c r="R398" s="5"/>
      <c r="S398" s="5"/>
      <c r="T398" s="5"/>
      <c r="U398" s="12"/>
      <c r="V398" s="5"/>
      <c r="W398" s="11"/>
      <c r="X398" s="11"/>
      <c r="Y398" s="13"/>
      <c r="Z398" s="5"/>
      <c r="AA398" s="14"/>
      <c r="AB398" s="5"/>
      <c r="AC398" s="5"/>
      <c r="AD398" s="5"/>
      <c r="AE398" s="5"/>
      <c r="AF398" s="5"/>
      <c r="AG398" s="5"/>
      <c r="AH398" s="5"/>
      <c r="AI398" s="5"/>
      <c r="AJ398" s="5"/>
    </row>
    <row r="399">
      <c r="A399" s="5"/>
      <c r="B399" s="5"/>
      <c r="C399" s="5"/>
      <c r="D399" s="5"/>
      <c r="E399" s="11"/>
      <c r="F399" s="12"/>
      <c r="G399" s="5"/>
      <c r="H399" s="12"/>
      <c r="I399" s="12"/>
      <c r="J399" s="12"/>
      <c r="K399" s="12"/>
      <c r="L399" s="12"/>
      <c r="M399" s="12"/>
      <c r="N399" s="5"/>
      <c r="O399" s="5"/>
      <c r="P399" s="5"/>
      <c r="Q399" s="5"/>
      <c r="R399" s="5"/>
      <c r="S399" s="5"/>
      <c r="T399" s="5"/>
      <c r="U399" s="12"/>
      <c r="V399" s="5"/>
      <c r="W399" s="11"/>
      <c r="X399" s="11"/>
      <c r="Y399" s="13"/>
      <c r="Z399" s="5"/>
      <c r="AA399" s="14"/>
      <c r="AB399" s="5"/>
      <c r="AC399" s="5"/>
      <c r="AD399" s="5"/>
      <c r="AE399" s="5"/>
      <c r="AF399" s="5"/>
      <c r="AG399" s="5"/>
      <c r="AH399" s="5"/>
      <c r="AI399" s="5"/>
      <c r="AJ399" s="5"/>
    </row>
    <row r="400">
      <c r="A400" s="5"/>
      <c r="B400" s="5"/>
      <c r="C400" s="5"/>
      <c r="D400" s="5"/>
      <c r="E400" s="11"/>
      <c r="F400" s="12"/>
      <c r="G400" s="5"/>
      <c r="H400" s="12"/>
      <c r="I400" s="12"/>
      <c r="J400" s="12"/>
      <c r="K400" s="12"/>
      <c r="L400" s="12"/>
      <c r="M400" s="12"/>
      <c r="N400" s="5"/>
      <c r="O400" s="5"/>
      <c r="P400" s="5"/>
      <c r="Q400" s="5"/>
      <c r="R400" s="5"/>
      <c r="S400" s="5"/>
      <c r="T400" s="5"/>
      <c r="U400" s="12"/>
      <c r="V400" s="5"/>
      <c r="W400" s="11"/>
      <c r="X400" s="11"/>
      <c r="Y400" s="13"/>
      <c r="Z400" s="5"/>
      <c r="AA400" s="14"/>
      <c r="AB400" s="5"/>
      <c r="AC400" s="5"/>
      <c r="AD400" s="5"/>
      <c r="AE400" s="5"/>
      <c r="AF400" s="5"/>
      <c r="AG400" s="5"/>
      <c r="AH400" s="5"/>
      <c r="AI400" s="5"/>
      <c r="AJ400" s="5"/>
    </row>
    <row r="401">
      <c r="A401" s="5"/>
      <c r="B401" s="5"/>
      <c r="C401" s="5"/>
      <c r="D401" s="5"/>
      <c r="E401" s="11"/>
      <c r="F401" s="12"/>
      <c r="G401" s="5"/>
      <c r="H401" s="12"/>
      <c r="I401" s="12"/>
      <c r="J401" s="12"/>
      <c r="K401" s="12"/>
      <c r="L401" s="12"/>
      <c r="M401" s="12"/>
      <c r="N401" s="5"/>
      <c r="O401" s="5"/>
      <c r="P401" s="5"/>
      <c r="Q401" s="5"/>
      <c r="R401" s="5"/>
      <c r="S401" s="5"/>
      <c r="T401" s="5"/>
      <c r="U401" s="12"/>
      <c r="V401" s="5"/>
      <c r="W401" s="11"/>
      <c r="X401" s="11"/>
      <c r="Y401" s="13"/>
      <c r="Z401" s="5"/>
      <c r="AA401" s="14"/>
      <c r="AB401" s="5"/>
      <c r="AC401" s="5"/>
      <c r="AD401" s="5"/>
      <c r="AE401" s="5"/>
      <c r="AF401" s="5"/>
      <c r="AG401" s="5"/>
      <c r="AH401" s="5"/>
      <c r="AI401" s="5"/>
      <c r="AJ401" s="5"/>
    </row>
    <row r="402">
      <c r="A402" s="5"/>
      <c r="B402" s="5"/>
      <c r="C402" s="5"/>
      <c r="D402" s="5"/>
      <c r="E402" s="11"/>
      <c r="F402" s="12"/>
      <c r="G402" s="5"/>
      <c r="H402" s="12"/>
      <c r="I402" s="12"/>
      <c r="J402" s="12"/>
      <c r="K402" s="12"/>
      <c r="L402" s="12"/>
      <c r="M402" s="12"/>
      <c r="N402" s="5"/>
      <c r="O402" s="5"/>
      <c r="P402" s="5"/>
      <c r="Q402" s="5"/>
      <c r="R402" s="5"/>
      <c r="S402" s="5"/>
      <c r="T402" s="5"/>
      <c r="U402" s="12"/>
      <c r="V402" s="5"/>
      <c r="W402" s="11"/>
      <c r="X402" s="11"/>
      <c r="Y402" s="13"/>
      <c r="Z402" s="5"/>
      <c r="AA402" s="14"/>
      <c r="AB402" s="5"/>
      <c r="AC402" s="5"/>
      <c r="AD402" s="5"/>
      <c r="AE402" s="5"/>
      <c r="AF402" s="5"/>
      <c r="AG402" s="5"/>
      <c r="AH402" s="5"/>
      <c r="AI402" s="5"/>
      <c r="AJ402" s="5"/>
    </row>
    <row r="403">
      <c r="A403" s="5"/>
      <c r="B403" s="5"/>
      <c r="C403" s="5"/>
      <c r="D403" s="5"/>
      <c r="E403" s="11"/>
      <c r="F403" s="12"/>
      <c r="G403" s="5"/>
      <c r="H403" s="12"/>
      <c r="I403" s="12"/>
      <c r="J403" s="12"/>
      <c r="K403" s="12"/>
      <c r="L403" s="12"/>
      <c r="M403" s="12"/>
      <c r="N403" s="5"/>
      <c r="O403" s="5"/>
      <c r="P403" s="5"/>
      <c r="Q403" s="5"/>
      <c r="R403" s="5"/>
      <c r="S403" s="5"/>
      <c r="T403" s="5"/>
      <c r="U403" s="12"/>
      <c r="V403" s="5"/>
      <c r="W403" s="11"/>
      <c r="X403" s="11"/>
      <c r="Y403" s="13"/>
      <c r="Z403" s="5"/>
      <c r="AA403" s="14"/>
      <c r="AB403" s="5"/>
      <c r="AC403" s="5"/>
      <c r="AD403" s="5"/>
      <c r="AE403" s="5"/>
      <c r="AF403" s="5"/>
      <c r="AG403" s="5"/>
      <c r="AH403" s="5"/>
      <c r="AI403" s="5"/>
      <c r="AJ403" s="5"/>
    </row>
    <row r="404">
      <c r="A404" s="5"/>
      <c r="B404" s="5"/>
      <c r="C404" s="5"/>
      <c r="D404" s="5"/>
      <c r="E404" s="11"/>
      <c r="F404" s="12"/>
      <c r="G404" s="5"/>
      <c r="H404" s="12"/>
      <c r="I404" s="12"/>
      <c r="J404" s="12"/>
      <c r="K404" s="12"/>
      <c r="L404" s="12"/>
      <c r="M404" s="12"/>
      <c r="N404" s="5"/>
      <c r="O404" s="5"/>
      <c r="P404" s="5"/>
      <c r="Q404" s="5"/>
      <c r="R404" s="5"/>
      <c r="S404" s="5"/>
      <c r="T404" s="5"/>
      <c r="U404" s="12"/>
      <c r="V404" s="5"/>
      <c r="W404" s="11"/>
      <c r="X404" s="11"/>
      <c r="Y404" s="13"/>
      <c r="Z404" s="5"/>
      <c r="AA404" s="14"/>
      <c r="AB404" s="5"/>
      <c r="AC404" s="5"/>
      <c r="AD404" s="5"/>
      <c r="AE404" s="5"/>
      <c r="AF404" s="5"/>
      <c r="AG404" s="5"/>
      <c r="AH404" s="5"/>
      <c r="AI404" s="5"/>
      <c r="AJ404" s="5"/>
    </row>
    <row r="405">
      <c r="A405" s="5"/>
      <c r="B405" s="5"/>
      <c r="C405" s="5"/>
      <c r="D405" s="5"/>
      <c r="E405" s="11"/>
      <c r="F405" s="12"/>
      <c r="G405" s="5"/>
      <c r="H405" s="12"/>
      <c r="I405" s="12"/>
      <c r="J405" s="12"/>
      <c r="K405" s="12"/>
      <c r="L405" s="12"/>
      <c r="M405" s="12"/>
      <c r="N405" s="5"/>
      <c r="O405" s="5"/>
      <c r="P405" s="5"/>
      <c r="Q405" s="5"/>
      <c r="R405" s="5"/>
      <c r="S405" s="5"/>
      <c r="T405" s="5"/>
      <c r="U405" s="12"/>
      <c r="V405" s="5"/>
      <c r="W405" s="11"/>
      <c r="X405" s="11"/>
      <c r="Y405" s="13"/>
      <c r="Z405" s="5"/>
      <c r="AA405" s="14"/>
      <c r="AB405" s="5"/>
      <c r="AC405" s="5"/>
      <c r="AD405" s="5"/>
      <c r="AE405" s="5"/>
      <c r="AF405" s="5"/>
      <c r="AG405" s="5"/>
      <c r="AH405" s="5"/>
      <c r="AI405" s="5"/>
      <c r="AJ405" s="5"/>
    </row>
    <row r="406">
      <c r="A406" s="5"/>
      <c r="B406" s="5"/>
      <c r="C406" s="5"/>
      <c r="D406" s="5"/>
      <c r="E406" s="11"/>
      <c r="F406" s="12"/>
      <c r="G406" s="5"/>
      <c r="H406" s="12"/>
      <c r="I406" s="12"/>
      <c r="J406" s="12"/>
      <c r="K406" s="12"/>
      <c r="L406" s="12"/>
      <c r="M406" s="12"/>
      <c r="N406" s="5"/>
      <c r="O406" s="5"/>
      <c r="P406" s="5"/>
      <c r="Q406" s="5"/>
      <c r="R406" s="5"/>
      <c r="S406" s="5"/>
      <c r="T406" s="5"/>
      <c r="U406" s="12"/>
      <c r="V406" s="5"/>
      <c r="W406" s="11"/>
      <c r="X406" s="11"/>
      <c r="Y406" s="13"/>
      <c r="Z406" s="5"/>
      <c r="AA406" s="14"/>
      <c r="AB406" s="5"/>
      <c r="AC406" s="5"/>
      <c r="AD406" s="5"/>
      <c r="AE406" s="5"/>
      <c r="AF406" s="5"/>
      <c r="AG406" s="5"/>
      <c r="AH406" s="5"/>
      <c r="AI406" s="5"/>
      <c r="AJ406" s="5"/>
    </row>
    <row r="407">
      <c r="A407" s="5"/>
      <c r="B407" s="5"/>
      <c r="C407" s="5"/>
      <c r="D407" s="5"/>
      <c r="E407" s="11"/>
      <c r="F407" s="12"/>
      <c r="G407" s="5"/>
      <c r="H407" s="12"/>
      <c r="I407" s="12"/>
      <c r="J407" s="12"/>
      <c r="K407" s="12"/>
      <c r="L407" s="12"/>
      <c r="M407" s="12"/>
      <c r="N407" s="5"/>
      <c r="O407" s="5"/>
      <c r="P407" s="5"/>
      <c r="Q407" s="5"/>
      <c r="R407" s="5"/>
      <c r="S407" s="5"/>
      <c r="T407" s="5"/>
      <c r="U407" s="12"/>
      <c r="V407" s="5"/>
      <c r="W407" s="11"/>
      <c r="X407" s="11"/>
      <c r="Y407" s="13"/>
      <c r="Z407" s="5"/>
      <c r="AA407" s="14"/>
      <c r="AB407" s="5"/>
      <c r="AC407" s="5"/>
      <c r="AD407" s="5"/>
      <c r="AE407" s="5"/>
      <c r="AF407" s="5"/>
      <c r="AG407" s="5"/>
      <c r="AH407" s="5"/>
      <c r="AI407" s="5"/>
      <c r="AJ407" s="5"/>
    </row>
    <row r="408">
      <c r="A408" s="5"/>
      <c r="B408" s="5"/>
      <c r="C408" s="5"/>
      <c r="D408" s="5"/>
      <c r="E408" s="11"/>
      <c r="F408" s="12"/>
      <c r="G408" s="5"/>
      <c r="H408" s="12"/>
      <c r="I408" s="12"/>
      <c r="J408" s="12"/>
      <c r="K408" s="12"/>
      <c r="L408" s="12"/>
      <c r="M408" s="12"/>
      <c r="N408" s="5"/>
      <c r="O408" s="5"/>
      <c r="P408" s="5"/>
      <c r="Q408" s="5"/>
      <c r="R408" s="5"/>
      <c r="S408" s="5"/>
      <c r="T408" s="5"/>
      <c r="U408" s="12"/>
      <c r="V408" s="5"/>
      <c r="W408" s="11"/>
      <c r="X408" s="11"/>
      <c r="Y408" s="13"/>
      <c r="Z408" s="5"/>
      <c r="AA408" s="14"/>
      <c r="AB408" s="5"/>
      <c r="AC408" s="5"/>
      <c r="AD408" s="5"/>
      <c r="AE408" s="5"/>
      <c r="AF408" s="5"/>
      <c r="AG408" s="5"/>
      <c r="AH408" s="5"/>
      <c r="AI408" s="5"/>
      <c r="AJ408" s="5"/>
    </row>
    <row r="409">
      <c r="A409" s="5"/>
      <c r="B409" s="5"/>
      <c r="C409" s="5"/>
      <c r="D409" s="5"/>
      <c r="E409" s="11"/>
      <c r="F409" s="12"/>
      <c r="G409" s="5"/>
      <c r="H409" s="12"/>
      <c r="I409" s="12"/>
      <c r="J409" s="12"/>
      <c r="K409" s="12"/>
      <c r="L409" s="12"/>
      <c r="M409" s="12"/>
      <c r="N409" s="5"/>
      <c r="O409" s="5"/>
      <c r="P409" s="5"/>
      <c r="Q409" s="5"/>
      <c r="R409" s="5"/>
      <c r="S409" s="5"/>
      <c r="T409" s="5"/>
      <c r="U409" s="12"/>
      <c r="V409" s="5"/>
      <c r="W409" s="11"/>
      <c r="X409" s="11"/>
      <c r="Y409" s="13"/>
      <c r="Z409" s="5"/>
      <c r="AA409" s="14"/>
      <c r="AB409" s="5"/>
      <c r="AC409" s="5"/>
      <c r="AD409" s="5"/>
      <c r="AE409" s="5"/>
      <c r="AF409" s="5"/>
      <c r="AG409" s="5"/>
      <c r="AH409" s="5"/>
      <c r="AI409" s="5"/>
      <c r="AJ409" s="5"/>
    </row>
    <row r="410">
      <c r="A410" s="5"/>
      <c r="B410" s="5"/>
      <c r="C410" s="5"/>
      <c r="D410" s="5"/>
      <c r="E410" s="11"/>
      <c r="F410" s="12"/>
      <c r="G410" s="5"/>
      <c r="H410" s="12"/>
      <c r="I410" s="12"/>
      <c r="J410" s="12"/>
      <c r="K410" s="12"/>
      <c r="L410" s="12"/>
      <c r="M410" s="12"/>
      <c r="N410" s="5"/>
      <c r="O410" s="5"/>
      <c r="P410" s="5"/>
      <c r="Q410" s="5"/>
      <c r="R410" s="5"/>
      <c r="S410" s="5"/>
      <c r="T410" s="5"/>
      <c r="U410" s="12"/>
      <c r="V410" s="5"/>
      <c r="W410" s="11"/>
      <c r="X410" s="11"/>
      <c r="Y410" s="13"/>
      <c r="Z410" s="5"/>
      <c r="AA410" s="14"/>
      <c r="AB410" s="5"/>
      <c r="AC410" s="5"/>
      <c r="AD410" s="5"/>
      <c r="AE410" s="5"/>
      <c r="AF410" s="5"/>
      <c r="AG410" s="5"/>
      <c r="AH410" s="5"/>
      <c r="AI410" s="5"/>
      <c r="AJ410" s="5"/>
    </row>
    <row r="411">
      <c r="A411" s="5"/>
      <c r="B411" s="5"/>
      <c r="C411" s="5"/>
      <c r="D411" s="5"/>
      <c r="E411" s="11"/>
      <c r="F411" s="12"/>
      <c r="G411" s="5"/>
      <c r="H411" s="12"/>
      <c r="I411" s="12"/>
      <c r="J411" s="12"/>
      <c r="K411" s="12"/>
      <c r="L411" s="12"/>
      <c r="M411" s="12"/>
      <c r="N411" s="5"/>
      <c r="O411" s="5"/>
      <c r="P411" s="5"/>
      <c r="Q411" s="5"/>
      <c r="R411" s="5"/>
      <c r="S411" s="5"/>
      <c r="T411" s="5"/>
      <c r="U411" s="12"/>
      <c r="V411" s="5"/>
      <c r="W411" s="11"/>
      <c r="X411" s="11"/>
      <c r="Y411" s="13"/>
      <c r="Z411" s="5"/>
      <c r="AA411" s="14"/>
      <c r="AB411" s="5"/>
      <c r="AC411" s="5"/>
      <c r="AD411" s="5"/>
      <c r="AE411" s="5"/>
      <c r="AF411" s="5"/>
      <c r="AG411" s="5"/>
      <c r="AH411" s="5"/>
      <c r="AI411" s="5"/>
      <c r="AJ411" s="5"/>
    </row>
    <row r="412">
      <c r="A412" s="5"/>
      <c r="B412" s="5"/>
      <c r="C412" s="5"/>
      <c r="D412" s="5"/>
      <c r="E412" s="11"/>
      <c r="F412" s="12"/>
      <c r="G412" s="5"/>
      <c r="H412" s="12"/>
      <c r="I412" s="12"/>
      <c r="J412" s="12"/>
      <c r="K412" s="12"/>
      <c r="L412" s="12"/>
      <c r="M412" s="12"/>
      <c r="N412" s="5"/>
      <c r="O412" s="5"/>
      <c r="P412" s="5"/>
      <c r="Q412" s="5"/>
      <c r="R412" s="5"/>
      <c r="S412" s="5"/>
      <c r="T412" s="5"/>
      <c r="U412" s="12"/>
      <c r="V412" s="5"/>
      <c r="W412" s="11"/>
      <c r="X412" s="11"/>
      <c r="Y412" s="13"/>
      <c r="Z412" s="5"/>
      <c r="AA412" s="14"/>
      <c r="AB412" s="5"/>
      <c r="AC412" s="5"/>
      <c r="AD412" s="5"/>
      <c r="AE412" s="5"/>
      <c r="AF412" s="5"/>
      <c r="AG412" s="5"/>
      <c r="AH412" s="5"/>
      <c r="AI412" s="5"/>
      <c r="AJ412" s="5"/>
    </row>
    <row r="413">
      <c r="A413" s="5"/>
      <c r="B413" s="5"/>
      <c r="C413" s="5"/>
      <c r="D413" s="5"/>
      <c r="E413" s="11"/>
      <c r="F413" s="12"/>
      <c r="G413" s="5"/>
      <c r="H413" s="12"/>
      <c r="I413" s="12"/>
      <c r="J413" s="12"/>
      <c r="K413" s="12"/>
      <c r="L413" s="12"/>
      <c r="M413" s="12"/>
      <c r="N413" s="5"/>
      <c r="O413" s="5"/>
      <c r="P413" s="5"/>
      <c r="Q413" s="5"/>
      <c r="R413" s="5"/>
      <c r="S413" s="5"/>
      <c r="T413" s="5"/>
      <c r="U413" s="12"/>
      <c r="V413" s="5"/>
      <c r="W413" s="11"/>
      <c r="X413" s="11"/>
      <c r="Y413" s="13"/>
      <c r="Z413" s="5"/>
      <c r="AA413" s="14"/>
      <c r="AB413" s="5"/>
      <c r="AC413" s="5"/>
      <c r="AD413" s="5"/>
      <c r="AE413" s="5"/>
      <c r="AF413" s="5"/>
      <c r="AG413" s="5"/>
      <c r="AH413" s="5"/>
      <c r="AI413" s="5"/>
      <c r="AJ413" s="5"/>
    </row>
    <row r="414">
      <c r="A414" s="5"/>
      <c r="B414" s="5"/>
      <c r="C414" s="5"/>
      <c r="D414" s="5"/>
      <c r="E414" s="11"/>
      <c r="F414" s="12"/>
      <c r="G414" s="5"/>
      <c r="H414" s="12"/>
      <c r="I414" s="12"/>
      <c r="J414" s="12"/>
      <c r="K414" s="12"/>
      <c r="L414" s="12"/>
      <c r="M414" s="12"/>
      <c r="N414" s="5"/>
      <c r="O414" s="5"/>
      <c r="P414" s="5"/>
      <c r="Q414" s="5"/>
      <c r="R414" s="5"/>
      <c r="S414" s="5"/>
      <c r="T414" s="5"/>
      <c r="U414" s="12"/>
      <c r="V414" s="5"/>
      <c r="W414" s="11"/>
      <c r="X414" s="11"/>
      <c r="Y414" s="13"/>
      <c r="Z414" s="5"/>
      <c r="AA414" s="14"/>
      <c r="AB414" s="5"/>
      <c r="AC414" s="5"/>
      <c r="AD414" s="5"/>
      <c r="AE414" s="5"/>
      <c r="AF414" s="5"/>
      <c r="AG414" s="5"/>
      <c r="AH414" s="5"/>
      <c r="AI414" s="5"/>
      <c r="AJ414" s="5"/>
    </row>
    <row r="415">
      <c r="A415" s="5"/>
      <c r="B415" s="5"/>
      <c r="C415" s="5"/>
      <c r="D415" s="5"/>
      <c r="E415" s="11"/>
      <c r="F415" s="12"/>
      <c r="G415" s="5"/>
      <c r="H415" s="12"/>
      <c r="I415" s="12"/>
      <c r="J415" s="12"/>
      <c r="K415" s="12"/>
      <c r="L415" s="12"/>
      <c r="M415" s="12"/>
      <c r="N415" s="5"/>
      <c r="O415" s="5"/>
      <c r="P415" s="5"/>
      <c r="Q415" s="5"/>
      <c r="R415" s="5"/>
      <c r="S415" s="5"/>
      <c r="T415" s="5"/>
      <c r="U415" s="12"/>
      <c r="V415" s="5"/>
      <c r="W415" s="11"/>
      <c r="X415" s="11"/>
      <c r="Y415" s="13"/>
      <c r="Z415" s="5"/>
      <c r="AA415" s="14"/>
      <c r="AB415" s="5"/>
      <c r="AC415" s="5"/>
      <c r="AD415" s="5"/>
      <c r="AE415" s="5"/>
      <c r="AF415" s="5"/>
      <c r="AG415" s="5"/>
      <c r="AH415" s="5"/>
      <c r="AI415" s="5"/>
      <c r="AJ415" s="5"/>
    </row>
    <row r="416">
      <c r="A416" s="5"/>
      <c r="B416" s="5"/>
      <c r="C416" s="5"/>
      <c r="D416" s="5"/>
      <c r="E416" s="11"/>
      <c r="F416" s="12"/>
      <c r="G416" s="5"/>
      <c r="H416" s="12"/>
      <c r="I416" s="12"/>
      <c r="J416" s="12"/>
      <c r="K416" s="12"/>
      <c r="L416" s="12"/>
      <c r="M416" s="12"/>
      <c r="N416" s="5"/>
      <c r="O416" s="5"/>
      <c r="P416" s="5"/>
      <c r="Q416" s="5"/>
      <c r="R416" s="5"/>
      <c r="S416" s="5"/>
      <c r="T416" s="5"/>
      <c r="U416" s="12"/>
      <c r="V416" s="5"/>
      <c r="W416" s="11"/>
      <c r="X416" s="11"/>
      <c r="Y416" s="13"/>
      <c r="Z416" s="5"/>
      <c r="AA416" s="14"/>
      <c r="AB416" s="5"/>
      <c r="AC416" s="5"/>
      <c r="AD416" s="5"/>
      <c r="AE416" s="5"/>
      <c r="AF416" s="5"/>
      <c r="AG416" s="5"/>
      <c r="AH416" s="5"/>
      <c r="AI416" s="5"/>
      <c r="AJ416" s="5"/>
    </row>
    <row r="417">
      <c r="A417" s="5"/>
      <c r="B417" s="5"/>
      <c r="C417" s="5"/>
      <c r="D417" s="5"/>
      <c r="E417" s="11"/>
      <c r="F417" s="12"/>
      <c r="G417" s="5"/>
      <c r="H417" s="12"/>
      <c r="I417" s="12"/>
      <c r="J417" s="12"/>
      <c r="K417" s="12"/>
      <c r="L417" s="12"/>
      <c r="M417" s="12"/>
      <c r="N417" s="5"/>
      <c r="O417" s="5"/>
      <c r="P417" s="5"/>
      <c r="Q417" s="5"/>
      <c r="R417" s="5"/>
      <c r="S417" s="5"/>
      <c r="T417" s="5"/>
      <c r="U417" s="12"/>
      <c r="V417" s="5"/>
      <c r="W417" s="11"/>
      <c r="X417" s="11"/>
      <c r="Y417" s="13"/>
      <c r="Z417" s="5"/>
      <c r="AA417" s="14"/>
      <c r="AB417" s="5"/>
      <c r="AC417" s="5"/>
      <c r="AD417" s="5"/>
      <c r="AE417" s="5"/>
      <c r="AF417" s="5"/>
      <c r="AG417" s="5"/>
      <c r="AH417" s="5"/>
      <c r="AI417" s="5"/>
      <c r="AJ417" s="5"/>
    </row>
    <row r="418">
      <c r="A418" s="5"/>
      <c r="B418" s="5"/>
      <c r="C418" s="5"/>
      <c r="D418" s="5"/>
      <c r="E418" s="11"/>
      <c r="F418" s="12"/>
      <c r="G418" s="5"/>
      <c r="H418" s="12"/>
      <c r="I418" s="12"/>
      <c r="J418" s="12"/>
      <c r="K418" s="12"/>
      <c r="L418" s="12"/>
      <c r="M418" s="12"/>
      <c r="N418" s="5"/>
      <c r="O418" s="5"/>
      <c r="P418" s="5"/>
      <c r="Q418" s="5"/>
      <c r="R418" s="5"/>
      <c r="S418" s="5"/>
      <c r="T418" s="5"/>
      <c r="U418" s="12"/>
      <c r="V418" s="5"/>
      <c r="W418" s="11"/>
      <c r="X418" s="11"/>
      <c r="Y418" s="13"/>
      <c r="Z418" s="5"/>
      <c r="AA418" s="14"/>
      <c r="AB418" s="5"/>
      <c r="AC418" s="5"/>
      <c r="AD418" s="5"/>
      <c r="AE418" s="5"/>
      <c r="AF418" s="5"/>
      <c r="AG418" s="5"/>
      <c r="AH418" s="5"/>
      <c r="AI418" s="5"/>
      <c r="AJ418" s="5"/>
    </row>
    <row r="419">
      <c r="A419" s="5"/>
      <c r="B419" s="5"/>
      <c r="C419" s="5"/>
      <c r="D419" s="5"/>
      <c r="E419" s="11"/>
      <c r="F419" s="12"/>
      <c r="G419" s="5"/>
      <c r="H419" s="12"/>
      <c r="I419" s="12"/>
      <c r="J419" s="12"/>
      <c r="K419" s="12"/>
      <c r="L419" s="12"/>
      <c r="M419" s="12"/>
      <c r="N419" s="5"/>
      <c r="O419" s="5"/>
      <c r="P419" s="5"/>
      <c r="Q419" s="5"/>
      <c r="R419" s="5"/>
      <c r="S419" s="5"/>
      <c r="T419" s="5"/>
      <c r="U419" s="12"/>
      <c r="V419" s="5"/>
      <c r="W419" s="11"/>
      <c r="X419" s="11"/>
      <c r="Y419" s="13"/>
      <c r="Z419" s="5"/>
      <c r="AA419" s="14"/>
      <c r="AB419" s="5"/>
      <c r="AC419" s="5"/>
      <c r="AD419" s="5"/>
      <c r="AE419" s="5"/>
      <c r="AF419" s="5"/>
      <c r="AG419" s="5"/>
      <c r="AH419" s="5"/>
      <c r="AI419" s="5"/>
      <c r="AJ419" s="5"/>
    </row>
    <row r="420">
      <c r="A420" s="5"/>
      <c r="B420" s="5"/>
      <c r="C420" s="5"/>
      <c r="D420" s="5"/>
      <c r="E420" s="11"/>
      <c r="F420" s="12"/>
      <c r="G420" s="5"/>
      <c r="H420" s="12"/>
      <c r="I420" s="12"/>
      <c r="J420" s="12"/>
      <c r="K420" s="12"/>
      <c r="L420" s="12"/>
      <c r="M420" s="12"/>
      <c r="N420" s="5"/>
      <c r="O420" s="5"/>
      <c r="P420" s="5"/>
      <c r="Q420" s="5"/>
      <c r="R420" s="5"/>
      <c r="S420" s="5"/>
      <c r="T420" s="5"/>
      <c r="U420" s="12"/>
      <c r="V420" s="5"/>
      <c r="W420" s="11"/>
      <c r="X420" s="11"/>
      <c r="Y420" s="13"/>
      <c r="Z420" s="5"/>
      <c r="AA420" s="14"/>
      <c r="AB420" s="5"/>
      <c r="AC420" s="5"/>
      <c r="AD420" s="5"/>
      <c r="AE420" s="5"/>
      <c r="AF420" s="5"/>
      <c r="AG420" s="5"/>
      <c r="AH420" s="5"/>
      <c r="AI420" s="5"/>
      <c r="AJ420" s="5"/>
    </row>
    <row r="421">
      <c r="A421" s="5"/>
      <c r="B421" s="5"/>
      <c r="C421" s="5"/>
      <c r="D421" s="5"/>
      <c r="E421" s="11"/>
      <c r="F421" s="12"/>
      <c r="G421" s="5"/>
      <c r="H421" s="12"/>
      <c r="I421" s="12"/>
      <c r="J421" s="12"/>
      <c r="K421" s="12"/>
      <c r="L421" s="12"/>
      <c r="M421" s="12"/>
      <c r="N421" s="5"/>
      <c r="O421" s="5"/>
      <c r="P421" s="5"/>
      <c r="Q421" s="5"/>
      <c r="R421" s="5"/>
      <c r="S421" s="5"/>
      <c r="T421" s="5"/>
      <c r="U421" s="12"/>
      <c r="V421" s="5"/>
      <c r="W421" s="11"/>
      <c r="X421" s="11"/>
      <c r="Y421" s="13"/>
      <c r="Z421" s="5"/>
      <c r="AA421" s="14"/>
      <c r="AB421" s="5"/>
      <c r="AC421" s="5"/>
      <c r="AD421" s="5"/>
      <c r="AE421" s="5"/>
      <c r="AF421" s="5"/>
      <c r="AG421" s="5"/>
      <c r="AH421" s="5"/>
      <c r="AI421" s="5"/>
      <c r="AJ421" s="5"/>
    </row>
    <row r="422">
      <c r="A422" s="5"/>
      <c r="B422" s="5"/>
      <c r="C422" s="5"/>
      <c r="D422" s="5"/>
      <c r="E422" s="11"/>
      <c r="F422" s="12"/>
      <c r="G422" s="5"/>
      <c r="H422" s="12"/>
      <c r="I422" s="12"/>
      <c r="J422" s="12"/>
      <c r="K422" s="12"/>
      <c r="L422" s="12"/>
      <c r="M422" s="12"/>
      <c r="N422" s="5"/>
      <c r="O422" s="5"/>
      <c r="P422" s="5"/>
      <c r="Q422" s="5"/>
      <c r="R422" s="5"/>
      <c r="S422" s="5"/>
      <c r="T422" s="5"/>
      <c r="U422" s="12"/>
      <c r="V422" s="5"/>
      <c r="W422" s="11"/>
      <c r="X422" s="11"/>
      <c r="Y422" s="13"/>
      <c r="Z422" s="5"/>
      <c r="AA422" s="14"/>
      <c r="AB422" s="5"/>
      <c r="AC422" s="5"/>
      <c r="AD422" s="5"/>
      <c r="AE422" s="5"/>
      <c r="AF422" s="5"/>
      <c r="AG422" s="5"/>
      <c r="AH422" s="5"/>
      <c r="AI422" s="5"/>
      <c r="AJ422" s="5"/>
    </row>
    <row r="423">
      <c r="A423" s="5"/>
      <c r="B423" s="5"/>
      <c r="C423" s="5"/>
      <c r="D423" s="5"/>
      <c r="E423" s="11"/>
      <c r="F423" s="12"/>
      <c r="G423" s="5"/>
      <c r="H423" s="12"/>
      <c r="I423" s="12"/>
      <c r="J423" s="12"/>
      <c r="K423" s="12"/>
      <c r="L423" s="12"/>
      <c r="M423" s="12"/>
      <c r="N423" s="5"/>
      <c r="O423" s="5"/>
      <c r="P423" s="5"/>
      <c r="Q423" s="5"/>
      <c r="R423" s="5"/>
      <c r="S423" s="5"/>
      <c r="T423" s="5"/>
      <c r="U423" s="12"/>
      <c r="V423" s="5"/>
      <c r="W423" s="11"/>
      <c r="X423" s="11"/>
      <c r="Y423" s="13"/>
      <c r="Z423" s="5"/>
      <c r="AA423" s="14"/>
      <c r="AB423" s="5"/>
      <c r="AC423" s="5"/>
      <c r="AD423" s="5"/>
      <c r="AE423" s="5"/>
      <c r="AF423" s="5"/>
      <c r="AG423" s="5"/>
      <c r="AH423" s="5"/>
      <c r="AI423" s="5"/>
      <c r="AJ423" s="5"/>
    </row>
    <row r="424">
      <c r="A424" s="5"/>
      <c r="B424" s="5"/>
      <c r="C424" s="5"/>
      <c r="D424" s="5"/>
      <c r="E424" s="11"/>
      <c r="F424" s="12"/>
      <c r="G424" s="5"/>
      <c r="H424" s="12"/>
      <c r="I424" s="12"/>
      <c r="J424" s="12"/>
      <c r="K424" s="12"/>
      <c r="L424" s="12"/>
      <c r="M424" s="12"/>
      <c r="N424" s="5"/>
      <c r="O424" s="5"/>
      <c r="P424" s="5"/>
      <c r="Q424" s="5"/>
      <c r="R424" s="5"/>
      <c r="S424" s="5"/>
      <c r="T424" s="5"/>
      <c r="U424" s="12"/>
      <c r="V424" s="5"/>
      <c r="W424" s="11"/>
      <c r="X424" s="11"/>
      <c r="Y424" s="13"/>
      <c r="Z424" s="5"/>
      <c r="AA424" s="14"/>
      <c r="AB424" s="5"/>
      <c r="AC424" s="5"/>
      <c r="AD424" s="5"/>
      <c r="AE424" s="5"/>
      <c r="AF424" s="5"/>
      <c r="AG424" s="5"/>
      <c r="AH424" s="5"/>
      <c r="AI424" s="5"/>
      <c r="AJ424" s="5"/>
    </row>
    <row r="425">
      <c r="A425" s="5"/>
      <c r="B425" s="5"/>
      <c r="C425" s="5"/>
      <c r="D425" s="5"/>
      <c r="E425" s="11"/>
      <c r="F425" s="12"/>
      <c r="G425" s="5"/>
      <c r="H425" s="12"/>
      <c r="I425" s="12"/>
      <c r="J425" s="12"/>
      <c r="K425" s="12"/>
      <c r="L425" s="12"/>
      <c r="M425" s="12"/>
      <c r="N425" s="5"/>
      <c r="O425" s="5"/>
      <c r="P425" s="5"/>
      <c r="Q425" s="5"/>
      <c r="R425" s="5"/>
      <c r="S425" s="5"/>
      <c r="T425" s="5"/>
      <c r="U425" s="12"/>
      <c r="V425" s="5"/>
      <c r="W425" s="11"/>
      <c r="X425" s="11"/>
      <c r="Y425" s="13"/>
      <c r="Z425" s="5"/>
      <c r="AA425" s="14"/>
      <c r="AB425" s="5"/>
      <c r="AC425" s="5"/>
      <c r="AD425" s="5"/>
      <c r="AE425" s="5"/>
      <c r="AF425" s="5"/>
      <c r="AG425" s="5"/>
      <c r="AH425" s="5"/>
      <c r="AI425" s="5"/>
      <c r="AJ425" s="5"/>
    </row>
    <row r="426">
      <c r="A426" s="5"/>
      <c r="B426" s="5"/>
      <c r="C426" s="5"/>
      <c r="D426" s="5"/>
      <c r="E426" s="11"/>
      <c r="F426" s="12"/>
      <c r="G426" s="5"/>
      <c r="H426" s="12"/>
      <c r="I426" s="12"/>
      <c r="J426" s="12"/>
      <c r="K426" s="12"/>
      <c r="L426" s="12"/>
      <c r="M426" s="12"/>
      <c r="N426" s="5"/>
      <c r="O426" s="5"/>
      <c r="P426" s="5"/>
      <c r="Q426" s="5"/>
      <c r="R426" s="5"/>
      <c r="S426" s="5"/>
      <c r="T426" s="5"/>
      <c r="U426" s="12"/>
      <c r="V426" s="5"/>
      <c r="W426" s="11"/>
      <c r="X426" s="11"/>
      <c r="Y426" s="13"/>
      <c r="Z426" s="5"/>
      <c r="AA426" s="14"/>
      <c r="AB426" s="5"/>
      <c r="AC426" s="5"/>
      <c r="AD426" s="5"/>
      <c r="AE426" s="5"/>
      <c r="AF426" s="5"/>
      <c r="AG426" s="5"/>
      <c r="AH426" s="5"/>
      <c r="AI426" s="5"/>
      <c r="AJ426" s="5"/>
    </row>
    <row r="427">
      <c r="A427" s="5"/>
      <c r="B427" s="5"/>
      <c r="C427" s="5"/>
      <c r="D427" s="5"/>
      <c r="E427" s="11"/>
      <c r="F427" s="12"/>
      <c r="G427" s="5"/>
      <c r="H427" s="12"/>
      <c r="I427" s="12"/>
      <c r="J427" s="12"/>
      <c r="K427" s="12"/>
      <c r="L427" s="12"/>
      <c r="M427" s="12"/>
      <c r="N427" s="5"/>
      <c r="O427" s="5"/>
      <c r="P427" s="5"/>
      <c r="Q427" s="5"/>
      <c r="R427" s="5"/>
      <c r="S427" s="5"/>
      <c r="T427" s="5"/>
      <c r="U427" s="12"/>
      <c r="V427" s="5"/>
      <c r="W427" s="11"/>
      <c r="X427" s="11"/>
      <c r="Y427" s="13"/>
      <c r="Z427" s="5"/>
      <c r="AA427" s="14"/>
      <c r="AB427" s="5"/>
      <c r="AC427" s="5"/>
      <c r="AD427" s="5"/>
      <c r="AE427" s="5"/>
      <c r="AF427" s="5"/>
      <c r="AG427" s="5"/>
      <c r="AH427" s="5"/>
      <c r="AI427" s="5"/>
      <c r="AJ427" s="5"/>
    </row>
    <row r="428">
      <c r="A428" s="5"/>
      <c r="B428" s="5"/>
      <c r="C428" s="5"/>
      <c r="D428" s="5"/>
      <c r="E428" s="11"/>
      <c r="F428" s="12"/>
      <c r="G428" s="5"/>
      <c r="H428" s="12"/>
      <c r="I428" s="12"/>
      <c r="J428" s="12"/>
      <c r="K428" s="12"/>
      <c r="L428" s="12"/>
      <c r="M428" s="12"/>
      <c r="N428" s="5"/>
      <c r="O428" s="5"/>
      <c r="P428" s="5"/>
      <c r="Q428" s="5"/>
      <c r="R428" s="5"/>
      <c r="S428" s="5"/>
      <c r="T428" s="5"/>
      <c r="U428" s="12"/>
      <c r="V428" s="5"/>
      <c r="W428" s="11"/>
      <c r="X428" s="11"/>
      <c r="Y428" s="13"/>
      <c r="Z428" s="5"/>
      <c r="AA428" s="14"/>
      <c r="AB428" s="5"/>
      <c r="AC428" s="5"/>
      <c r="AD428" s="5"/>
      <c r="AE428" s="5"/>
      <c r="AF428" s="5"/>
      <c r="AG428" s="5"/>
      <c r="AH428" s="5"/>
      <c r="AI428" s="5"/>
      <c r="AJ428" s="5"/>
    </row>
    <row r="429">
      <c r="A429" s="5"/>
      <c r="B429" s="5"/>
      <c r="C429" s="5"/>
      <c r="D429" s="5"/>
      <c r="E429" s="11"/>
      <c r="F429" s="12"/>
      <c r="G429" s="5"/>
      <c r="H429" s="12"/>
      <c r="I429" s="12"/>
      <c r="J429" s="12"/>
      <c r="K429" s="12"/>
      <c r="L429" s="12"/>
      <c r="M429" s="12"/>
      <c r="N429" s="5"/>
      <c r="O429" s="5"/>
      <c r="P429" s="5"/>
      <c r="Q429" s="5"/>
      <c r="R429" s="5"/>
      <c r="S429" s="5"/>
      <c r="T429" s="5"/>
      <c r="U429" s="12"/>
      <c r="V429" s="5"/>
      <c r="W429" s="11"/>
      <c r="X429" s="11"/>
      <c r="Y429" s="13"/>
      <c r="Z429" s="5"/>
      <c r="AA429" s="14"/>
      <c r="AB429" s="5"/>
      <c r="AC429" s="5"/>
      <c r="AD429" s="5"/>
      <c r="AE429" s="5"/>
      <c r="AF429" s="5"/>
      <c r="AG429" s="5"/>
      <c r="AH429" s="5"/>
      <c r="AI429" s="5"/>
      <c r="AJ429" s="5"/>
    </row>
    <row r="430">
      <c r="A430" s="5"/>
      <c r="B430" s="5"/>
      <c r="C430" s="5"/>
      <c r="D430" s="5"/>
      <c r="E430" s="11"/>
      <c r="F430" s="12"/>
      <c r="G430" s="5"/>
      <c r="H430" s="12"/>
      <c r="I430" s="12"/>
      <c r="J430" s="12"/>
      <c r="K430" s="12"/>
      <c r="L430" s="12"/>
      <c r="M430" s="12"/>
      <c r="N430" s="5"/>
      <c r="O430" s="5"/>
      <c r="P430" s="5"/>
      <c r="Q430" s="5"/>
      <c r="R430" s="5"/>
      <c r="S430" s="5"/>
      <c r="T430" s="5"/>
      <c r="U430" s="12"/>
      <c r="V430" s="5"/>
      <c r="W430" s="11"/>
      <c r="X430" s="11"/>
      <c r="Y430" s="13"/>
      <c r="Z430" s="5"/>
      <c r="AA430" s="14"/>
      <c r="AB430" s="5"/>
      <c r="AC430" s="5"/>
      <c r="AD430" s="5"/>
      <c r="AE430" s="5"/>
      <c r="AF430" s="5"/>
      <c r="AG430" s="5"/>
      <c r="AH430" s="5"/>
      <c r="AI430" s="5"/>
      <c r="AJ430" s="5"/>
    </row>
    <row r="431">
      <c r="A431" s="5"/>
      <c r="B431" s="5"/>
      <c r="C431" s="5"/>
      <c r="D431" s="5"/>
      <c r="E431" s="11"/>
      <c r="F431" s="12"/>
      <c r="G431" s="5"/>
      <c r="H431" s="12"/>
      <c r="I431" s="12"/>
      <c r="J431" s="12"/>
      <c r="K431" s="12"/>
      <c r="L431" s="12"/>
      <c r="M431" s="12"/>
      <c r="N431" s="5"/>
      <c r="O431" s="5"/>
      <c r="P431" s="5"/>
      <c r="Q431" s="5"/>
      <c r="R431" s="5"/>
      <c r="S431" s="5"/>
      <c r="T431" s="5"/>
      <c r="U431" s="12"/>
      <c r="V431" s="5"/>
      <c r="W431" s="11"/>
      <c r="X431" s="11"/>
      <c r="Y431" s="13"/>
      <c r="Z431" s="5"/>
      <c r="AA431" s="14"/>
      <c r="AB431" s="5"/>
      <c r="AC431" s="5"/>
      <c r="AD431" s="5"/>
      <c r="AE431" s="5"/>
      <c r="AF431" s="5"/>
      <c r="AG431" s="5"/>
      <c r="AH431" s="5"/>
      <c r="AI431" s="5"/>
      <c r="AJ431" s="5"/>
    </row>
    <row r="432">
      <c r="A432" s="5"/>
      <c r="B432" s="5"/>
      <c r="C432" s="5"/>
      <c r="D432" s="5"/>
      <c r="E432" s="11"/>
      <c r="F432" s="12"/>
      <c r="G432" s="5"/>
      <c r="H432" s="12"/>
      <c r="I432" s="12"/>
      <c r="J432" s="12"/>
      <c r="K432" s="12"/>
      <c r="L432" s="12"/>
      <c r="M432" s="12"/>
      <c r="N432" s="5"/>
      <c r="O432" s="5"/>
      <c r="P432" s="5"/>
      <c r="Q432" s="5"/>
      <c r="R432" s="5"/>
      <c r="S432" s="5"/>
      <c r="T432" s="5"/>
      <c r="U432" s="12"/>
      <c r="V432" s="5"/>
      <c r="W432" s="11"/>
      <c r="X432" s="11"/>
      <c r="Y432" s="13"/>
      <c r="Z432" s="5"/>
      <c r="AA432" s="14"/>
      <c r="AB432" s="5"/>
      <c r="AC432" s="5"/>
      <c r="AD432" s="5"/>
      <c r="AE432" s="5"/>
      <c r="AF432" s="5"/>
      <c r="AG432" s="5"/>
      <c r="AH432" s="5"/>
      <c r="AI432" s="5"/>
      <c r="AJ432" s="5"/>
    </row>
    <row r="433">
      <c r="A433" s="5"/>
      <c r="B433" s="5"/>
      <c r="C433" s="5"/>
      <c r="D433" s="5"/>
      <c r="E433" s="11"/>
      <c r="F433" s="12"/>
      <c r="G433" s="5"/>
      <c r="H433" s="12"/>
      <c r="I433" s="12"/>
      <c r="J433" s="12"/>
      <c r="K433" s="12"/>
      <c r="L433" s="12"/>
      <c r="M433" s="12"/>
      <c r="N433" s="5"/>
      <c r="O433" s="5"/>
      <c r="P433" s="5"/>
      <c r="Q433" s="5"/>
      <c r="R433" s="5"/>
      <c r="S433" s="5"/>
      <c r="T433" s="5"/>
      <c r="U433" s="12"/>
      <c r="V433" s="5"/>
      <c r="W433" s="11"/>
      <c r="X433" s="11"/>
      <c r="Y433" s="13"/>
      <c r="Z433" s="5"/>
      <c r="AA433" s="14"/>
      <c r="AB433" s="5"/>
      <c r="AC433" s="5"/>
      <c r="AD433" s="5"/>
      <c r="AE433" s="5"/>
      <c r="AF433" s="5"/>
      <c r="AG433" s="5"/>
      <c r="AH433" s="5"/>
      <c r="AI433" s="5"/>
      <c r="AJ433" s="5"/>
    </row>
    <row r="434">
      <c r="A434" s="5"/>
      <c r="B434" s="5"/>
      <c r="C434" s="5"/>
      <c r="D434" s="5"/>
      <c r="E434" s="11"/>
      <c r="F434" s="12"/>
      <c r="G434" s="5"/>
      <c r="H434" s="12"/>
      <c r="I434" s="12"/>
      <c r="J434" s="12"/>
      <c r="K434" s="12"/>
      <c r="L434" s="12"/>
      <c r="M434" s="12"/>
      <c r="N434" s="5"/>
      <c r="O434" s="5"/>
      <c r="P434" s="5"/>
      <c r="Q434" s="5"/>
      <c r="R434" s="5"/>
      <c r="S434" s="5"/>
      <c r="T434" s="5"/>
      <c r="U434" s="12"/>
      <c r="V434" s="5"/>
      <c r="W434" s="11"/>
      <c r="X434" s="11"/>
      <c r="Y434" s="13"/>
      <c r="Z434" s="5"/>
      <c r="AA434" s="14"/>
      <c r="AB434" s="5"/>
      <c r="AC434" s="5"/>
      <c r="AD434" s="5"/>
      <c r="AE434" s="5"/>
      <c r="AF434" s="5"/>
      <c r="AG434" s="5"/>
      <c r="AH434" s="5"/>
      <c r="AI434" s="5"/>
      <c r="AJ434" s="5"/>
    </row>
    <row r="435">
      <c r="A435" s="5"/>
      <c r="B435" s="5"/>
      <c r="C435" s="5"/>
      <c r="D435" s="5"/>
      <c r="E435" s="11"/>
      <c r="F435" s="12"/>
      <c r="G435" s="5"/>
      <c r="H435" s="12"/>
      <c r="I435" s="12"/>
      <c r="J435" s="12"/>
      <c r="K435" s="12"/>
      <c r="L435" s="12"/>
      <c r="M435" s="12"/>
      <c r="N435" s="5"/>
      <c r="O435" s="5"/>
      <c r="P435" s="5"/>
      <c r="Q435" s="5"/>
      <c r="R435" s="5"/>
      <c r="S435" s="5"/>
      <c r="T435" s="5"/>
      <c r="U435" s="12"/>
      <c r="V435" s="5"/>
      <c r="W435" s="11"/>
      <c r="X435" s="11"/>
      <c r="Y435" s="13"/>
      <c r="Z435" s="5"/>
      <c r="AA435" s="14"/>
      <c r="AB435" s="5"/>
      <c r="AC435" s="5"/>
      <c r="AD435" s="5"/>
      <c r="AE435" s="5"/>
      <c r="AF435" s="5"/>
      <c r="AG435" s="5"/>
      <c r="AH435" s="5"/>
      <c r="AI435" s="5"/>
      <c r="AJ435" s="5"/>
    </row>
    <row r="436">
      <c r="A436" s="5"/>
      <c r="B436" s="5"/>
      <c r="C436" s="5"/>
      <c r="D436" s="5"/>
      <c r="E436" s="11"/>
      <c r="F436" s="12"/>
      <c r="G436" s="5"/>
      <c r="H436" s="12"/>
      <c r="I436" s="12"/>
      <c r="J436" s="12"/>
      <c r="K436" s="12"/>
      <c r="L436" s="12"/>
      <c r="M436" s="12"/>
      <c r="N436" s="5"/>
      <c r="O436" s="5"/>
      <c r="P436" s="5"/>
      <c r="Q436" s="5"/>
      <c r="R436" s="5"/>
      <c r="S436" s="5"/>
      <c r="T436" s="5"/>
      <c r="U436" s="12"/>
      <c r="V436" s="5"/>
      <c r="W436" s="11"/>
      <c r="X436" s="11"/>
      <c r="Y436" s="13"/>
      <c r="Z436" s="5"/>
      <c r="AA436" s="14"/>
      <c r="AB436" s="5"/>
      <c r="AC436" s="5"/>
      <c r="AD436" s="5"/>
      <c r="AE436" s="5"/>
      <c r="AF436" s="5"/>
      <c r="AG436" s="5"/>
      <c r="AH436" s="5"/>
      <c r="AI436" s="5"/>
      <c r="AJ436" s="5"/>
    </row>
    <row r="437">
      <c r="A437" s="5"/>
      <c r="B437" s="5"/>
      <c r="C437" s="5"/>
      <c r="D437" s="5"/>
      <c r="E437" s="11"/>
      <c r="F437" s="12"/>
      <c r="G437" s="5"/>
      <c r="H437" s="12"/>
      <c r="I437" s="12"/>
      <c r="J437" s="12"/>
      <c r="K437" s="12"/>
      <c r="L437" s="12"/>
      <c r="M437" s="12"/>
      <c r="N437" s="5"/>
      <c r="O437" s="5"/>
      <c r="P437" s="5"/>
      <c r="Q437" s="5"/>
      <c r="R437" s="5"/>
      <c r="S437" s="5"/>
      <c r="T437" s="5"/>
      <c r="U437" s="12"/>
      <c r="V437" s="5"/>
      <c r="W437" s="11"/>
      <c r="X437" s="11"/>
      <c r="Y437" s="13"/>
      <c r="Z437" s="5"/>
      <c r="AA437" s="14"/>
      <c r="AB437" s="5"/>
      <c r="AC437" s="5"/>
      <c r="AD437" s="5"/>
      <c r="AE437" s="5"/>
      <c r="AF437" s="5"/>
      <c r="AG437" s="5"/>
      <c r="AH437" s="5"/>
      <c r="AI437" s="5"/>
      <c r="AJ437" s="5"/>
    </row>
    <row r="438">
      <c r="A438" s="5"/>
      <c r="B438" s="5"/>
      <c r="C438" s="5"/>
      <c r="D438" s="5"/>
      <c r="E438" s="11"/>
      <c r="F438" s="12"/>
      <c r="G438" s="5"/>
      <c r="H438" s="12"/>
      <c r="I438" s="12"/>
      <c r="J438" s="12"/>
      <c r="K438" s="12"/>
      <c r="L438" s="12"/>
      <c r="M438" s="12"/>
      <c r="N438" s="5"/>
      <c r="O438" s="5"/>
      <c r="P438" s="5"/>
      <c r="Q438" s="5"/>
      <c r="R438" s="5"/>
      <c r="S438" s="5"/>
      <c r="T438" s="5"/>
      <c r="U438" s="12"/>
      <c r="V438" s="5"/>
      <c r="W438" s="11"/>
      <c r="X438" s="11"/>
      <c r="Y438" s="13"/>
      <c r="Z438" s="5"/>
      <c r="AA438" s="14"/>
      <c r="AB438" s="5"/>
      <c r="AC438" s="5"/>
      <c r="AD438" s="5"/>
      <c r="AE438" s="5"/>
      <c r="AF438" s="5"/>
      <c r="AG438" s="5"/>
      <c r="AH438" s="5"/>
      <c r="AI438" s="5"/>
      <c r="AJ438" s="5"/>
    </row>
    <row r="439">
      <c r="A439" s="5"/>
      <c r="B439" s="5"/>
      <c r="C439" s="5"/>
      <c r="D439" s="5"/>
      <c r="E439" s="11"/>
      <c r="F439" s="12"/>
      <c r="G439" s="5"/>
      <c r="H439" s="12"/>
      <c r="I439" s="12"/>
      <c r="J439" s="12"/>
      <c r="K439" s="12"/>
      <c r="L439" s="12"/>
      <c r="M439" s="12"/>
      <c r="N439" s="5"/>
      <c r="O439" s="5"/>
      <c r="P439" s="5"/>
      <c r="Q439" s="5"/>
      <c r="R439" s="5"/>
      <c r="S439" s="5"/>
      <c r="T439" s="5"/>
      <c r="U439" s="12"/>
      <c r="V439" s="5"/>
      <c r="W439" s="11"/>
      <c r="X439" s="11"/>
      <c r="Y439" s="13"/>
      <c r="Z439" s="5"/>
      <c r="AA439" s="14"/>
      <c r="AB439" s="5"/>
      <c r="AC439" s="5"/>
      <c r="AD439" s="5"/>
      <c r="AE439" s="5"/>
      <c r="AF439" s="5"/>
      <c r="AG439" s="5"/>
      <c r="AH439" s="5"/>
      <c r="AI439" s="5"/>
      <c r="AJ439" s="5"/>
    </row>
    <row r="440">
      <c r="A440" s="5"/>
      <c r="B440" s="5"/>
      <c r="C440" s="5"/>
      <c r="D440" s="5"/>
      <c r="E440" s="11"/>
      <c r="F440" s="12"/>
      <c r="G440" s="5"/>
      <c r="H440" s="12"/>
      <c r="I440" s="12"/>
      <c r="J440" s="12"/>
      <c r="K440" s="12"/>
      <c r="L440" s="12"/>
      <c r="M440" s="12"/>
      <c r="N440" s="5"/>
      <c r="O440" s="5"/>
      <c r="P440" s="5"/>
      <c r="Q440" s="5"/>
      <c r="R440" s="5"/>
      <c r="S440" s="5"/>
      <c r="T440" s="5"/>
      <c r="U440" s="12"/>
      <c r="V440" s="5"/>
      <c r="W440" s="11"/>
      <c r="X440" s="11"/>
      <c r="Y440" s="13"/>
      <c r="Z440" s="5"/>
      <c r="AA440" s="14"/>
      <c r="AB440" s="5"/>
      <c r="AC440" s="5"/>
      <c r="AD440" s="5"/>
      <c r="AE440" s="5"/>
      <c r="AF440" s="5"/>
      <c r="AG440" s="5"/>
      <c r="AH440" s="5"/>
      <c r="AI440" s="5"/>
      <c r="AJ440" s="5"/>
    </row>
    <row r="441">
      <c r="A441" s="5"/>
      <c r="B441" s="5"/>
      <c r="C441" s="5"/>
      <c r="D441" s="5"/>
      <c r="E441" s="11"/>
      <c r="F441" s="12"/>
      <c r="G441" s="5"/>
      <c r="H441" s="12"/>
      <c r="I441" s="12"/>
      <c r="J441" s="12"/>
      <c r="K441" s="12"/>
      <c r="L441" s="12"/>
      <c r="M441" s="12"/>
      <c r="N441" s="5"/>
      <c r="O441" s="5"/>
      <c r="P441" s="5"/>
      <c r="Q441" s="5"/>
      <c r="R441" s="5"/>
      <c r="S441" s="5"/>
      <c r="T441" s="5"/>
      <c r="U441" s="12"/>
      <c r="V441" s="5"/>
      <c r="W441" s="11"/>
      <c r="X441" s="11"/>
      <c r="Y441" s="13"/>
      <c r="Z441" s="5"/>
      <c r="AA441" s="14"/>
      <c r="AB441" s="5"/>
      <c r="AC441" s="5"/>
      <c r="AD441" s="5"/>
      <c r="AE441" s="5"/>
      <c r="AF441" s="5"/>
      <c r="AG441" s="5"/>
      <c r="AH441" s="5"/>
      <c r="AI441" s="5"/>
      <c r="AJ441" s="5"/>
    </row>
    <row r="442">
      <c r="A442" s="5"/>
      <c r="B442" s="5"/>
      <c r="C442" s="5"/>
      <c r="D442" s="5"/>
      <c r="E442" s="11"/>
      <c r="F442" s="12"/>
      <c r="G442" s="5"/>
      <c r="H442" s="12"/>
      <c r="I442" s="12"/>
      <c r="J442" s="12"/>
      <c r="K442" s="12"/>
      <c r="L442" s="12"/>
      <c r="M442" s="12"/>
      <c r="N442" s="5"/>
      <c r="O442" s="5"/>
      <c r="P442" s="5"/>
      <c r="Q442" s="5"/>
      <c r="R442" s="5"/>
      <c r="S442" s="5"/>
      <c r="T442" s="5"/>
      <c r="U442" s="12"/>
      <c r="V442" s="5"/>
      <c r="W442" s="11"/>
      <c r="X442" s="11"/>
      <c r="Y442" s="13"/>
      <c r="Z442" s="5"/>
      <c r="AA442" s="14"/>
      <c r="AB442" s="5"/>
      <c r="AC442" s="5"/>
      <c r="AD442" s="5"/>
      <c r="AE442" s="5"/>
      <c r="AF442" s="5"/>
      <c r="AG442" s="5"/>
      <c r="AH442" s="5"/>
      <c r="AI442" s="5"/>
      <c r="AJ442" s="5"/>
    </row>
    <row r="443">
      <c r="A443" s="5"/>
      <c r="B443" s="5"/>
      <c r="C443" s="5"/>
      <c r="D443" s="5"/>
      <c r="E443" s="11"/>
      <c r="F443" s="12"/>
      <c r="G443" s="5"/>
      <c r="H443" s="12"/>
      <c r="I443" s="12"/>
      <c r="J443" s="12"/>
      <c r="K443" s="12"/>
      <c r="L443" s="12"/>
      <c r="M443" s="12"/>
      <c r="N443" s="5"/>
      <c r="O443" s="5"/>
      <c r="P443" s="5"/>
      <c r="Q443" s="5"/>
      <c r="R443" s="5"/>
      <c r="S443" s="5"/>
      <c r="T443" s="5"/>
      <c r="U443" s="12"/>
      <c r="V443" s="5"/>
      <c r="W443" s="11"/>
      <c r="X443" s="11"/>
      <c r="Y443" s="13"/>
      <c r="Z443" s="5"/>
      <c r="AA443" s="14"/>
      <c r="AB443" s="5"/>
      <c r="AC443" s="5"/>
      <c r="AD443" s="5"/>
      <c r="AE443" s="5"/>
      <c r="AF443" s="5"/>
      <c r="AG443" s="5"/>
      <c r="AH443" s="5"/>
      <c r="AI443" s="5"/>
      <c r="AJ443" s="5"/>
    </row>
    <row r="444">
      <c r="A444" s="5"/>
      <c r="B444" s="5"/>
      <c r="C444" s="5"/>
      <c r="D444" s="5"/>
      <c r="E444" s="11"/>
      <c r="F444" s="12"/>
      <c r="G444" s="5"/>
      <c r="H444" s="12"/>
      <c r="I444" s="12"/>
      <c r="J444" s="12"/>
      <c r="K444" s="12"/>
      <c r="L444" s="12"/>
      <c r="M444" s="12"/>
      <c r="N444" s="5"/>
      <c r="O444" s="5"/>
      <c r="P444" s="5"/>
      <c r="Q444" s="5"/>
      <c r="R444" s="5"/>
      <c r="S444" s="5"/>
      <c r="T444" s="5"/>
      <c r="U444" s="12"/>
      <c r="V444" s="5"/>
      <c r="W444" s="11"/>
      <c r="X444" s="11"/>
      <c r="Y444" s="13"/>
      <c r="Z444" s="5"/>
      <c r="AA444" s="14"/>
      <c r="AB444" s="5"/>
      <c r="AC444" s="5"/>
      <c r="AD444" s="5"/>
      <c r="AE444" s="5"/>
      <c r="AF444" s="5"/>
      <c r="AG444" s="5"/>
      <c r="AH444" s="5"/>
      <c r="AI444" s="5"/>
      <c r="AJ444" s="5"/>
    </row>
    <row r="445">
      <c r="A445" s="5"/>
      <c r="B445" s="5"/>
      <c r="C445" s="5"/>
      <c r="D445" s="5"/>
      <c r="E445" s="11"/>
      <c r="F445" s="12"/>
      <c r="G445" s="5"/>
      <c r="H445" s="12"/>
      <c r="I445" s="12"/>
      <c r="J445" s="12"/>
      <c r="K445" s="12"/>
      <c r="L445" s="12"/>
      <c r="M445" s="12"/>
      <c r="N445" s="5"/>
      <c r="O445" s="5"/>
      <c r="P445" s="5"/>
      <c r="Q445" s="5"/>
      <c r="R445" s="5"/>
      <c r="S445" s="5"/>
      <c r="T445" s="5"/>
      <c r="U445" s="12"/>
      <c r="V445" s="5"/>
      <c r="W445" s="11"/>
      <c r="X445" s="11"/>
      <c r="Y445" s="13"/>
      <c r="Z445" s="5"/>
      <c r="AA445" s="14"/>
      <c r="AB445" s="5"/>
      <c r="AC445" s="5"/>
      <c r="AD445" s="5"/>
      <c r="AE445" s="5"/>
      <c r="AF445" s="5"/>
      <c r="AG445" s="5"/>
      <c r="AH445" s="5"/>
      <c r="AI445" s="5"/>
      <c r="AJ445" s="5"/>
    </row>
    <row r="446">
      <c r="A446" s="5"/>
      <c r="B446" s="5"/>
      <c r="C446" s="5"/>
      <c r="D446" s="5"/>
      <c r="E446" s="11"/>
      <c r="F446" s="12"/>
      <c r="G446" s="5"/>
      <c r="H446" s="12"/>
      <c r="I446" s="12"/>
      <c r="J446" s="12"/>
      <c r="K446" s="12"/>
      <c r="L446" s="12"/>
      <c r="M446" s="12"/>
      <c r="N446" s="5"/>
      <c r="O446" s="5"/>
      <c r="P446" s="5"/>
      <c r="Q446" s="5"/>
      <c r="R446" s="5"/>
      <c r="S446" s="5"/>
      <c r="T446" s="5"/>
      <c r="U446" s="12"/>
      <c r="V446" s="5"/>
      <c r="W446" s="11"/>
      <c r="X446" s="11"/>
      <c r="Y446" s="13"/>
      <c r="Z446" s="5"/>
      <c r="AA446" s="14"/>
      <c r="AB446" s="5"/>
      <c r="AC446" s="5"/>
      <c r="AD446" s="5"/>
      <c r="AE446" s="5"/>
      <c r="AF446" s="5"/>
      <c r="AG446" s="5"/>
      <c r="AH446" s="5"/>
      <c r="AI446" s="5"/>
      <c r="AJ446" s="5"/>
    </row>
    <row r="447">
      <c r="A447" s="5"/>
      <c r="B447" s="5"/>
      <c r="C447" s="5"/>
      <c r="D447" s="5"/>
      <c r="E447" s="11"/>
      <c r="F447" s="12"/>
      <c r="G447" s="5"/>
      <c r="H447" s="12"/>
      <c r="I447" s="12"/>
      <c r="J447" s="12"/>
      <c r="K447" s="12"/>
      <c r="L447" s="12"/>
      <c r="M447" s="12"/>
      <c r="N447" s="5"/>
      <c r="O447" s="5"/>
      <c r="P447" s="5"/>
      <c r="Q447" s="5"/>
      <c r="R447" s="5"/>
      <c r="S447" s="5"/>
      <c r="T447" s="5"/>
      <c r="U447" s="12"/>
      <c r="V447" s="5"/>
      <c r="W447" s="11"/>
      <c r="X447" s="11"/>
      <c r="Y447" s="13"/>
      <c r="Z447" s="5"/>
      <c r="AA447" s="14"/>
      <c r="AB447" s="5"/>
      <c r="AC447" s="5"/>
      <c r="AD447" s="5"/>
      <c r="AE447" s="5"/>
      <c r="AF447" s="5"/>
      <c r="AG447" s="5"/>
      <c r="AH447" s="5"/>
      <c r="AI447" s="5"/>
      <c r="AJ447" s="5"/>
    </row>
    <row r="448">
      <c r="A448" s="5"/>
      <c r="B448" s="5"/>
      <c r="C448" s="5"/>
      <c r="D448" s="5"/>
      <c r="E448" s="11"/>
      <c r="F448" s="12"/>
      <c r="G448" s="5"/>
      <c r="H448" s="12"/>
      <c r="I448" s="12"/>
      <c r="J448" s="12"/>
      <c r="K448" s="12"/>
      <c r="L448" s="12"/>
      <c r="M448" s="12"/>
      <c r="N448" s="5"/>
      <c r="O448" s="5"/>
      <c r="P448" s="5"/>
      <c r="Q448" s="5"/>
      <c r="R448" s="5"/>
      <c r="S448" s="5"/>
      <c r="T448" s="5"/>
      <c r="U448" s="12"/>
      <c r="V448" s="5"/>
      <c r="W448" s="11"/>
      <c r="X448" s="11"/>
      <c r="Y448" s="13"/>
      <c r="Z448" s="5"/>
      <c r="AA448" s="14"/>
      <c r="AB448" s="5"/>
      <c r="AC448" s="5"/>
      <c r="AD448" s="5"/>
      <c r="AE448" s="5"/>
      <c r="AF448" s="5"/>
      <c r="AG448" s="5"/>
      <c r="AH448" s="5"/>
      <c r="AI448" s="5"/>
      <c r="AJ448" s="5"/>
    </row>
    <row r="449">
      <c r="A449" s="5"/>
      <c r="B449" s="5"/>
      <c r="C449" s="5"/>
      <c r="D449" s="5"/>
      <c r="E449" s="11"/>
      <c r="F449" s="12"/>
      <c r="G449" s="5"/>
      <c r="H449" s="12"/>
      <c r="I449" s="12"/>
      <c r="J449" s="12"/>
      <c r="K449" s="12"/>
      <c r="L449" s="12"/>
      <c r="M449" s="12"/>
      <c r="N449" s="5"/>
      <c r="O449" s="5"/>
      <c r="P449" s="5"/>
      <c r="Q449" s="5"/>
      <c r="R449" s="5"/>
      <c r="S449" s="5"/>
      <c r="T449" s="5"/>
      <c r="U449" s="12"/>
      <c r="V449" s="5"/>
      <c r="W449" s="11"/>
      <c r="X449" s="11"/>
      <c r="Y449" s="13"/>
      <c r="Z449" s="5"/>
      <c r="AA449" s="14"/>
      <c r="AB449" s="5"/>
      <c r="AC449" s="5"/>
      <c r="AD449" s="5"/>
      <c r="AE449" s="5"/>
      <c r="AF449" s="5"/>
      <c r="AG449" s="5"/>
      <c r="AH449" s="5"/>
      <c r="AI449" s="5"/>
      <c r="AJ449" s="5"/>
    </row>
    <row r="450">
      <c r="A450" s="5"/>
      <c r="B450" s="5"/>
      <c r="C450" s="5"/>
      <c r="D450" s="5"/>
      <c r="E450" s="11"/>
      <c r="F450" s="12"/>
      <c r="G450" s="5"/>
      <c r="H450" s="12"/>
      <c r="I450" s="12"/>
      <c r="J450" s="12"/>
      <c r="K450" s="12"/>
      <c r="L450" s="12"/>
      <c r="M450" s="12"/>
      <c r="N450" s="5"/>
      <c r="O450" s="5"/>
      <c r="P450" s="5"/>
      <c r="Q450" s="5"/>
      <c r="R450" s="5"/>
      <c r="S450" s="5"/>
      <c r="T450" s="5"/>
      <c r="U450" s="12"/>
      <c r="V450" s="5"/>
      <c r="W450" s="11"/>
      <c r="X450" s="11"/>
      <c r="Y450" s="13"/>
      <c r="Z450" s="5"/>
      <c r="AA450" s="14"/>
      <c r="AB450" s="5"/>
      <c r="AC450" s="5"/>
      <c r="AD450" s="5"/>
      <c r="AE450" s="5"/>
      <c r="AF450" s="5"/>
      <c r="AG450" s="5"/>
      <c r="AH450" s="5"/>
      <c r="AI450" s="5"/>
      <c r="AJ450" s="5"/>
    </row>
    <row r="451">
      <c r="A451" s="5"/>
      <c r="B451" s="5"/>
      <c r="C451" s="5"/>
      <c r="D451" s="5"/>
      <c r="E451" s="11"/>
      <c r="F451" s="12"/>
      <c r="G451" s="5"/>
      <c r="H451" s="12"/>
      <c r="I451" s="12"/>
      <c r="J451" s="12"/>
      <c r="K451" s="12"/>
      <c r="L451" s="12"/>
      <c r="M451" s="12"/>
      <c r="N451" s="5"/>
      <c r="O451" s="5"/>
      <c r="P451" s="5"/>
      <c r="Q451" s="5"/>
      <c r="R451" s="5"/>
      <c r="S451" s="5"/>
      <c r="T451" s="5"/>
      <c r="U451" s="12"/>
      <c r="V451" s="5"/>
      <c r="W451" s="11"/>
      <c r="X451" s="11"/>
      <c r="Y451" s="13"/>
      <c r="Z451" s="5"/>
      <c r="AA451" s="14"/>
      <c r="AB451" s="5"/>
      <c r="AC451" s="5"/>
      <c r="AD451" s="5"/>
      <c r="AE451" s="5"/>
      <c r="AF451" s="5"/>
      <c r="AG451" s="5"/>
      <c r="AH451" s="5"/>
      <c r="AI451" s="5"/>
      <c r="AJ451" s="5"/>
    </row>
    <row r="452">
      <c r="A452" s="5"/>
      <c r="B452" s="5"/>
      <c r="C452" s="5"/>
      <c r="D452" s="5"/>
      <c r="E452" s="11"/>
      <c r="F452" s="12"/>
      <c r="G452" s="5"/>
      <c r="H452" s="12"/>
      <c r="I452" s="12"/>
      <c r="J452" s="12"/>
      <c r="K452" s="12"/>
      <c r="L452" s="12"/>
      <c r="M452" s="12"/>
      <c r="N452" s="5"/>
      <c r="O452" s="5"/>
      <c r="P452" s="5"/>
      <c r="Q452" s="5"/>
      <c r="R452" s="5"/>
      <c r="S452" s="5"/>
      <c r="T452" s="5"/>
      <c r="U452" s="12"/>
      <c r="V452" s="5"/>
      <c r="W452" s="11"/>
      <c r="X452" s="11"/>
      <c r="Y452" s="13"/>
      <c r="Z452" s="5"/>
      <c r="AA452" s="14"/>
      <c r="AB452" s="5"/>
      <c r="AC452" s="5"/>
      <c r="AD452" s="5"/>
      <c r="AE452" s="5"/>
      <c r="AF452" s="5"/>
      <c r="AG452" s="5"/>
      <c r="AH452" s="5"/>
      <c r="AI452" s="5"/>
      <c r="AJ452" s="5"/>
    </row>
    <row r="453">
      <c r="A453" s="5"/>
      <c r="B453" s="5"/>
      <c r="C453" s="5"/>
      <c r="D453" s="5"/>
      <c r="E453" s="11"/>
      <c r="F453" s="12"/>
      <c r="G453" s="5"/>
      <c r="H453" s="12"/>
      <c r="I453" s="12"/>
      <c r="J453" s="12"/>
      <c r="K453" s="12"/>
      <c r="L453" s="12"/>
      <c r="M453" s="12"/>
      <c r="N453" s="5"/>
      <c r="O453" s="5"/>
      <c r="P453" s="5"/>
      <c r="Q453" s="5"/>
      <c r="R453" s="5"/>
      <c r="S453" s="5"/>
      <c r="T453" s="5"/>
      <c r="U453" s="12"/>
      <c r="V453" s="5"/>
      <c r="W453" s="11"/>
      <c r="X453" s="11"/>
      <c r="Y453" s="13"/>
      <c r="Z453" s="5"/>
      <c r="AA453" s="14"/>
      <c r="AB453" s="5"/>
      <c r="AC453" s="5"/>
      <c r="AD453" s="5"/>
      <c r="AE453" s="5"/>
      <c r="AF453" s="5"/>
      <c r="AG453" s="5"/>
      <c r="AH453" s="5"/>
      <c r="AI453" s="5"/>
      <c r="AJ453" s="5"/>
    </row>
    <row r="454">
      <c r="A454" s="5"/>
      <c r="B454" s="5"/>
      <c r="C454" s="5"/>
      <c r="D454" s="5"/>
      <c r="E454" s="11"/>
      <c r="F454" s="12"/>
      <c r="G454" s="5"/>
      <c r="H454" s="12"/>
      <c r="I454" s="12"/>
      <c r="J454" s="12"/>
      <c r="K454" s="12"/>
      <c r="L454" s="12"/>
      <c r="M454" s="12"/>
      <c r="N454" s="5"/>
      <c r="O454" s="5"/>
      <c r="P454" s="5"/>
      <c r="Q454" s="5"/>
      <c r="R454" s="5"/>
      <c r="S454" s="5"/>
      <c r="T454" s="5"/>
      <c r="U454" s="12"/>
      <c r="V454" s="5"/>
      <c r="W454" s="11"/>
      <c r="X454" s="11"/>
      <c r="Y454" s="13"/>
      <c r="Z454" s="5"/>
      <c r="AA454" s="14"/>
      <c r="AB454" s="5"/>
      <c r="AC454" s="5"/>
      <c r="AD454" s="5"/>
      <c r="AE454" s="5"/>
      <c r="AF454" s="5"/>
      <c r="AG454" s="5"/>
      <c r="AH454" s="5"/>
      <c r="AI454" s="5"/>
      <c r="AJ454" s="5"/>
    </row>
    <row r="455">
      <c r="A455" s="5"/>
      <c r="B455" s="5"/>
      <c r="C455" s="5"/>
      <c r="D455" s="5"/>
      <c r="E455" s="11"/>
      <c r="F455" s="12"/>
      <c r="G455" s="5"/>
      <c r="H455" s="12"/>
      <c r="I455" s="12"/>
      <c r="J455" s="12"/>
      <c r="K455" s="12"/>
      <c r="L455" s="12"/>
      <c r="M455" s="12"/>
      <c r="N455" s="5"/>
      <c r="O455" s="5"/>
      <c r="P455" s="5"/>
      <c r="Q455" s="5"/>
      <c r="R455" s="5"/>
      <c r="S455" s="5"/>
      <c r="T455" s="5"/>
      <c r="U455" s="12"/>
      <c r="V455" s="5"/>
      <c r="W455" s="11"/>
      <c r="X455" s="11"/>
      <c r="Y455" s="13"/>
      <c r="Z455" s="5"/>
      <c r="AA455" s="14"/>
      <c r="AB455" s="5"/>
      <c r="AC455" s="5"/>
      <c r="AD455" s="5"/>
      <c r="AE455" s="5"/>
      <c r="AF455" s="5"/>
      <c r="AG455" s="5"/>
      <c r="AH455" s="5"/>
      <c r="AI455" s="5"/>
      <c r="AJ455" s="5"/>
    </row>
    <row r="456">
      <c r="A456" s="5"/>
      <c r="B456" s="5"/>
      <c r="C456" s="5"/>
      <c r="D456" s="5"/>
      <c r="E456" s="11"/>
      <c r="F456" s="12"/>
      <c r="G456" s="5"/>
      <c r="H456" s="12"/>
      <c r="I456" s="12"/>
      <c r="J456" s="12"/>
      <c r="K456" s="12"/>
      <c r="L456" s="12"/>
      <c r="M456" s="12"/>
      <c r="N456" s="5"/>
      <c r="O456" s="5"/>
      <c r="P456" s="5"/>
      <c r="Q456" s="5"/>
      <c r="R456" s="5"/>
      <c r="S456" s="5"/>
      <c r="T456" s="5"/>
      <c r="U456" s="12"/>
      <c r="V456" s="5"/>
      <c r="W456" s="11"/>
      <c r="X456" s="11"/>
      <c r="Y456" s="13"/>
      <c r="Z456" s="5"/>
      <c r="AA456" s="14"/>
      <c r="AB456" s="5"/>
      <c r="AC456" s="5"/>
      <c r="AD456" s="5"/>
      <c r="AE456" s="5"/>
      <c r="AF456" s="5"/>
      <c r="AG456" s="5"/>
      <c r="AH456" s="5"/>
      <c r="AI456" s="5"/>
      <c r="AJ456" s="5"/>
    </row>
    <row r="457">
      <c r="A457" s="5"/>
      <c r="B457" s="5"/>
      <c r="C457" s="5"/>
      <c r="D457" s="5"/>
      <c r="E457" s="11"/>
      <c r="F457" s="12"/>
      <c r="G457" s="5"/>
      <c r="H457" s="12"/>
      <c r="I457" s="12"/>
      <c r="J457" s="12"/>
      <c r="K457" s="12"/>
      <c r="L457" s="12"/>
      <c r="M457" s="12"/>
      <c r="N457" s="5"/>
      <c r="O457" s="5"/>
      <c r="P457" s="5"/>
      <c r="Q457" s="5"/>
      <c r="R457" s="5"/>
      <c r="S457" s="5"/>
      <c r="T457" s="5"/>
      <c r="U457" s="12"/>
      <c r="V457" s="5"/>
      <c r="W457" s="11"/>
      <c r="X457" s="11"/>
      <c r="Y457" s="13"/>
      <c r="Z457" s="5"/>
      <c r="AA457" s="14"/>
      <c r="AB457" s="5"/>
      <c r="AC457" s="5"/>
      <c r="AD457" s="5"/>
      <c r="AE457" s="5"/>
      <c r="AF457" s="5"/>
      <c r="AG457" s="5"/>
      <c r="AH457" s="5"/>
      <c r="AI457" s="5"/>
      <c r="AJ457" s="5"/>
    </row>
    <row r="458">
      <c r="A458" s="5"/>
      <c r="B458" s="5"/>
      <c r="C458" s="5"/>
      <c r="D458" s="5"/>
      <c r="E458" s="11"/>
      <c r="F458" s="12"/>
      <c r="G458" s="5"/>
      <c r="H458" s="12"/>
      <c r="I458" s="12"/>
      <c r="J458" s="12"/>
      <c r="K458" s="12"/>
      <c r="L458" s="12"/>
      <c r="M458" s="12"/>
      <c r="N458" s="5"/>
      <c r="O458" s="5"/>
      <c r="P458" s="5"/>
      <c r="Q458" s="5"/>
      <c r="R458" s="5"/>
      <c r="S458" s="5"/>
      <c r="T458" s="5"/>
      <c r="U458" s="12"/>
      <c r="V458" s="5"/>
      <c r="W458" s="11"/>
      <c r="X458" s="11"/>
      <c r="Y458" s="13"/>
      <c r="Z458" s="5"/>
      <c r="AA458" s="14"/>
      <c r="AB458" s="5"/>
      <c r="AC458" s="5"/>
      <c r="AD458" s="5"/>
      <c r="AE458" s="5"/>
      <c r="AF458" s="5"/>
      <c r="AG458" s="5"/>
      <c r="AH458" s="5"/>
      <c r="AI458" s="5"/>
      <c r="AJ458" s="5"/>
    </row>
    <row r="459">
      <c r="A459" s="5"/>
      <c r="B459" s="5"/>
      <c r="C459" s="5"/>
      <c r="D459" s="5"/>
      <c r="E459" s="11"/>
      <c r="F459" s="12"/>
      <c r="G459" s="5"/>
      <c r="H459" s="12"/>
      <c r="I459" s="12"/>
      <c r="J459" s="12"/>
      <c r="K459" s="12"/>
      <c r="L459" s="12"/>
      <c r="M459" s="12"/>
      <c r="N459" s="5"/>
      <c r="O459" s="5"/>
      <c r="P459" s="5"/>
      <c r="Q459" s="5"/>
      <c r="R459" s="5"/>
      <c r="S459" s="5"/>
      <c r="T459" s="5"/>
      <c r="U459" s="12"/>
      <c r="V459" s="5"/>
      <c r="W459" s="11"/>
      <c r="X459" s="11"/>
      <c r="Y459" s="13"/>
      <c r="Z459" s="5"/>
      <c r="AA459" s="14"/>
      <c r="AB459" s="5"/>
      <c r="AC459" s="5"/>
      <c r="AD459" s="5"/>
      <c r="AE459" s="5"/>
      <c r="AF459" s="5"/>
      <c r="AG459" s="5"/>
      <c r="AH459" s="5"/>
      <c r="AI459" s="5"/>
      <c r="AJ459" s="5"/>
    </row>
    <row r="460">
      <c r="A460" s="5"/>
      <c r="B460" s="5"/>
      <c r="C460" s="5"/>
      <c r="D460" s="5"/>
      <c r="E460" s="11"/>
      <c r="F460" s="12"/>
      <c r="G460" s="5"/>
      <c r="H460" s="12"/>
      <c r="I460" s="12"/>
      <c r="J460" s="12"/>
      <c r="K460" s="12"/>
      <c r="L460" s="12"/>
      <c r="M460" s="12"/>
      <c r="N460" s="5"/>
      <c r="O460" s="5"/>
      <c r="P460" s="5"/>
      <c r="Q460" s="5"/>
      <c r="R460" s="5"/>
      <c r="S460" s="5"/>
      <c r="T460" s="5"/>
      <c r="U460" s="12"/>
      <c r="V460" s="5"/>
      <c r="W460" s="11"/>
      <c r="X460" s="11"/>
      <c r="Y460" s="13"/>
      <c r="Z460" s="5"/>
      <c r="AA460" s="14"/>
      <c r="AB460" s="5"/>
      <c r="AC460" s="5"/>
      <c r="AD460" s="5"/>
      <c r="AE460" s="5"/>
      <c r="AF460" s="5"/>
      <c r="AG460" s="5"/>
      <c r="AH460" s="5"/>
      <c r="AI460" s="5"/>
      <c r="AJ460" s="5"/>
    </row>
    <row r="461">
      <c r="A461" s="5"/>
      <c r="B461" s="5"/>
      <c r="C461" s="5"/>
      <c r="D461" s="5"/>
      <c r="E461" s="11"/>
      <c r="F461" s="12"/>
      <c r="G461" s="5"/>
      <c r="H461" s="12"/>
      <c r="I461" s="12"/>
      <c r="J461" s="12"/>
      <c r="K461" s="12"/>
      <c r="L461" s="12"/>
      <c r="M461" s="12"/>
      <c r="N461" s="5"/>
      <c r="O461" s="5"/>
      <c r="P461" s="5"/>
      <c r="Q461" s="5"/>
      <c r="R461" s="5"/>
      <c r="S461" s="5"/>
      <c r="T461" s="5"/>
      <c r="U461" s="12"/>
      <c r="V461" s="5"/>
      <c r="W461" s="11"/>
      <c r="X461" s="11"/>
      <c r="Y461" s="13"/>
      <c r="Z461" s="5"/>
      <c r="AA461" s="14"/>
      <c r="AB461" s="5"/>
      <c r="AC461" s="5"/>
      <c r="AD461" s="5"/>
      <c r="AE461" s="5"/>
      <c r="AF461" s="5"/>
      <c r="AG461" s="5"/>
      <c r="AH461" s="5"/>
      <c r="AI461" s="5"/>
      <c r="AJ461" s="5"/>
    </row>
    <row r="462">
      <c r="A462" s="5"/>
      <c r="B462" s="5"/>
      <c r="C462" s="5"/>
      <c r="D462" s="5"/>
      <c r="E462" s="11"/>
      <c r="F462" s="12"/>
      <c r="G462" s="5"/>
      <c r="H462" s="12"/>
      <c r="I462" s="12"/>
      <c r="J462" s="12"/>
      <c r="K462" s="12"/>
      <c r="L462" s="12"/>
      <c r="M462" s="12"/>
      <c r="N462" s="5"/>
      <c r="O462" s="5"/>
      <c r="P462" s="5"/>
      <c r="Q462" s="5"/>
      <c r="R462" s="5"/>
      <c r="S462" s="5"/>
      <c r="T462" s="5"/>
      <c r="U462" s="12"/>
      <c r="V462" s="5"/>
      <c r="W462" s="11"/>
      <c r="X462" s="11"/>
      <c r="Y462" s="13"/>
      <c r="Z462" s="5"/>
      <c r="AA462" s="14"/>
      <c r="AB462" s="5"/>
      <c r="AC462" s="5"/>
      <c r="AD462" s="5"/>
      <c r="AE462" s="5"/>
      <c r="AF462" s="5"/>
      <c r="AG462" s="5"/>
      <c r="AH462" s="5"/>
      <c r="AI462" s="5"/>
      <c r="AJ462" s="5"/>
    </row>
    <row r="463">
      <c r="A463" s="5"/>
      <c r="B463" s="5"/>
      <c r="C463" s="5"/>
      <c r="D463" s="5"/>
      <c r="E463" s="11"/>
      <c r="F463" s="12"/>
      <c r="G463" s="5"/>
      <c r="H463" s="12"/>
      <c r="I463" s="12"/>
      <c r="J463" s="12"/>
      <c r="K463" s="12"/>
      <c r="L463" s="12"/>
      <c r="M463" s="12"/>
      <c r="N463" s="5"/>
      <c r="O463" s="5"/>
      <c r="P463" s="5"/>
      <c r="Q463" s="5"/>
      <c r="R463" s="5"/>
      <c r="S463" s="5"/>
      <c r="T463" s="5"/>
      <c r="U463" s="12"/>
      <c r="V463" s="5"/>
      <c r="W463" s="11"/>
      <c r="X463" s="11"/>
      <c r="Y463" s="13"/>
      <c r="Z463" s="5"/>
      <c r="AA463" s="14"/>
      <c r="AB463" s="5"/>
      <c r="AC463" s="5"/>
      <c r="AD463" s="5"/>
      <c r="AE463" s="5"/>
      <c r="AF463" s="5"/>
      <c r="AG463" s="5"/>
      <c r="AH463" s="5"/>
      <c r="AI463" s="5"/>
      <c r="AJ463" s="5"/>
    </row>
    <row r="464">
      <c r="A464" s="5"/>
      <c r="B464" s="5"/>
      <c r="C464" s="5"/>
      <c r="D464" s="5"/>
      <c r="E464" s="11"/>
      <c r="F464" s="12"/>
      <c r="G464" s="5"/>
      <c r="H464" s="12"/>
      <c r="I464" s="12"/>
      <c r="J464" s="12"/>
      <c r="K464" s="12"/>
      <c r="L464" s="12"/>
      <c r="M464" s="12"/>
      <c r="N464" s="5"/>
      <c r="O464" s="5"/>
      <c r="P464" s="5"/>
      <c r="Q464" s="5"/>
      <c r="R464" s="5"/>
      <c r="S464" s="5"/>
      <c r="T464" s="5"/>
      <c r="U464" s="12"/>
      <c r="V464" s="5"/>
      <c r="W464" s="11"/>
      <c r="X464" s="11"/>
      <c r="Y464" s="13"/>
      <c r="Z464" s="5"/>
      <c r="AA464" s="14"/>
      <c r="AB464" s="5"/>
      <c r="AC464" s="5"/>
      <c r="AD464" s="5"/>
      <c r="AE464" s="5"/>
      <c r="AF464" s="5"/>
      <c r="AG464" s="5"/>
      <c r="AH464" s="5"/>
      <c r="AI464" s="5"/>
      <c r="AJ464" s="5"/>
    </row>
    <row r="465">
      <c r="A465" s="5"/>
      <c r="B465" s="5"/>
      <c r="C465" s="5"/>
      <c r="D465" s="5"/>
      <c r="E465" s="11"/>
      <c r="F465" s="12"/>
      <c r="G465" s="5"/>
      <c r="H465" s="12"/>
      <c r="I465" s="12"/>
      <c r="J465" s="12"/>
      <c r="K465" s="12"/>
      <c r="L465" s="12"/>
      <c r="M465" s="12"/>
      <c r="N465" s="5"/>
      <c r="O465" s="5"/>
      <c r="P465" s="5"/>
      <c r="Q465" s="5"/>
      <c r="R465" s="5"/>
      <c r="S465" s="5"/>
      <c r="T465" s="5"/>
      <c r="U465" s="12"/>
      <c r="V465" s="5"/>
      <c r="W465" s="11"/>
      <c r="X465" s="11"/>
      <c r="Y465" s="13"/>
      <c r="Z465" s="5"/>
      <c r="AA465" s="14"/>
      <c r="AB465" s="5"/>
      <c r="AC465" s="5"/>
      <c r="AD465" s="5"/>
      <c r="AE465" s="5"/>
      <c r="AF465" s="5"/>
      <c r="AG465" s="5"/>
      <c r="AH465" s="5"/>
      <c r="AI465" s="5"/>
      <c r="AJ465" s="5"/>
    </row>
    <row r="466">
      <c r="A466" s="5"/>
      <c r="B466" s="5"/>
      <c r="C466" s="5"/>
      <c r="D466" s="5"/>
      <c r="E466" s="11"/>
      <c r="F466" s="12"/>
      <c r="G466" s="5"/>
      <c r="H466" s="12"/>
      <c r="I466" s="12"/>
      <c r="J466" s="12"/>
      <c r="K466" s="12"/>
      <c r="L466" s="12"/>
      <c r="M466" s="12"/>
      <c r="N466" s="5"/>
      <c r="O466" s="5"/>
      <c r="P466" s="5"/>
      <c r="Q466" s="5"/>
      <c r="R466" s="5"/>
      <c r="S466" s="5"/>
      <c r="T466" s="5"/>
      <c r="U466" s="12"/>
      <c r="V466" s="5"/>
      <c r="W466" s="11"/>
      <c r="X466" s="11"/>
      <c r="Y466" s="13"/>
      <c r="Z466" s="5"/>
      <c r="AA466" s="14"/>
      <c r="AB466" s="5"/>
      <c r="AC466" s="5"/>
      <c r="AD466" s="5"/>
      <c r="AE466" s="5"/>
      <c r="AF466" s="5"/>
      <c r="AG466" s="5"/>
      <c r="AH466" s="5"/>
      <c r="AI466" s="5"/>
      <c r="AJ466" s="5"/>
    </row>
    <row r="467">
      <c r="A467" s="5"/>
      <c r="B467" s="5"/>
      <c r="C467" s="5"/>
      <c r="D467" s="5"/>
      <c r="E467" s="11"/>
      <c r="F467" s="12"/>
      <c r="G467" s="5"/>
      <c r="H467" s="12"/>
      <c r="I467" s="12"/>
      <c r="J467" s="12"/>
      <c r="K467" s="12"/>
      <c r="L467" s="12"/>
      <c r="M467" s="12"/>
      <c r="N467" s="5"/>
      <c r="O467" s="5"/>
      <c r="P467" s="5"/>
      <c r="Q467" s="5"/>
      <c r="R467" s="5"/>
      <c r="S467" s="5"/>
      <c r="T467" s="5"/>
      <c r="U467" s="12"/>
      <c r="V467" s="5"/>
      <c r="W467" s="11"/>
      <c r="X467" s="11"/>
      <c r="Y467" s="13"/>
      <c r="Z467" s="5"/>
      <c r="AA467" s="14"/>
      <c r="AB467" s="5"/>
      <c r="AC467" s="5"/>
      <c r="AD467" s="5"/>
      <c r="AE467" s="5"/>
      <c r="AF467" s="5"/>
      <c r="AG467" s="5"/>
      <c r="AH467" s="5"/>
      <c r="AI467" s="5"/>
      <c r="AJ467" s="5"/>
    </row>
    <row r="468">
      <c r="A468" s="5"/>
      <c r="B468" s="5"/>
      <c r="C468" s="5"/>
      <c r="D468" s="5"/>
      <c r="E468" s="11"/>
      <c r="F468" s="12"/>
      <c r="G468" s="5"/>
      <c r="H468" s="12"/>
      <c r="I468" s="12"/>
      <c r="J468" s="12"/>
      <c r="K468" s="12"/>
      <c r="L468" s="12"/>
      <c r="M468" s="12"/>
      <c r="N468" s="5"/>
      <c r="O468" s="5"/>
      <c r="P468" s="5"/>
      <c r="Q468" s="5"/>
      <c r="R468" s="5"/>
      <c r="S468" s="5"/>
      <c r="T468" s="5"/>
      <c r="U468" s="12"/>
      <c r="V468" s="5"/>
      <c r="W468" s="11"/>
      <c r="X468" s="11"/>
      <c r="Y468" s="13"/>
      <c r="Z468" s="5"/>
      <c r="AA468" s="14"/>
      <c r="AB468" s="5"/>
      <c r="AC468" s="5"/>
      <c r="AD468" s="5"/>
      <c r="AE468" s="5"/>
      <c r="AF468" s="5"/>
      <c r="AG468" s="5"/>
      <c r="AH468" s="5"/>
      <c r="AI468" s="5"/>
      <c r="AJ468" s="5"/>
    </row>
    <row r="469">
      <c r="A469" s="5"/>
      <c r="B469" s="5"/>
      <c r="C469" s="5"/>
      <c r="D469" s="5"/>
      <c r="E469" s="11"/>
      <c r="F469" s="12"/>
      <c r="G469" s="5"/>
      <c r="H469" s="12"/>
      <c r="I469" s="12"/>
      <c r="J469" s="12"/>
      <c r="K469" s="12"/>
      <c r="L469" s="12"/>
      <c r="M469" s="12"/>
      <c r="N469" s="5"/>
      <c r="O469" s="5"/>
      <c r="P469" s="5"/>
      <c r="Q469" s="5"/>
      <c r="R469" s="5"/>
      <c r="S469" s="5"/>
      <c r="T469" s="5"/>
      <c r="U469" s="12"/>
      <c r="V469" s="5"/>
      <c r="W469" s="11"/>
      <c r="X469" s="11"/>
      <c r="Y469" s="13"/>
      <c r="Z469" s="5"/>
      <c r="AA469" s="14"/>
      <c r="AB469" s="5"/>
      <c r="AC469" s="5"/>
      <c r="AD469" s="5"/>
      <c r="AE469" s="5"/>
      <c r="AF469" s="5"/>
      <c r="AG469" s="5"/>
      <c r="AH469" s="5"/>
      <c r="AI469" s="5"/>
      <c r="AJ469" s="5"/>
    </row>
    <row r="470">
      <c r="A470" s="5"/>
      <c r="B470" s="5"/>
      <c r="C470" s="5"/>
      <c r="D470" s="5"/>
      <c r="E470" s="11"/>
      <c r="F470" s="12"/>
      <c r="G470" s="5"/>
      <c r="H470" s="12"/>
      <c r="I470" s="12"/>
      <c r="J470" s="12"/>
      <c r="K470" s="12"/>
      <c r="L470" s="12"/>
      <c r="M470" s="12"/>
      <c r="N470" s="5"/>
      <c r="O470" s="5"/>
      <c r="P470" s="5"/>
      <c r="Q470" s="5"/>
      <c r="R470" s="5"/>
      <c r="S470" s="5"/>
      <c r="T470" s="5"/>
      <c r="U470" s="12"/>
      <c r="V470" s="5"/>
      <c r="W470" s="11"/>
      <c r="X470" s="11"/>
      <c r="Y470" s="13"/>
      <c r="Z470" s="5"/>
      <c r="AA470" s="14"/>
      <c r="AB470" s="5"/>
      <c r="AC470" s="5"/>
      <c r="AD470" s="5"/>
      <c r="AE470" s="5"/>
      <c r="AF470" s="5"/>
      <c r="AG470" s="5"/>
      <c r="AH470" s="5"/>
      <c r="AI470" s="5"/>
      <c r="AJ470" s="5"/>
    </row>
    <row r="471">
      <c r="A471" s="5"/>
      <c r="B471" s="5"/>
      <c r="C471" s="5"/>
      <c r="D471" s="5"/>
      <c r="E471" s="11"/>
      <c r="F471" s="12"/>
      <c r="G471" s="5"/>
      <c r="H471" s="12"/>
      <c r="I471" s="12"/>
      <c r="J471" s="12"/>
      <c r="K471" s="12"/>
      <c r="L471" s="12"/>
      <c r="M471" s="12"/>
      <c r="N471" s="5"/>
      <c r="O471" s="5"/>
      <c r="P471" s="5"/>
      <c r="Q471" s="5"/>
      <c r="R471" s="5"/>
      <c r="S471" s="5"/>
      <c r="T471" s="5"/>
      <c r="U471" s="12"/>
      <c r="V471" s="5"/>
      <c r="W471" s="11"/>
      <c r="X471" s="11"/>
      <c r="Y471" s="13"/>
      <c r="Z471" s="5"/>
      <c r="AA471" s="14"/>
      <c r="AB471" s="5"/>
      <c r="AC471" s="5"/>
      <c r="AD471" s="5"/>
      <c r="AE471" s="5"/>
      <c r="AF471" s="5"/>
      <c r="AG471" s="5"/>
      <c r="AH471" s="5"/>
      <c r="AI471" s="5"/>
      <c r="AJ471" s="5"/>
    </row>
    <row r="472">
      <c r="A472" s="5"/>
      <c r="B472" s="5"/>
      <c r="C472" s="5"/>
      <c r="D472" s="5"/>
      <c r="E472" s="11"/>
      <c r="F472" s="12"/>
      <c r="G472" s="5"/>
      <c r="H472" s="12"/>
      <c r="I472" s="12"/>
      <c r="J472" s="12"/>
      <c r="K472" s="12"/>
      <c r="L472" s="12"/>
      <c r="M472" s="12"/>
      <c r="N472" s="5"/>
      <c r="O472" s="5"/>
      <c r="P472" s="5"/>
      <c r="Q472" s="5"/>
      <c r="R472" s="5"/>
      <c r="S472" s="5"/>
      <c r="T472" s="5"/>
      <c r="U472" s="12"/>
      <c r="V472" s="5"/>
      <c r="W472" s="11"/>
      <c r="X472" s="11"/>
      <c r="Y472" s="13"/>
      <c r="Z472" s="5"/>
      <c r="AA472" s="14"/>
      <c r="AB472" s="5"/>
      <c r="AC472" s="5"/>
      <c r="AD472" s="5"/>
      <c r="AE472" s="5"/>
      <c r="AF472" s="5"/>
      <c r="AG472" s="5"/>
      <c r="AH472" s="5"/>
      <c r="AI472" s="5"/>
      <c r="AJ472" s="5"/>
    </row>
    <row r="473">
      <c r="A473" s="5"/>
      <c r="B473" s="5"/>
      <c r="C473" s="5"/>
      <c r="D473" s="5"/>
      <c r="E473" s="11"/>
      <c r="F473" s="12"/>
      <c r="G473" s="5"/>
      <c r="H473" s="12"/>
      <c r="I473" s="12"/>
      <c r="J473" s="12"/>
      <c r="K473" s="12"/>
      <c r="L473" s="12"/>
      <c r="M473" s="12"/>
      <c r="N473" s="5"/>
      <c r="O473" s="5"/>
      <c r="P473" s="5"/>
      <c r="Q473" s="5"/>
      <c r="R473" s="5"/>
      <c r="S473" s="5"/>
      <c r="T473" s="5"/>
      <c r="U473" s="12"/>
      <c r="V473" s="5"/>
      <c r="W473" s="11"/>
      <c r="X473" s="11"/>
      <c r="Y473" s="13"/>
      <c r="Z473" s="5"/>
      <c r="AA473" s="14"/>
      <c r="AB473" s="5"/>
      <c r="AC473" s="5"/>
      <c r="AD473" s="5"/>
      <c r="AE473" s="5"/>
      <c r="AF473" s="5"/>
      <c r="AG473" s="5"/>
      <c r="AH473" s="5"/>
      <c r="AI473" s="5"/>
      <c r="AJ473" s="5"/>
    </row>
    <row r="474">
      <c r="A474" s="5"/>
      <c r="B474" s="5"/>
      <c r="C474" s="5"/>
      <c r="D474" s="5"/>
      <c r="E474" s="11"/>
      <c r="F474" s="12"/>
      <c r="G474" s="5"/>
      <c r="H474" s="12"/>
      <c r="I474" s="12"/>
      <c r="J474" s="12"/>
      <c r="K474" s="12"/>
      <c r="L474" s="12"/>
      <c r="M474" s="12"/>
      <c r="N474" s="5"/>
      <c r="O474" s="5"/>
      <c r="P474" s="5"/>
      <c r="Q474" s="5"/>
      <c r="R474" s="5"/>
      <c r="S474" s="5"/>
      <c r="T474" s="5"/>
      <c r="U474" s="12"/>
      <c r="V474" s="5"/>
      <c r="W474" s="11"/>
      <c r="X474" s="11"/>
      <c r="Y474" s="13"/>
      <c r="Z474" s="5"/>
      <c r="AA474" s="14"/>
      <c r="AB474" s="5"/>
      <c r="AC474" s="5"/>
      <c r="AD474" s="5"/>
      <c r="AE474" s="5"/>
      <c r="AF474" s="5"/>
      <c r="AG474" s="5"/>
      <c r="AH474" s="5"/>
      <c r="AI474" s="5"/>
      <c r="AJ474" s="5"/>
    </row>
    <row r="475">
      <c r="A475" s="5"/>
      <c r="B475" s="5"/>
      <c r="C475" s="5"/>
      <c r="D475" s="5"/>
      <c r="E475" s="11"/>
      <c r="F475" s="12"/>
      <c r="G475" s="5"/>
      <c r="H475" s="12"/>
      <c r="I475" s="12"/>
      <c r="J475" s="12"/>
      <c r="K475" s="12"/>
      <c r="L475" s="12"/>
      <c r="M475" s="12"/>
      <c r="N475" s="5"/>
      <c r="O475" s="5"/>
      <c r="P475" s="5"/>
      <c r="Q475" s="5"/>
      <c r="R475" s="5"/>
      <c r="S475" s="5"/>
      <c r="T475" s="5"/>
      <c r="U475" s="12"/>
      <c r="V475" s="5"/>
      <c r="W475" s="11"/>
      <c r="X475" s="11"/>
      <c r="Y475" s="13"/>
      <c r="Z475" s="5"/>
      <c r="AA475" s="14"/>
      <c r="AB475" s="5"/>
      <c r="AC475" s="5"/>
      <c r="AD475" s="5"/>
      <c r="AE475" s="5"/>
      <c r="AF475" s="5"/>
      <c r="AG475" s="5"/>
      <c r="AH475" s="5"/>
      <c r="AI475" s="5"/>
      <c r="AJ475" s="5"/>
    </row>
    <row r="476">
      <c r="A476" s="5"/>
      <c r="B476" s="5"/>
      <c r="C476" s="5"/>
      <c r="D476" s="5"/>
      <c r="E476" s="11"/>
      <c r="F476" s="12"/>
      <c r="G476" s="5"/>
      <c r="H476" s="12"/>
      <c r="I476" s="12"/>
      <c r="J476" s="12"/>
      <c r="K476" s="12"/>
      <c r="L476" s="12"/>
      <c r="M476" s="12"/>
      <c r="N476" s="5"/>
      <c r="O476" s="5"/>
      <c r="P476" s="5"/>
      <c r="Q476" s="5"/>
      <c r="R476" s="5"/>
      <c r="S476" s="5"/>
      <c r="T476" s="5"/>
      <c r="U476" s="12"/>
      <c r="V476" s="5"/>
      <c r="W476" s="11"/>
      <c r="X476" s="11"/>
      <c r="Y476" s="13"/>
      <c r="Z476" s="5"/>
      <c r="AA476" s="14"/>
      <c r="AB476" s="5"/>
      <c r="AC476" s="5"/>
      <c r="AD476" s="5"/>
      <c r="AE476" s="5"/>
      <c r="AF476" s="5"/>
      <c r="AG476" s="5"/>
      <c r="AH476" s="5"/>
      <c r="AI476" s="5"/>
      <c r="AJ476" s="5"/>
    </row>
    <row r="477">
      <c r="A477" s="5"/>
      <c r="B477" s="5"/>
      <c r="C477" s="5"/>
      <c r="D477" s="5"/>
      <c r="E477" s="11"/>
      <c r="F477" s="12"/>
      <c r="G477" s="5"/>
      <c r="H477" s="12"/>
      <c r="I477" s="12"/>
      <c r="J477" s="12"/>
      <c r="K477" s="12"/>
      <c r="L477" s="12"/>
      <c r="M477" s="12"/>
      <c r="N477" s="5"/>
      <c r="O477" s="5"/>
      <c r="P477" s="5"/>
      <c r="Q477" s="5"/>
      <c r="R477" s="5"/>
      <c r="S477" s="5"/>
      <c r="T477" s="5"/>
      <c r="U477" s="12"/>
      <c r="V477" s="5"/>
      <c r="W477" s="11"/>
      <c r="X477" s="11"/>
      <c r="Y477" s="13"/>
      <c r="Z477" s="5"/>
      <c r="AA477" s="14"/>
      <c r="AB477" s="5"/>
      <c r="AC477" s="5"/>
      <c r="AD477" s="5"/>
      <c r="AE477" s="5"/>
      <c r="AF477" s="5"/>
      <c r="AG477" s="5"/>
      <c r="AH477" s="5"/>
      <c r="AI477" s="5"/>
      <c r="AJ477" s="5"/>
    </row>
    <row r="478">
      <c r="A478" s="5"/>
      <c r="B478" s="5"/>
      <c r="C478" s="5"/>
      <c r="D478" s="5"/>
      <c r="E478" s="11"/>
      <c r="F478" s="12"/>
      <c r="G478" s="5"/>
      <c r="H478" s="12"/>
      <c r="I478" s="12"/>
      <c r="J478" s="12"/>
      <c r="K478" s="12"/>
      <c r="L478" s="12"/>
      <c r="M478" s="12"/>
      <c r="N478" s="5"/>
      <c r="O478" s="5"/>
      <c r="P478" s="5"/>
      <c r="Q478" s="5"/>
      <c r="R478" s="5"/>
      <c r="S478" s="5"/>
      <c r="T478" s="5"/>
      <c r="U478" s="12"/>
      <c r="V478" s="5"/>
      <c r="W478" s="11"/>
      <c r="X478" s="11"/>
      <c r="Y478" s="13"/>
      <c r="Z478" s="5"/>
      <c r="AA478" s="14"/>
      <c r="AB478" s="5"/>
      <c r="AC478" s="5"/>
      <c r="AD478" s="5"/>
      <c r="AE478" s="5"/>
      <c r="AF478" s="5"/>
      <c r="AG478" s="5"/>
      <c r="AH478" s="5"/>
      <c r="AI478" s="5"/>
      <c r="AJ478" s="5"/>
    </row>
    <row r="479">
      <c r="A479" s="5"/>
      <c r="B479" s="5"/>
      <c r="C479" s="5"/>
      <c r="D479" s="5"/>
      <c r="E479" s="11"/>
      <c r="F479" s="12"/>
      <c r="G479" s="5"/>
      <c r="H479" s="12"/>
      <c r="I479" s="12"/>
      <c r="J479" s="12"/>
      <c r="K479" s="12"/>
      <c r="L479" s="12"/>
      <c r="M479" s="12"/>
      <c r="N479" s="5"/>
      <c r="O479" s="5"/>
      <c r="P479" s="5"/>
      <c r="Q479" s="5"/>
      <c r="R479" s="5"/>
      <c r="S479" s="5"/>
      <c r="T479" s="5"/>
      <c r="U479" s="12"/>
      <c r="V479" s="5"/>
      <c r="W479" s="11"/>
      <c r="X479" s="11"/>
      <c r="Y479" s="13"/>
      <c r="Z479" s="5"/>
      <c r="AA479" s="14"/>
      <c r="AB479" s="5"/>
      <c r="AC479" s="5"/>
      <c r="AD479" s="5"/>
      <c r="AE479" s="5"/>
      <c r="AF479" s="5"/>
      <c r="AG479" s="5"/>
      <c r="AH479" s="5"/>
      <c r="AI479" s="5"/>
      <c r="AJ479" s="5"/>
    </row>
    <row r="480">
      <c r="A480" s="5"/>
      <c r="B480" s="5"/>
      <c r="C480" s="5"/>
      <c r="D480" s="5"/>
      <c r="E480" s="11"/>
      <c r="F480" s="12"/>
      <c r="G480" s="5"/>
      <c r="H480" s="12"/>
      <c r="I480" s="12"/>
      <c r="J480" s="12"/>
      <c r="K480" s="12"/>
      <c r="L480" s="12"/>
      <c r="M480" s="12"/>
      <c r="N480" s="5"/>
      <c r="O480" s="5"/>
      <c r="P480" s="5"/>
      <c r="Q480" s="5"/>
      <c r="R480" s="5"/>
      <c r="S480" s="5"/>
      <c r="T480" s="5"/>
      <c r="U480" s="12"/>
      <c r="V480" s="5"/>
      <c r="W480" s="11"/>
      <c r="X480" s="11"/>
      <c r="Y480" s="13"/>
      <c r="Z480" s="5"/>
      <c r="AA480" s="14"/>
      <c r="AB480" s="5"/>
      <c r="AC480" s="5"/>
      <c r="AD480" s="5"/>
      <c r="AE480" s="5"/>
      <c r="AF480" s="5"/>
      <c r="AG480" s="5"/>
      <c r="AH480" s="5"/>
      <c r="AI480" s="5"/>
      <c r="AJ480" s="5"/>
    </row>
    <row r="481">
      <c r="A481" s="5"/>
      <c r="B481" s="5"/>
      <c r="C481" s="5"/>
      <c r="D481" s="5"/>
      <c r="E481" s="11"/>
      <c r="F481" s="12"/>
      <c r="G481" s="5"/>
      <c r="H481" s="12"/>
      <c r="I481" s="12"/>
      <c r="J481" s="12"/>
      <c r="K481" s="12"/>
      <c r="L481" s="12"/>
      <c r="M481" s="12"/>
      <c r="N481" s="5"/>
      <c r="O481" s="5"/>
      <c r="P481" s="5"/>
      <c r="Q481" s="5"/>
      <c r="R481" s="5"/>
      <c r="S481" s="5"/>
      <c r="T481" s="5"/>
      <c r="U481" s="12"/>
      <c r="V481" s="5"/>
      <c r="W481" s="11"/>
      <c r="X481" s="11"/>
      <c r="Y481" s="13"/>
      <c r="Z481" s="5"/>
      <c r="AA481" s="14"/>
      <c r="AB481" s="5"/>
      <c r="AC481" s="5"/>
      <c r="AD481" s="5"/>
      <c r="AE481" s="5"/>
      <c r="AF481" s="5"/>
      <c r="AG481" s="5"/>
      <c r="AH481" s="5"/>
      <c r="AI481" s="5"/>
      <c r="AJ481" s="5"/>
    </row>
    <row r="482">
      <c r="A482" s="5"/>
      <c r="B482" s="5"/>
      <c r="C482" s="5"/>
      <c r="D482" s="5"/>
      <c r="E482" s="11"/>
      <c r="F482" s="12"/>
      <c r="G482" s="5"/>
      <c r="H482" s="12"/>
      <c r="I482" s="12"/>
      <c r="J482" s="12"/>
      <c r="K482" s="12"/>
      <c r="L482" s="12"/>
      <c r="M482" s="12"/>
      <c r="N482" s="5"/>
      <c r="O482" s="5"/>
      <c r="P482" s="5"/>
      <c r="Q482" s="5"/>
      <c r="R482" s="5"/>
      <c r="S482" s="5"/>
      <c r="T482" s="5"/>
      <c r="U482" s="12"/>
      <c r="V482" s="5"/>
      <c r="W482" s="11"/>
      <c r="X482" s="11"/>
      <c r="Y482" s="13"/>
      <c r="Z482" s="5"/>
      <c r="AA482" s="14"/>
      <c r="AB482" s="5"/>
      <c r="AC482" s="5"/>
      <c r="AD482" s="5"/>
      <c r="AE482" s="5"/>
      <c r="AF482" s="5"/>
      <c r="AG482" s="5"/>
      <c r="AH482" s="5"/>
      <c r="AI482" s="5"/>
      <c r="AJ482" s="5"/>
    </row>
    <row r="483">
      <c r="A483" s="5"/>
      <c r="B483" s="5"/>
      <c r="C483" s="5"/>
      <c r="D483" s="5"/>
      <c r="E483" s="11"/>
      <c r="F483" s="12"/>
      <c r="G483" s="5"/>
      <c r="H483" s="12"/>
      <c r="I483" s="12"/>
      <c r="J483" s="12"/>
      <c r="K483" s="12"/>
      <c r="L483" s="12"/>
      <c r="M483" s="12"/>
      <c r="N483" s="5"/>
      <c r="O483" s="5"/>
      <c r="P483" s="5"/>
      <c r="Q483" s="5"/>
      <c r="R483" s="5"/>
      <c r="S483" s="5"/>
      <c r="T483" s="5"/>
      <c r="U483" s="12"/>
      <c r="V483" s="5"/>
      <c r="W483" s="11"/>
      <c r="X483" s="11"/>
      <c r="Y483" s="13"/>
      <c r="Z483" s="5"/>
      <c r="AA483" s="14"/>
      <c r="AB483" s="5"/>
      <c r="AC483" s="5"/>
      <c r="AD483" s="5"/>
      <c r="AE483" s="5"/>
      <c r="AF483" s="5"/>
      <c r="AG483" s="5"/>
      <c r="AH483" s="5"/>
      <c r="AI483" s="5"/>
      <c r="AJ483" s="5"/>
    </row>
    <row r="484">
      <c r="A484" s="5"/>
      <c r="B484" s="5"/>
      <c r="C484" s="5"/>
      <c r="D484" s="5"/>
      <c r="E484" s="11"/>
      <c r="F484" s="12"/>
      <c r="G484" s="5"/>
      <c r="H484" s="12"/>
      <c r="I484" s="12"/>
      <c r="J484" s="12"/>
      <c r="K484" s="12"/>
      <c r="L484" s="12"/>
      <c r="M484" s="12"/>
      <c r="N484" s="5"/>
      <c r="O484" s="5"/>
      <c r="P484" s="5"/>
      <c r="Q484" s="5"/>
      <c r="R484" s="5"/>
      <c r="S484" s="5"/>
      <c r="T484" s="5"/>
      <c r="U484" s="12"/>
      <c r="V484" s="5"/>
      <c r="W484" s="11"/>
      <c r="X484" s="11"/>
      <c r="Y484" s="13"/>
      <c r="Z484" s="5"/>
      <c r="AA484" s="14"/>
      <c r="AB484" s="5"/>
      <c r="AC484" s="5"/>
      <c r="AD484" s="5"/>
      <c r="AE484" s="5"/>
      <c r="AF484" s="5"/>
      <c r="AG484" s="5"/>
      <c r="AH484" s="5"/>
      <c r="AI484" s="5"/>
      <c r="AJ484" s="5"/>
    </row>
    <row r="485">
      <c r="A485" s="5"/>
      <c r="B485" s="5"/>
      <c r="C485" s="5"/>
      <c r="D485" s="5"/>
      <c r="E485" s="11"/>
      <c r="F485" s="12"/>
      <c r="G485" s="5"/>
      <c r="H485" s="12"/>
      <c r="I485" s="12"/>
      <c r="J485" s="12"/>
      <c r="K485" s="12"/>
      <c r="L485" s="12"/>
      <c r="M485" s="12"/>
      <c r="N485" s="5"/>
      <c r="O485" s="5"/>
      <c r="P485" s="5"/>
      <c r="Q485" s="5"/>
      <c r="R485" s="5"/>
      <c r="S485" s="5"/>
      <c r="T485" s="5"/>
      <c r="U485" s="12"/>
      <c r="V485" s="5"/>
      <c r="W485" s="11"/>
      <c r="X485" s="11"/>
      <c r="Y485" s="13"/>
      <c r="Z485" s="5"/>
      <c r="AA485" s="14"/>
      <c r="AB485" s="5"/>
      <c r="AC485" s="5"/>
      <c r="AD485" s="5"/>
      <c r="AE485" s="5"/>
      <c r="AF485" s="5"/>
      <c r="AG485" s="5"/>
      <c r="AH485" s="5"/>
      <c r="AI485" s="5"/>
      <c r="AJ485" s="5"/>
    </row>
    <row r="486">
      <c r="A486" s="5"/>
      <c r="B486" s="5"/>
      <c r="C486" s="5"/>
      <c r="D486" s="5"/>
      <c r="E486" s="11"/>
      <c r="F486" s="12"/>
      <c r="G486" s="5"/>
      <c r="H486" s="12"/>
      <c r="I486" s="12"/>
      <c r="J486" s="12"/>
      <c r="K486" s="12"/>
      <c r="L486" s="12"/>
      <c r="M486" s="12"/>
      <c r="N486" s="5"/>
      <c r="O486" s="5"/>
      <c r="P486" s="5"/>
      <c r="Q486" s="5"/>
      <c r="R486" s="5"/>
      <c r="S486" s="5"/>
      <c r="T486" s="5"/>
      <c r="U486" s="12"/>
      <c r="V486" s="5"/>
      <c r="W486" s="11"/>
      <c r="X486" s="11"/>
      <c r="Y486" s="13"/>
      <c r="Z486" s="5"/>
      <c r="AA486" s="14"/>
      <c r="AB486" s="5"/>
      <c r="AC486" s="5"/>
      <c r="AD486" s="5"/>
      <c r="AE486" s="5"/>
      <c r="AF486" s="5"/>
      <c r="AG486" s="5"/>
      <c r="AH486" s="5"/>
      <c r="AI486" s="5"/>
      <c r="AJ486" s="5"/>
    </row>
    <row r="487">
      <c r="A487" s="5"/>
      <c r="B487" s="5"/>
      <c r="C487" s="5"/>
      <c r="D487" s="5"/>
      <c r="E487" s="11"/>
      <c r="F487" s="12"/>
      <c r="G487" s="5"/>
      <c r="H487" s="12"/>
      <c r="I487" s="12"/>
      <c r="J487" s="12"/>
      <c r="K487" s="12"/>
      <c r="L487" s="12"/>
      <c r="M487" s="12"/>
      <c r="N487" s="5"/>
      <c r="O487" s="5"/>
      <c r="P487" s="5"/>
      <c r="Q487" s="5"/>
      <c r="R487" s="5"/>
      <c r="S487" s="5"/>
      <c r="T487" s="5"/>
      <c r="U487" s="12"/>
      <c r="V487" s="5"/>
      <c r="W487" s="11"/>
      <c r="X487" s="11"/>
      <c r="Y487" s="13"/>
      <c r="Z487" s="5"/>
      <c r="AA487" s="14"/>
      <c r="AB487" s="5"/>
      <c r="AC487" s="5"/>
      <c r="AD487" s="5"/>
      <c r="AE487" s="5"/>
      <c r="AF487" s="5"/>
      <c r="AG487" s="5"/>
      <c r="AH487" s="5"/>
      <c r="AI487" s="5"/>
      <c r="AJ487" s="5"/>
    </row>
    <row r="488">
      <c r="A488" s="5"/>
      <c r="B488" s="5"/>
      <c r="C488" s="5"/>
      <c r="D488" s="5"/>
      <c r="E488" s="11"/>
      <c r="F488" s="12"/>
      <c r="G488" s="5"/>
      <c r="H488" s="12"/>
      <c r="I488" s="12"/>
      <c r="J488" s="12"/>
      <c r="K488" s="12"/>
      <c r="L488" s="12"/>
      <c r="M488" s="12"/>
      <c r="N488" s="5"/>
      <c r="O488" s="5"/>
      <c r="P488" s="5"/>
      <c r="Q488" s="5"/>
      <c r="R488" s="5"/>
      <c r="S488" s="5"/>
      <c r="T488" s="5"/>
      <c r="U488" s="12"/>
      <c r="V488" s="5"/>
      <c r="W488" s="11"/>
      <c r="X488" s="11"/>
      <c r="Y488" s="13"/>
      <c r="Z488" s="5"/>
      <c r="AA488" s="14"/>
      <c r="AB488" s="5"/>
      <c r="AC488" s="5"/>
      <c r="AD488" s="5"/>
      <c r="AE488" s="5"/>
      <c r="AF488" s="5"/>
      <c r="AG488" s="5"/>
      <c r="AH488" s="5"/>
      <c r="AI488" s="5"/>
      <c r="AJ488" s="5"/>
    </row>
    <row r="489">
      <c r="A489" s="5"/>
      <c r="B489" s="5"/>
      <c r="C489" s="5"/>
      <c r="D489" s="5"/>
      <c r="E489" s="11"/>
      <c r="F489" s="12"/>
      <c r="G489" s="5"/>
      <c r="H489" s="12"/>
      <c r="I489" s="12"/>
      <c r="J489" s="12"/>
      <c r="K489" s="12"/>
      <c r="L489" s="12"/>
      <c r="M489" s="12"/>
      <c r="N489" s="5"/>
      <c r="O489" s="5"/>
      <c r="P489" s="5"/>
      <c r="Q489" s="5"/>
      <c r="R489" s="5"/>
      <c r="S489" s="5"/>
      <c r="T489" s="5"/>
      <c r="U489" s="12"/>
      <c r="V489" s="5"/>
      <c r="W489" s="11"/>
      <c r="X489" s="11"/>
      <c r="Y489" s="13"/>
      <c r="Z489" s="5"/>
      <c r="AA489" s="14"/>
      <c r="AB489" s="5"/>
      <c r="AC489" s="5"/>
      <c r="AD489" s="5"/>
      <c r="AE489" s="5"/>
      <c r="AF489" s="5"/>
      <c r="AG489" s="5"/>
      <c r="AH489" s="5"/>
      <c r="AI489" s="5"/>
      <c r="AJ489" s="5"/>
    </row>
    <row r="490">
      <c r="A490" s="5"/>
      <c r="B490" s="5"/>
      <c r="C490" s="5"/>
      <c r="D490" s="5"/>
      <c r="E490" s="11"/>
      <c r="F490" s="12"/>
      <c r="G490" s="5"/>
      <c r="H490" s="12"/>
      <c r="I490" s="12"/>
      <c r="J490" s="12"/>
      <c r="K490" s="12"/>
      <c r="L490" s="12"/>
      <c r="M490" s="12"/>
      <c r="N490" s="5"/>
      <c r="O490" s="5"/>
      <c r="P490" s="5"/>
      <c r="Q490" s="5"/>
      <c r="R490" s="5"/>
      <c r="S490" s="5"/>
      <c r="T490" s="5"/>
      <c r="U490" s="12"/>
      <c r="V490" s="5"/>
      <c r="W490" s="11"/>
      <c r="X490" s="11"/>
      <c r="Y490" s="13"/>
      <c r="Z490" s="5"/>
      <c r="AA490" s="14"/>
      <c r="AB490" s="5"/>
      <c r="AC490" s="5"/>
      <c r="AD490" s="5"/>
      <c r="AE490" s="5"/>
      <c r="AF490" s="5"/>
      <c r="AG490" s="5"/>
      <c r="AH490" s="5"/>
      <c r="AI490" s="5"/>
      <c r="AJ490" s="5"/>
    </row>
    <row r="491">
      <c r="A491" s="5"/>
      <c r="B491" s="5"/>
      <c r="C491" s="5"/>
      <c r="D491" s="5"/>
      <c r="E491" s="11"/>
      <c r="F491" s="12"/>
      <c r="G491" s="5"/>
      <c r="H491" s="12"/>
      <c r="I491" s="12"/>
      <c r="J491" s="12"/>
      <c r="K491" s="12"/>
      <c r="L491" s="12"/>
      <c r="M491" s="12"/>
      <c r="N491" s="5"/>
      <c r="O491" s="5"/>
      <c r="P491" s="5"/>
      <c r="Q491" s="5"/>
      <c r="R491" s="5"/>
      <c r="S491" s="5"/>
      <c r="T491" s="5"/>
      <c r="U491" s="12"/>
      <c r="V491" s="5"/>
      <c r="W491" s="11"/>
      <c r="X491" s="11"/>
      <c r="Y491" s="13"/>
      <c r="Z491" s="5"/>
      <c r="AA491" s="14"/>
      <c r="AB491" s="5"/>
      <c r="AC491" s="5"/>
      <c r="AD491" s="5"/>
      <c r="AE491" s="5"/>
      <c r="AF491" s="5"/>
      <c r="AG491" s="5"/>
      <c r="AH491" s="5"/>
      <c r="AI491" s="5"/>
      <c r="AJ491" s="5"/>
    </row>
    <row r="492">
      <c r="A492" s="5"/>
      <c r="B492" s="5"/>
      <c r="C492" s="5"/>
      <c r="D492" s="5"/>
      <c r="E492" s="11"/>
      <c r="F492" s="12"/>
      <c r="G492" s="5"/>
      <c r="H492" s="12"/>
      <c r="I492" s="12"/>
      <c r="J492" s="12"/>
      <c r="K492" s="12"/>
      <c r="L492" s="12"/>
      <c r="M492" s="12"/>
      <c r="N492" s="5"/>
      <c r="O492" s="5"/>
      <c r="P492" s="5"/>
      <c r="Q492" s="5"/>
      <c r="R492" s="5"/>
      <c r="S492" s="5"/>
      <c r="T492" s="5"/>
      <c r="U492" s="12"/>
      <c r="V492" s="5"/>
      <c r="W492" s="11"/>
      <c r="X492" s="11"/>
      <c r="Y492" s="13"/>
      <c r="Z492" s="5"/>
      <c r="AA492" s="14"/>
      <c r="AB492" s="5"/>
      <c r="AC492" s="5"/>
      <c r="AD492" s="5"/>
      <c r="AE492" s="5"/>
      <c r="AF492" s="5"/>
      <c r="AG492" s="5"/>
      <c r="AH492" s="5"/>
      <c r="AI492" s="5"/>
      <c r="AJ492" s="5"/>
    </row>
    <row r="493">
      <c r="A493" s="5"/>
      <c r="B493" s="5"/>
      <c r="C493" s="5"/>
      <c r="D493" s="5"/>
      <c r="E493" s="11"/>
      <c r="F493" s="12"/>
      <c r="G493" s="5"/>
      <c r="H493" s="12"/>
      <c r="I493" s="12"/>
      <c r="J493" s="12"/>
      <c r="K493" s="12"/>
      <c r="L493" s="12"/>
      <c r="M493" s="12"/>
      <c r="N493" s="5"/>
      <c r="O493" s="5"/>
      <c r="P493" s="5"/>
      <c r="Q493" s="5"/>
      <c r="R493" s="5"/>
      <c r="S493" s="5"/>
      <c r="T493" s="5"/>
      <c r="U493" s="12"/>
      <c r="V493" s="5"/>
      <c r="W493" s="11"/>
      <c r="X493" s="11"/>
      <c r="Y493" s="13"/>
      <c r="Z493" s="5"/>
      <c r="AA493" s="14"/>
      <c r="AB493" s="5"/>
      <c r="AC493" s="5"/>
      <c r="AD493" s="5"/>
      <c r="AE493" s="5"/>
      <c r="AF493" s="5"/>
      <c r="AG493" s="5"/>
      <c r="AH493" s="5"/>
      <c r="AI493" s="5"/>
      <c r="AJ493" s="5"/>
    </row>
    <row r="494">
      <c r="A494" s="5"/>
      <c r="B494" s="5"/>
      <c r="C494" s="5"/>
      <c r="D494" s="5"/>
      <c r="E494" s="11"/>
      <c r="F494" s="12"/>
      <c r="G494" s="5"/>
      <c r="H494" s="12"/>
      <c r="I494" s="12"/>
      <c r="J494" s="12"/>
      <c r="K494" s="12"/>
      <c r="L494" s="12"/>
      <c r="M494" s="12"/>
      <c r="N494" s="5"/>
      <c r="O494" s="5"/>
      <c r="P494" s="5"/>
      <c r="Q494" s="5"/>
      <c r="R494" s="5"/>
      <c r="S494" s="5"/>
      <c r="T494" s="5"/>
      <c r="U494" s="12"/>
      <c r="V494" s="5"/>
      <c r="W494" s="11"/>
      <c r="X494" s="11"/>
      <c r="Y494" s="13"/>
      <c r="Z494" s="5"/>
      <c r="AA494" s="14"/>
      <c r="AB494" s="5"/>
      <c r="AC494" s="5"/>
      <c r="AD494" s="5"/>
      <c r="AE494" s="5"/>
      <c r="AF494" s="5"/>
      <c r="AG494" s="5"/>
      <c r="AH494" s="5"/>
      <c r="AI494" s="5"/>
      <c r="AJ494" s="5"/>
    </row>
    <row r="495">
      <c r="A495" s="5"/>
      <c r="B495" s="5"/>
      <c r="C495" s="5"/>
      <c r="D495" s="5"/>
      <c r="E495" s="11"/>
      <c r="F495" s="12"/>
      <c r="G495" s="5"/>
      <c r="H495" s="12"/>
      <c r="I495" s="12"/>
      <c r="J495" s="12"/>
      <c r="K495" s="12"/>
      <c r="L495" s="12"/>
      <c r="M495" s="12"/>
      <c r="N495" s="5"/>
      <c r="O495" s="5"/>
      <c r="P495" s="5"/>
      <c r="Q495" s="5"/>
      <c r="R495" s="5"/>
      <c r="S495" s="5"/>
      <c r="T495" s="5"/>
      <c r="U495" s="12"/>
      <c r="V495" s="5"/>
      <c r="W495" s="11"/>
      <c r="X495" s="11"/>
      <c r="Y495" s="13"/>
      <c r="Z495" s="5"/>
      <c r="AA495" s="14"/>
      <c r="AB495" s="5"/>
      <c r="AC495" s="5"/>
      <c r="AD495" s="5"/>
      <c r="AE495" s="5"/>
      <c r="AF495" s="5"/>
      <c r="AG495" s="5"/>
      <c r="AH495" s="5"/>
      <c r="AI495" s="5"/>
      <c r="AJ495" s="5"/>
    </row>
    <row r="496">
      <c r="A496" s="5"/>
      <c r="B496" s="5"/>
      <c r="C496" s="5"/>
      <c r="D496" s="5"/>
      <c r="E496" s="11"/>
      <c r="F496" s="12"/>
      <c r="G496" s="5"/>
      <c r="H496" s="12"/>
      <c r="I496" s="12"/>
      <c r="J496" s="12"/>
      <c r="K496" s="12"/>
      <c r="L496" s="12"/>
      <c r="M496" s="12"/>
      <c r="N496" s="5"/>
      <c r="O496" s="5"/>
      <c r="P496" s="5"/>
      <c r="Q496" s="5"/>
      <c r="R496" s="5"/>
      <c r="S496" s="5"/>
      <c r="T496" s="5"/>
      <c r="U496" s="12"/>
      <c r="V496" s="5"/>
      <c r="W496" s="11"/>
      <c r="X496" s="11"/>
      <c r="Y496" s="13"/>
      <c r="Z496" s="5"/>
      <c r="AA496" s="14"/>
      <c r="AB496" s="5"/>
      <c r="AC496" s="5"/>
      <c r="AD496" s="5"/>
      <c r="AE496" s="5"/>
      <c r="AF496" s="5"/>
      <c r="AG496" s="5"/>
      <c r="AH496" s="5"/>
      <c r="AI496" s="5"/>
      <c r="AJ496" s="5"/>
    </row>
    <row r="497">
      <c r="A497" s="5"/>
      <c r="B497" s="5"/>
      <c r="C497" s="5"/>
      <c r="D497" s="5"/>
      <c r="E497" s="11"/>
      <c r="F497" s="12"/>
      <c r="G497" s="5"/>
      <c r="H497" s="12"/>
      <c r="I497" s="12"/>
      <c r="J497" s="12"/>
      <c r="K497" s="12"/>
      <c r="L497" s="12"/>
      <c r="M497" s="12"/>
      <c r="N497" s="5"/>
      <c r="O497" s="5"/>
      <c r="P497" s="5"/>
      <c r="Q497" s="5"/>
      <c r="R497" s="5"/>
      <c r="S497" s="5"/>
      <c r="T497" s="5"/>
      <c r="U497" s="12"/>
      <c r="V497" s="5"/>
      <c r="W497" s="11"/>
      <c r="X497" s="11"/>
      <c r="Y497" s="13"/>
      <c r="Z497" s="5"/>
      <c r="AA497" s="14"/>
      <c r="AB497" s="5"/>
      <c r="AC497" s="5"/>
      <c r="AD497" s="5"/>
      <c r="AE497" s="5"/>
      <c r="AF497" s="5"/>
      <c r="AG497" s="5"/>
      <c r="AH497" s="5"/>
      <c r="AI497" s="5"/>
      <c r="AJ497" s="5"/>
    </row>
    <row r="498">
      <c r="A498" s="5"/>
      <c r="B498" s="5"/>
      <c r="C498" s="5"/>
      <c r="D498" s="5"/>
      <c r="E498" s="11"/>
      <c r="F498" s="12"/>
      <c r="G498" s="5"/>
      <c r="H498" s="12"/>
      <c r="I498" s="12"/>
      <c r="J498" s="12"/>
      <c r="K498" s="12"/>
      <c r="L498" s="12"/>
      <c r="M498" s="12"/>
      <c r="N498" s="5"/>
      <c r="O498" s="5"/>
      <c r="P498" s="5"/>
      <c r="Q498" s="5"/>
      <c r="R498" s="5"/>
      <c r="S498" s="5"/>
      <c r="T498" s="5"/>
      <c r="U498" s="12"/>
      <c r="V498" s="5"/>
      <c r="W498" s="11"/>
      <c r="X498" s="11"/>
      <c r="Y498" s="13"/>
      <c r="Z498" s="5"/>
      <c r="AA498" s="14"/>
      <c r="AB498" s="5"/>
      <c r="AC498" s="5"/>
      <c r="AD498" s="5"/>
      <c r="AE498" s="5"/>
      <c r="AF498" s="5"/>
      <c r="AG498" s="5"/>
      <c r="AH498" s="5"/>
      <c r="AI498" s="5"/>
      <c r="AJ498" s="5"/>
    </row>
    <row r="499">
      <c r="A499" s="5"/>
      <c r="B499" s="5"/>
      <c r="C499" s="5"/>
      <c r="D499" s="5"/>
      <c r="E499" s="11"/>
      <c r="F499" s="12"/>
      <c r="G499" s="5"/>
      <c r="H499" s="12"/>
      <c r="I499" s="12"/>
      <c r="J499" s="12"/>
      <c r="K499" s="12"/>
      <c r="L499" s="12"/>
      <c r="M499" s="12"/>
      <c r="N499" s="5"/>
      <c r="O499" s="5"/>
      <c r="P499" s="5"/>
      <c r="Q499" s="5"/>
      <c r="R499" s="5"/>
      <c r="S499" s="5"/>
      <c r="T499" s="5"/>
      <c r="U499" s="12"/>
      <c r="V499" s="5"/>
      <c r="W499" s="11"/>
      <c r="X499" s="11"/>
      <c r="Y499" s="13"/>
      <c r="Z499" s="5"/>
      <c r="AA499" s="14"/>
      <c r="AB499" s="5"/>
      <c r="AC499" s="5"/>
      <c r="AD499" s="5"/>
      <c r="AE499" s="5"/>
      <c r="AF499" s="5"/>
      <c r="AG499" s="5"/>
      <c r="AH499" s="5"/>
      <c r="AI499" s="5"/>
      <c r="AJ499" s="5"/>
    </row>
    <row r="500">
      <c r="A500" s="5"/>
      <c r="B500" s="5"/>
      <c r="C500" s="5"/>
      <c r="D500" s="5"/>
      <c r="E500" s="11"/>
      <c r="F500" s="12"/>
      <c r="G500" s="5"/>
      <c r="H500" s="12"/>
      <c r="I500" s="12"/>
      <c r="J500" s="12"/>
      <c r="K500" s="12"/>
      <c r="L500" s="12"/>
      <c r="M500" s="12"/>
      <c r="N500" s="5"/>
      <c r="O500" s="5"/>
      <c r="P500" s="5"/>
      <c r="Q500" s="5"/>
      <c r="R500" s="5"/>
      <c r="S500" s="5"/>
      <c r="T500" s="5"/>
      <c r="U500" s="12"/>
      <c r="V500" s="5"/>
      <c r="W500" s="11"/>
      <c r="X500" s="11"/>
      <c r="Y500" s="13"/>
      <c r="Z500" s="5"/>
      <c r="AA500" s="14"/>
      <c r="AB500" s="5"/>
      <c r="AC500" s="5"/>
      <c r="AD500" s="5"/>
      <c r="AE500" s="5"/>
      <c r="AF500" s="5"/>
      <c r="AG500" s="5"/>
      <c r="AH500" s="5"/>
      <c r="AI500" s="5"/>
      <c r="AJ500" s="5"/>
    </row>
    <row r="501">
      <c r="A501" s="5"/>
      <c r="B501" s="5"/>
      <c r="C501" s="5"/>
      <c r="D501" s="5"/>
      <c r="E501" s="11"/>
      <c r="F501" s="12"/>
      <c r="G501" s="5"/>
      <c r="H501" s="12"/>
      <c r="I501" s="12"/>
      <c r="J501" s="12"/>
      <c r="K501" s="12"/>
      <c r="L501" s="12"/>
      <c r="M501" s="12"/>
      <c r="N501" s="5"/>
      <c r="O501" s="5"/>
      <c r="P501" s="5"/>
      <c r="Q501" s="5"/>
      <c r="R501" s="5"/>
      <c r="S501" s="5"/>
      <c r="T501" s="5"/>
      <c r="U501" s="12"/>
      <c r="V501" s="5"/>
      <c r="W501" s="11"/>
      <c r="X501" s="11"/>
      <c r="Y501" s="13"/>
      <c r="Z501" s="5"/>
      <c r="AA501" s="14"/>
      <c r="AB501" s="5"/>
      <c r="AC501" s="5"/>
      <c r="AD501" s="5"/>
      <c r="AE501" s="5"/>
      <c r="AF501" s="5"/>
      <c r="AG501" s="5"/>
      <c r="AH501" s="5"/>
      <c r="AI501" s="5"/>
      <c r="AJ501" s="5"/>
    </row>
    <row r="502">
      <c r="A502" s="5"/>
      <c r="B502" s="5"/>
      <c r="C502" s="5"/>
      <c r="D502" s="5"/>
      <c r="E502" s="11"/>
      <c r="F502" s="12"/>
      <c r="G502" s="5"/>
      <c r="H502" s="12"/>
      <c r="I502" s="12"/>
      <c r="J502" s="12"/>
      <c r="K502" s="12"/>
      <c r="L502" s="12"/>
      <c r="M502" s="12"/>
      <c r="N502" s="5"/>
      <c r="O502" s="5"/>
      <c r="P502" s="5"/>
      <c r="Q502" s="5"/>
      <c r="R502" s="5"/>
      <c r="S502" s="5"/>
      <c r="T502" s="5"/>
      <c r="U502" s="12"/>
      <c r="V502" s="5"/>
      <c r="W502" s="11"/>
      <c r="X502" s="11"/>
      <c r="Y502" s="13"/>
      <c r="Z502" s="5"/>
      <c r="AA502" s="14"/>
      <c r="AB502" s="5"/>
      <c r="AC502" s="5"/>
      <c r="AD502" s="5"/>
      <c r="AE502" s="5"/>
      <c r="AF502" s="5"/>
      <c r="AG502" s="5"/>
      <c r="AH502" s="5"/>
      <c r="AI502" s="5"/>
      <c r="AJ502" s="5"/>
    </row>
    <row r="503">
      <c r="A503" s="5"/>
      <c r="B503" s="5"/>
      <c r="C503" s="5"/>
      <c r="D503" s="5"/>
      <c r="E503" s="11"/>
      <c r="F503" s="12"/>
      <c r="G503" s="5"/>
      <c r="H503" s="12"/>
      <c r="I503" s="12"/>
      <c r="J503" s="12"/>
      <c r="K503" s="12"/>
      <c r="L503" s="12"/>
      <c r="M503" s="12"/>
      <c r="N503" s="5"/>
      <c r="O503" s="5"/>
      <c r="P503" s="5"/>
      <c r="Q503" s="5"/>
      <c r="R503" s="5"/>
      <c r="S503" s="5"/>
      <c r="T503" s="5"/>
      <c r="U503" s="12"/>
      <c r="V503" s="5"/>
      <c r="W503" s="11"/>
      <c r="X503" s="11"/>
      <c r="Y503" s="13"/>
      <c r="Z503" s="5"/>
      <c r="AA503" s="14"/>
      <c r="AB503" s="5"/>
      <c r="AC503" s="5"/>
      <c r="AD503" s="5"/>
      <c r="AE503" s="5"/>
      <c r="AF503" s="5"/>
      <c r="AG503" s="5"/>
      <c r="AH503" s="5"/>
      <c r="AI503" s="5"/>
      <c r="AJ503" s="5"/>
    </row>
    <row r="504">
      <c r="A504" s="5"/>
      <c r="B504" s="5"/>
      <c r="C504" s="5"/>
      <c r="D504" s="5"/>
      <c r="E504" s="11"/>
      <c r="F504" s="12"/>
      <c r="G504" s="5"/>
      <c r="H504" s="12"/>
      <c r="I504" s="12"/>
      <c r="J504" s="12"/>
      <c r="K504" s="12"/>
      <c r="L504" s="12"/>
      <c r="M504" s="12"/>
      <c r="N504" s="5"/>
      <c r="O504" s="5"/>
      <c r="P504" s="5"/>
      <c r="Q504" s="5"/>
      <c r="R504" s="5"/>
      <c r="S504" s="5"/>
      <c r="T504" s="5"/>
      <c r="U504" s="12"/>
      <c r="V504" s="5"/>
      <c r="W504" s="11"/>
      <c r="X504" s="11"/>
      <c r="Y504" s="13"/>
      <c r="Z504" s="5"/>
      <c r="AA504" s="14"/>
      <c r="AB504" s="5"/>
      <c r="AC504" s="5"/>
      <c r="AD504" s="5"/>
      <c r="AE504" s="5"/>
      <c r="AF504" s="5"/>
      <c r="AG504" s="5"/>
      <c r="AH504" s="5"/>
      <c r="AI504" s="5"/>
      <c r="AJ504" s="5"/>
    </row>
    <row r="505">
      <c r="A505" s="5"/>
      <c r="B505" s="5"/>
      <c r="C505" s="5"/>
      <c r="D505" s="5"/>
      <c r="E505" s="11"/>
      <c r="F505" s="12"/>
      <c r="G505" s="5"/>
      <c r="H505" s="12"/>
      <c r="I505" s="12"/>
      <c r="J505" s="12"/>
      <c r="K505" s="12"/>
      <c r="L505" s="12"/>
      <c r="M505" s="12"/>
      <c r="N505" s="5"/>
      <c r="O505" s="5"/>
      <c r="P505" s="5"/>
      <c r="Q505" s="5"/>
      <c r="R505" s="5"/>
      <c r="S505" s="5"/>
      <c r="T505" s="5"/>
      <c r="U505" s="12"/>
      <c r="V505" s="5"/>
      <c r="W505" s="11"/>
      <c r="X505" s="11"/>
      <c r="Y505" s="13"/>
      <c r="Z505" s="5"/>
      <c r="AA505" s="14"/>
      <c r="AB505" s="5"/>
      <c r="AC505" s="5"/>
      <c r="AD505" s="5"/>
      <c r="AE505" s="5"/>
      <c r="AF505" s="5"/>
      <c r="AG505" s="5"/>
      <c r="AH505" s="5"/>
      <c r="AI505" s="5"/>
      <c r="AJ505" s="5"/>
    </row>
    <row r="506">
      <c r="A506" s="5"/>
      <c r="B506" s="5"/>
      <c r="C506" s="5"/>
      <c r="D506" s="5"/>
      <c r="E506" s="11"/>
      <c r="F506" s="12"/>
      <c r="G506" s="5"/>
      <c r="H506" s="12"/>
      <c r="I506" s="12"/>
      <c r="J506" s="12"/>
      <c r="K506" s="12"/>
      <c r="L506" s="12"/>
      <c r="M506" s="12"/>
      <c r="N506" s="5"/>
      <c r="O506" s="5"/>
      <c r="P506" s="5"/>
      <c r="Q506" s="5"/>
      <c r="R506" s="5"/>
      <c r="S506" s="5"/>
      <c r="T506" s="5"/>
      <c r="U506" s="12"/>
      <c r="V506" s="5"/>
      <c r="W506" s="11"/>
      <c r="X506" s="11"/>
      <c r="Y506" s="13"/>
      <c r="Z506" s="5"/>
      <c r="AA506" s="14"/>
      <c r="AB506" s="5"/>
      <c r="AC506" s="5"/>
      <c r="AD506" s="5"/>
      <c r="AE506" s="5"/>
      <c r="AF506" s="5"/>
      <c r="AG506" s="5"/>
      <c r="AH506" s="5"/>
      <c r="AI506" s="5"/>
      <c r="AJ506" s="5"/>
    </row>
    <row r="507">
      <c r="A507" s="5"/>
      <c r="B507" s="5"/>
      <c r="C507" s="5"/>
      <c r="D507" s="5"/>
      <c r="E507" s="11"/>
      <c r="F507" s="12"/>
      <c r="G507" s="5"/>
      <c r="H507" s="12"/>
      <c r="I507" s="12"/>
      <c r="J507" s="12"/>
      <c r="K507" s="12"/>
      <c r="L507" s="12"/>
      <c r="M507" s="12"/>
      <c r="N507" s="5"/>
      <c r="O507" s="5"/>
      <c r="P507" s="5"/>
      <c r="Q507" s="5"/>
      <c r="R507" s="5"/>
      <c r="S507" s="5"/>
      <c r="T507" s="5"/>
      <c r="U507" s="12"/>
      <c r="V507" s="5"/>
      <c r="W507" s="11"/>
      <c r="X507" s="11"/>
      <c r="Y507" s="13"/>
      <c r="Z507" s="5"/>
      <c r="AA507" s="14"/>
      <c r="AB507" s="5"/>
      <c r="AC507" s="5"/>
      <c r="AD507" s="5"/>
      <c r="AE507" s="5"/>
      <c r="AF507" s="5"/>
      <c r="AG507" s="5"/>
      <c r="AH507" s="5"/>
      <c r="AI507" s="5"/>
      <c r="AJ507" s="5"/>
    </row>
    <row r="508">
      <c r="A508" s="5"/>
      <c r="B508" s="5"/>
      <c r="C508" s="5"/>
      <c r="D508" s="5"/>
      <c r="E508" s="11"/>
      <c r="F508" s="12"/>
      <c r="G508" s="5"/>
      <c r="H508" s="12"/>
      <c r="I508" s="12"/>
      <c r="J508" s="12"/>
      <c r="K508" s="12"/>
      <c r="L508" s="12"/>
      <c r="M508" s="12"/>
      <c r="N508" s="5"/>
      <c r="O508" s="5"/>
      <c r="P508" s="5"/>
      <c r="Q508" s="5"/>
      <c r="R508" s="5"/>
      <c r="S508" s="5"/>
      <c r="T508" s="5"/>
      <c r="U508" s="12"/>
      <c r="V508" s="5"/>
      <c r="W508" s="11"/>
      <c r="X508" s="11"/>
      <c r="Y508" s="13"/>
      <c r="Z508" s="5"/>
      <c r="AA508" s="14"/>
      <c r="AB508" s="5"/>
      <c r="AC508" s="5"/>
      <c r="AD508" s="5"/>
      <c r="AE508" s="5"/>
      <c r="AF508" s="5"/>
      <c r="AG508" s="5"/>
      <c r="AH508" s="5"/>
      <c r="AI508" s="5"/>
      <c r="AJ508" s="5"/>
    </row>
    <row r="509">
      <c r="A509" s="5"/>
      <c r="B509" s="5"/>
      <c r="C509" s="5"/>
      <c r="D509" s="5"/>
      <c r="E509" s="11"/>
      <c r="F509" s="12"/>
      <c r="G509" s="5"/>
      <c r="H509" s="12"/>
      <c r="I509" s="12"/>
      <c r="J509" s="12"/>
      <c r="K509" s="12"/>
      <c r="L509" s="12"/>
      <c r="M509" s="12"/>
      <c r="N509" s="5"/>
      <c r="O509" s="5"/>
      <c r="P509" s="5"/>
      <c r="Q509" s="5"/>
      <c r="R509" s="5"/>
      <c r="S509" s="5"/>
      <c r="T509" s="5"/>
      <c r="U509" s="12"/>
      <c r="V509" s="5"/>
      <c r="W509" s="11"/>
      <c r="X509" s="11"/>
      <c r="Y509" s="13"/>
      <c r="Z509" s="5"/>
      <c r="AA509" s="14"/>
      <c r="AB509" s="5"/>
      <c r="AC509" s="5"/>
      <c r="AD509" s="5"/>
      <c r="AE509" s="5"/>
      <c r="AF509" s="5"/>
      <c r="AG509" s="5"/>
      <c r="AH509" s="5"/>
      <c r="AI509" s="5"/>
      <c r="AJ509" s="5"/>
    </row>
    <row r="510">
      <c r="A510" s="5"/>
      <c r="B510" s="5"/>
      <c r="C510" s="5"/>
      <c r="D510" s="5"/>
      <c r="E510" s="11"/>
      <c r="F510" s="12"/>
      <c r="G510" s="5"/>
      <c r="H510" s="12"/>
      <c r="I510" s="12"/>
      <c r="J510" s="12"/>
      <c r="K510" s="12"/>
      <c r="L510" s="12"/>
      <c r="M510" s="12"/>
      <c r="N510" s="5"/>
      <c r="O510" s="5"/>
      <c r="P510" s="5"/>
      <c r="Q510" s="5"/>
      <c r="R510" s="5"/>
      <c r="S510" s="5"/>
      <c r="T510" s="5"/>
      <c r="U510" s="12"/>
      <c r="V510" s="5"/>
      <c r="W510" s="11"/>
      <c r="X510" s="11"/>
      <c r="Y510" s="13"/>
      <c r="Z510" s="5"/>
      <c r="AA510" s="14"/>
      <c r="AB510" s="5"/>
      <c r="AC510" s="5"/>
      <c r="AD510" s="5"/>
      <c r="AE510" s="5"/>
      <c r="AF510" s="5"/>
      <c r="AG510" s="5"/>
      <c r="AH510" s="5"/>
      <c r="AI510" s="5"/>
      <c r="AJ510" s="5"/>
    </row>
    <row r="511">
      <c r="A511" s="5"/>
      <c r="B511" s="5"/>
      <c r="C511" s="5"/>
      <c r="D511" s="5"/>
      <c r="E511" s="11"/>
      <c r="F511" s="12"/>
      <c r="G511" s="5"/>
      <c r="H511" s="12"/>
      <c r="I511" s="12"/>
      <c r="J511" s="12"/>
      <c r="K511" s="12"/>
      <c r="L511" s="12"/>
      <c r="M511" s="12"/>
      <c r="N511" s="5"/>
      <c r="O511" s="5"/>
      <c r="P511" s="5"/>
      <c r="Q511" s="5"/>
      <c r="R511" s="5"/>
      <c r="S511" s="5"/>
      <c r="T511" s="5"/>
      <c r="U511" s="12"/>
      <c r="V511" s="5"/>
      <c r="W511" s="11"/>
      <c r="X511" s="11"/>
      <c r="Y511" s="13"/>
      <c r="Z511" s="5"/>
      <c r="AA511" s="14"/>
      <c r="AB511" s="5"/>
      <c r="AC511" s="5"/>
      <c r="AD511" s="5"/>
      <c r="AE511" s="5"/>
      <c r="AF511" s="5"/>
      <c r="AG511" s="5"/>
      <c r="AH511" s="5"/>
      <c r="AI511" s="5"/>
      <c r="AJ511" s="5"/>
    </row>
    <row r="512">
      <c r="A512" s="5"/>
      <c r="B512" s="5"/>
      <c r="C512" s="5"/>
      <c r="D512" s="5"/>
      <c r="E512" s="11"/>
      <c r="F512" s="12"/>
      <c r="G512" s="5"/>
      <c r="H512" s="12"/>
      <c r="I512" s="12"/>
      <c r="J512" s="12"/>
      <c r="K512" s="12"/>
      <c r="L512" s="12"/>
      <c r="M512" s="12"/>
      <c r="N512" s="5"/>
      <c r="O512" s="5"/>
      <c r="P512" s="5"/>
      <c r="Q512" s="5"/>
      <c r="R512" s="5"/>
      <c r="S512" s="5"/>
      <c r="T512" s="5"/>
      <c r="U512" s="12"/>
      <c r="V512" s="5"/>
      <c r="W512" s="11"/>
      <c r="X512" s="11"/>
      <c r="Y512" s="13"/>
      <c r="Z512" s="5"/>
      <c r="AA512" s="14"/>
      <c r="AB512" s="5"/>
      <c r="AC512" s="5"/>
      <c r="AD512" s="5"/>
      <c r="AE512" s="5"/>
      <c r="AF512" s="5"/>
      <c r="AG512" s="5"/>
      <c r="AH512" s="5"/>
      <c r="AI512" s="5"/>
      <c r="AJ512" s="5"/>
    </row>
    <row r="513">
      <c r="A513" s="5"/>
      <c r="B513" s="5"/>
      <c r="C513" s="5"/>
      <c r="D513" s="5"/>
      <c r="E513" s="11"/>
      <c r="F513" s="12"/>
      <c r="G513" s="5"/>
      <c r="H513" s="12"/>
      <c r="I513" s="12"/>
      <c r="J513" s="12"/>
      <c r="K513" s="12"/>
      <c r="L513" s="12"/>
      <c r="M513" s="12"/>
      <c r="N513" s="5"/>
      <c r="O513" s="5"/>
      <c r="P513" s="5"/>
      <c r="Q513" s="5"/>
      <c r="R513" s="5"/>
      <c r="S513" s="5"/>
      <c r="T513" s="5"/>
      <c r="U513" s="12"/>
      <c r="V513" s="5"/>
      <c r="W513" s="11"/>
      <c r="X513" s="11"/>
      <c r="Y513" s="13"/>
      <c r="Z513" s="5"/>
      <c r="AA513" s="14"/>
      <c r="AB513" s="5"/>
      <c r="AC513" s="5"/>
      <c r="AD513" s="5"/>
      <c r="AE513" s="5"/>
      <c r="AF513" s="5"/>
      <c r="AG513" s="5"/>
      <c r="AH513" s="5"/>
      <c r="AI513" s="5"/>
      <c r="AJ513" s="5"/>
    </row>
    <row r="514">
      <c r="A514" s="5"/>
      <c r="B514" s="5"/>
      <c r="C514" s="5"/>
      <c r="D514" s="5"/>
      <c r="E514" s="11"/>
      <c r="F514" s="12"/>
      <c r="G514" s="5"/>
      <c r="H514" s="12"/>
      <c r="I514" s="12"/>
      <c r="J514" s="12"/>
      <c r="K514" s="12"/>
      <c r="L514" s="12"/>
      <c r="M514" s="12"/>
      <c r="N514" s="5"/>
      <c r="O514" s="5"/>
      <c r="P514" s="5"/>
      <c r="Q514" s="5"/>
      <c r="R514" s="5"/>
      <c r="S514" s="5"/>
      <c r="T514" s="5"/>
      <c r="U514" s="12"/>
      <c r="V514" s="5"/>
      <c r="W514" s="11"/>
      <c r="X514" s="11"/>
      <c r="Y514" s="13"/>
      <c r="Z514" s="5"/>
      <c r="AA514" s="14"/>
      <c r="AB514" s="5"/>
      <c r="AC514" s="5"/>
      <c r="AD514" s="5"/>
      <c r="AE514" s="5"/>
      <c r="AF514" s="5"/>
      <c r="AG514" s="5"/>
      <c r="AH514" s="5"/>
      <c r="AI514" s="5"/>
      <c r="AJ514" s="5"/>
    </row>
    <row r="515">
      <c r="A515" s="5"/>
      <c r="B515" s="5"/>
      <c r="C515" s="5"/>
      <c r="D515" s="5"/>
      <c r="E515" s="11"/>
      <c r="F515" s="12"/>
      <c r="G515" s="5"/>
      <c r="H515" s="12"/>
      <c r="I515" s="12"/>
      <c r="J515" s="12"/>
      <c r="K515" s="12"/>
      <c r="L515" s="12"/>
      <c r="M515" s="12"/>
      <c r="N515" s="5"/>
      <c r="O515" s="5"/>
      <c r="P515" s="5"/>
      <c r="Q515" s="5"/>
      <c r="R515" s="5"/>
      <c r="S515" s="5"/>
      <c r="T515" s="5"/>
      <c r="U515" s="12"/>
      <c r="V515" s="5"/>
      <c r="W515" s="11"/>
      <c r="X515" s="11"/>
      <c r="Y515" s="13"/>
      <c r="Z515" s="5"/>
      <c r="AA515" s="14"/>
      <c r="AB515" s="5"/>
      <c r="AC515" s="5"/>
      <c r="AD515" s="5"/>
      <c r="AE515" s="5"/>
      <c r="AF515" s="5"/>
      <c r="AG515" s="5"/>
      <c r="AH515" s="5"/>
      <c r="AI515" s="5"/>
      <c r="AJ515" s="5"/>
    </row>
    <row r="516">
      <c r="A516" s="5"/>
      <c r="B516" s="5"/>
      <c r="C516" s="5"/>
      <c r="D516" s="5"/>
      <c r="E516" s="11"/>
      <c r="F516" s="12"/>
      <c r="G516" s="5"/>
      <c r="H516" s="12"/>
      <c r="I516" s="12"/>
      <c r="J516" s="12"/>
      <c r="K516" s="12"/>
      <c r="L516" s="12"/>
      <c r="M516" s="12"/>
      <c r="N516" s="5"/>
      <c r="O516" s="5"/>
      <c r="P516" s="5"/>
      <c r="Q516" s="5"/>
      <c r="R516" s="5"/>
      <c r="S516" s="5"/>
      <c r="T516" s="5"/>
      <c r="U516" s="12"/>
      <c r="V516" s="5"/>
      <c r="W516" s="11"/>
      <c r="X516" s="11"/>
      <c r="Y516" s="13"/>
      <c r="Z516" s="5"/>
      <c r="AA516" s="14"/>
      <c r="AB516" s="5"/>
      <c r="AC516" s="5"/>
      <c r="AD516" s="5"/>
      <c r="AE516" s="5"/>
      <c r="AF516" s="5"/>
      <c r="AG516" s="5"/>
      <c r="AH516" s="5"/>
      <c r="AI516" s="5"/>
      <c r="AJ516" s="5"/>
    </row>
    <row r="517">
      <c r="A517" s="5"/>
      <c r="B517" s="5"/>
      <c r="C517" s="5"/>
      <c r="D517" s="5"/>
      <c r="E517" s="11"/>
      <c r="F517" s="12"/>
      <c r="G517" s="5"/>
      <c r="H517" s="12"/>
      <c r="I517" s="12"/>
      <c r="J517" s="12"/>
      <c r="K517" s="12"/>
      <c r="L517" s="12"/>
      <c r="M517" s="12"/>
      <c r="N517" s="5"/>
      <c r="O517" s="5"/>
      <c r="P517" s="5"/>
      <c r="Q517" s="5"/>
      <c r="R517" s="5"/>
      <c r="S517" s="5"/>
      <c r="T517" s="5"/>
      <c r="U517" s="12"/>
      <c r="V517" s="5"/>
      <c r="W517" s="11"/>
      <c r="X517" s="11"/>
      <c r="Y517" s="13"/>
      <c r="Z517" s="5"/>
      <c r="AA517" s="14"/>
      <c r="AB517" s="5"/>
      <c r="AC517" s="5"/>
      <c r="AD517" s="5"/>
      <c r="AE517" s="5"/>
      <c r="AF517" s="5"/>
      <c r="AG517" s="5"/>
      <c r="AH517" s="5"/>
      <c r="AI517" s="5"/>
      <c r="AJ517" s="5"/>
    </row>
    <row r="518">
      <c r="A518" s="5"/>
      <c r="B518" s="5"/>
      <c r="C518" s="5"/>
      <c r="D518" s="5"/>
      <c r="E518" s="11"/>
      <c r="F518" s="12"/>
      <c r="G518" s="5"/>
      <c r="H518" s="12"/>
      <c r="I518" s="12"/>
      <c r="J518" s="12"/>
      <c r="K518" s="12"/>
      <c r="L518" s="12"/>
      <c r="M518" s="12"/>
      <c r="N518" s="5"/>
      <c r="O518" s="5"/>
      <c r="P518" s="5"/>
      <c r="Q518" s="5"/>
      <c r="R518" s="5"/>
      <c r="S518" s="5"/>
      <c r="T518" s="5"/>
      <c r="U518" s="12"/>
      <c r="V518" s="5"/>
      <c r="W518" s="11"/>
      <c r="X518" s="11"/>
      <c r="Y518" s="13"/>
      <c r="Z518" s="5"/>
      <c r="AA518" s="14"/>
      <c r="AB518" s="5"/>
      <c r="AC518" s="5"/>
      <c r="AD518" s="5"/>
      <c r="AE518" s="5"/>
      <c r="AF518" s="5"/>
      <c r="AG518" s="5"/>
      <c r="AH518" s="5"/>
      <c r="AI518" s="5"/>
      <c r="AJ518" s="5"/>
    </row>
    <row r="519">
      <c r="A519" s="5"/>
      <c r="B519" s="5"/>
      <c r="C519" s="5"/>
      <c r="D519" s="5"/>
      <c r="E519" s="11"/>
      <c r="F519" s="12"/>
      <c r="G519" s="5"/>
      <c r="H519" s="12"/>
      <c r="I519" s="12"/>
      <c r="J519" s="12"/>
      <c r="K519" s="12"/>
      <c r="L519" s="12"/>
      <c r="M519" s="12"/>
      <c r="N519" s="5"/>
      <c r="O519" s="5"/>
      <c r="P519" s="5"/>
      <c r="Q519" s="5"/>
      <c r="R519" s="5"/>
      <c r="S519" s="5"/>
      <c r="T519" s="5"/>
      <c r="U519" s="12"/>
      <c r="V519" s="5"/>
      <c r="W519" s="11"/>
      <c r="X519" s="11"/>
      <c r="Y519" s="13"/>
      <c r="Z519" s="5"/>
      <c r="AA519" s="14"/>
      <c r="AB519" s="5"/>
      <c r="AC519" s="5"/>
      <c r="AD519" s="5"/>
      <c r="AE519" s="5"/>
      <c r="AF519" s="5"/>
      <c r="AG519" s="5"/>
      <c r="AH519" s="5"/>
      <c r="AI519" s="5"/>
      <c r="AJ519" s="5"/>
    </row>
    <row r="520">
      <c r="A520" s="5"/>
      <c r="B520" s="5"/>
      <c r="C520" s="5"/>
      <c r="D520" s="5"/>
      <c r="E520" s="11"/>
      <c r="F520" s="12"/>
      <c r="G520" s="5"/>
      <c r="H520" s="12"/>
      <c r="I520" s="12"/>
      <c r="J520" s="12"/>
      <c r="K520" s="12"/>
      <c r="L520" s="12"/>
      <c r="M520" s="12"/>
      <c r="N520" s="5"/>
      <c r="O520" s="5"/>
      <c r="P520" s="5"/>
      <c r="Q520" s="5"/>
      <c r="R520" s="5"/>
      <c r="S520" s="5"/>
      <c r="T520" s="5"/>
      <c r="U520" s="12"/>
      <c r="V520" s="5"/>
      <c r="W520" s="11"/>
      <c r="X520" s="11"/>
      <c r="Y520" s="13"/>
      <c r="Z520" s="5"/>
      <c r="AA520" s="14"/>
      <c r="AB520" s="5"/>
      <c r="AC520" s="5"/>
      <c r="AD520" s="5"/>
      <c r="AE520" s="5"/>
      <c r="AF520" s="5"/>
      <c r="AG520" s="5"/>
      <c r="AH520" s="5"/>
      <c r="AI520" s="5"/>
      <c r="AJ520" s="5"/>
    </row>
    <row r="521">
      <c r="A521" s="5"/>
      <c r="B521" s="5"/>
      <c r="C521" s="5"/>
      <c r="D521" s="5"/>
      <c r="E521" s="11"/>
      <c r="F521" s="12"/>
      <c r="G521" s="5"/>
      <c r="H521" s="12"/>
      <c r="I521" s="12"/>
      <c r="J521" s="12"/>
      <c r="K521" s="12"/>
      <c r="L521" s="12"/>
      <c r="M521" s="12"/>
      <c r="N521" s="5"/>
      <c r="O521" s="5"/>
      <c r="P521" s="5"/>
      <c r="Q521" s="5"/>
      <c r="R521" s="5"/>
      <c r="S521" s="5"/>
      <c r="T521" s="5"/>
      <c r="U521" s="12"/>
      <c r="V521" s="5"/>
      <c r="W521" s="11"/>
      <c r="X521" s="11"/>
      <c r="Y521" s="13"/>
      <c r="Z521" s="5"/>
      <c r="AA521" s="14"/>
      <c r="AB521" s="5"/>
      <c r="AC521" s="5"/>
      <c r="AD521" s="5"/>
      <c r="AE521" s="5"/>
      <c r="AF521" s="5"/>
      <c r="AG521" s="5"/>
      <c r="AH521" s="5"/>
      <c r="AI521" s="5"/>
      <c r="AJ521" s="5"/>
    </row>
    <row r="522">
      <c r="A522" s="5"/>
      <c r="B522" s="5"/>
      <c r="C522" s="5"/>
      <c r="D522" s="5"/>
      <c r="E522" s="11"/>
      <c r="F522" s="12"/>
      <c r="G522" s="5"/>
      <c r="H522" s="12"/>
      <c r="I522" s="12"/>
      <c r="J522" s="12"/>
      <c r="K522" s="12"/>
      <c r="L522" s="12"/>
      <c r="M522" s="12"/>
      <c r="N522" s="5"/>
      <c r="O522" s="5"/>
      <c r="P522" s="5"/>
      <c r="Q522" s="5"/>
      <c r="R522" s="5"/>
      <c r="S522" s="5"/>
      <c r="T522" s="5"/>
      <c r="U522" s="12"/>
      <c r="V522" s="5"/>
      <c r="W522" s="11"/>
      <c r="X522" s="11"/>
      <c r="Y522" s="13"/>
      <c r="Z522" s="5"/>
      <c r="AA522" s="14"/>
      <c r="AB522" s="5"/>
      <c r="AC522" s="5"/>
      <c r="AD522" s="5"/>
      <c r="AE522" s="5"/>
      <c r="AF522" s="5"/>
      <c r="AG522" s="5"/>
      <c r="AH522" s="5"/>
      <c r="AI522" s="5"/>
      <c r="AJ522" s="5"/>
    </row>
    <row r="523">
      <c r="A523" s="5"/>
      <c r="B523" s="5"/>
      <c r="C523" s="5"/>
      <c r="D523" s="5"/>
      <c r="E523" s="11"/>
      <c r="F523" s="12"/>
      <c r="G523" s="5"/>
      <c r="H523" s="12"/>
      <c r="I523" s="12"/>
      <c r="J523" s="12"/>
      <c r="K523" s="12"/>
      <c r="L523" s="12"/>
      <c r="M523" s="12"/>
      <c r="N523" s="5"/>
      <c r="O523" s="5"/>
      <c r="P523" s="5"/>
      <c r="Q523" s="5"/>
      <c r="R523" s="5"/>
      <c r="S523" s="5"/>
      <c r="T523" s="5"/>
      <c r="U523" s="12"/>
      <c r="V523" s="5"/>
      <c r="W523" s="11"/>
      <c r="X523" s="11"/>
      <c r="Y523" s="13"/>
      <c r="Z523" s="5"/>
      <c r="AA523" s="14"/>
      <c r="AB523" s="5"/>
      <c r="AC523" s="5"/>
      <c r="AD523" s="5"/>
      <c r="AE523" s="5"/>
      <c r="AF523" s="5"/>
      <c r="AG523" s="5"/>
      <c r="AH523" s="5"/>
      <c r="AI523" s="5"/>
      <c r="AJ523" s="5"/>
    </row>
    <row r="524">
      <c r="A524" s="5"/>
      <c r="B524" s="5"/>
      <c r="C524" s="5"/>
      <c r="D524" s="5"/>
      <c r="E524" s="11"/>
      <c r="F524" s="12"/>
      <c r="G524" s="5"/>
      <c r="H524" s="12"/>
      <c r="I524" s="12"/>
      <c r="J524" s="12"/>
      <c r="K524" s="12"/>
      <c r="L524" s="12"/>
      <c r="M524" s="12"/>
      <c r="N524" s="5"/>
      <c r="O524" s="5"/>
      <c r="P524" s="5"/>
      <c r="Q524" s="5"/>
      <c r="R524" s="5"/>
      <c r="S524" s="5"/>
      <c r="T524" s="5"/>
      <c r="U524" s="12"/>
      <c r="V524" s="5"/>
      <c r="W524" s="11"/>
      <c r="X524" s="11"/>
      <c r="Y524" s="13"/>
      <c r="Z524" s="5"/>
      <c r="AA524" s="14"/>
      <c r="AB524" s="5"/>
      <c r="AC524" s="5"/>
      <c r="AD524" s="5"/>
      <c r="AE524" s="5"/>
      <c r="AF524" s="5"/>
      <c r="AG524" s="5"/>
      <c r="AH524" s="5"/>
      <c r="AI524" s="5"/>
      <c r="AJ524" s="5"/>
    </row>
    <row r="525">
      <c r="A525" s="5"/>
      <c r="B525" s="5"/>
      <c r="C525" s="5"/>
      <c r="D525" s="5"/>
      <c r="E525" s="11"/>
      <c r="F525" s="12"/>
      <c r="G525" s="5"/>
      <c r="H525" s="12"/>
      <c r="I525" s="12"/>
      <c r="J525" s="12"/>
      <c r="K525" s="12"/>
      <c r="L525" s="12"/>
      <c r="M525" s="12"/>
      <c r="N525" s="5"/>
      <c r="O525" s="5"/>
      <c r="P525" s="5"/>
      <c r="Q525" s="5"/>
      <c r="R525" s="5"/>
      <c r="S525" s="5"/>
      <c r="T525" s="5"/>
      <c r="U525" s="12"/>
      <c r="V525" s="5"/>
      <c r="W525" s="11"/>
      <c r="X525" s="11"/>
      <c r="Y525" s="13"/>
      <c r="Z525" s="5"/>
      <c r="AA525" s="14"/>
      <c r="AB525" s="5"/>
      <c r="AC525" s="5"/>
      <c r="AD525" s="5"/>
      <c r="AE525" s="5"/>
      <c r="AF525" s="5"/>
      <c r="AG525" s="5"/>
      <c r="AH525" s="5"/>
      <c r="AI525" s="5"/>
      <c r="AJ525" s="5"/>
    </row>
    <row r="526">
      <c r="A526" s="5"/>
      <c r="B526" s="5"/>
      <c r="C526" s="5"/>
      <c r="D526" s="5"/>
      <c r="E526" s="11"/>
      <c r="F526" s="12"/>
      <c r="G526" s="5"/>
      <c r="H526" s="12"/>
      <c r="I526" s="12"/>
      <c r="J526" s="12"/>
      <c r="K526" s="12"/>
      <c r="L526" s="12"/>
      <c r="M526" s="12"/>
      <c r="N526" s="5"/>
      <c r="O526" s="5"/>
      <c r="P526" s="5"/>
      <c r="Q526" s="5"/>
      <c r="R526" s="5"/>
      <c r="S526" s="5"/>
      <c r="T526" s="5"/>
      <c r="U526" s="12"/>
      <c r="V526" s="5"/>
      <c r="W526" s="11"/>
      <c r="X526" s="11"/>
      <c r="Y526" s="13"/>
      <c r="Z526" s="5"/>
      <c r="AA526" s="14"/>
      <c r="AB526" s="5"/>
      <c r="AC526" s="5"/>
      <c r="AD526" s="5"/>
      <c r="AE526" s="5"/>
      <c r="AF526" s="5"/>
      <c r="AG526" s="5"/>
      <c r="AH526" s="5"/>
      <c r="AI526" s="5"/>
      <c r="AJ526" s="5"/>
    </row>
    <row r="527">
      <c r="A527" s="5"/>
      <c r="B527" s="5"/>
      <c r="C527" s="5"/>
      <c r="D527" s="5"/>
      <c r="E527" s="11"/>
      <c r="F527" s="12"/>
      <c r="G527" s="5"/>
      <c r="H527" s="12"/>
      <c r="I527" s="12"/>
      <c r="J527" s="12"/>
      <c r="K527" s="12"/>
      <c r="L527" s="12"/>
      <c r="M527" s="12"/>
      <c r="N527" s="5"/>
      <c r="O527" s="5"/>
      <c r="P527" s="5"/>
      <c r="Q527" s="5"/>
      <c r="R527" s="5"/>
      <c r="S527" s="5"/>
      <c r="T527" s="5"/>
      <c r="U527" s="12"/>
      <c r="V527" s="5"/>
      <c r="W527" s="11"/>
      <c r="X527" s="11"/>
      <c r="Y527" s="13"/>
      <c r="Z527" s="5"/>
      <c r="AA527" s="14"/>
      <c r="AB527" s="5"/>
      <c r="AC527" s="5"/>
      <c r="AD527" s="5"/>
      <c r="AE527" s="5"/>
      <c r="AF527" s="5"/>
      <c r="AG527" s="5"/>
      <c r="AH527" s="5"/>
      <c r="AI527" s="5"/>
      <c r="AJ527" s="5"/>
    </row>
    <row r="528">
      <c r="A528" s="5"/>
      <c r="B528" s="5"/>
      <c r="C528" s="5"/>
      <c r="D528" s="5"/>
      <c r="E528" s="11"/>
      <c r="F528" s="12"/>
      <c r="G528" s="5"/>
      <c r="H528" s="12"/>
      <c r="I528" s="12"/>
      <c r="J528" s="12"/>
      <c r="K528" s="12"/>
      <c r="L528" s="12"/>
      <c r="M528" s="12"/>
      <c r="N528" s="5"/>
      <c r="O528" s="5"/>
      <c r="P528" s="5"/>
      <c r="Q528" s="5"/>
      <c r="R528" s="5"/>
      <c r="S528" s="5"/>
      <c r="T528" s="5"/>
      <c r="U528" s="12"/>
      <c r="V528" s="5"/>
      <c r="W528" s="11"/>
      <c r="X528" s="11"/>
      <c r="Y528" s="13"/>
      <c r="Z528" s="5"/>
      <c r="AA528" s="14"/>
      <c r="AB528" s="5"/>
      <c r="AC528" s="5"/>
      <c r="AD528" s="5"/>
      <c r="AE528" s="5"/>
      <c r="AF528" s="5"/>
      <c r="AG528" s="5"/>
      <c r="AH528" s="5"/>
      <c r="AI528" s="5"/>
      <c r="AJ528" s="5"/>
    </row>
    <row r="529">
      <c r="A529" s="5"/>
      <c r="B529" s="5"/>
      <c r="C529" s="5"/>
      <c r="D529" s="5"/>
      <c r="E529" s="11"/>
      <c r="F529" s="12"/>
      <c r="G529" s="5"/>
      <c r="H529" s="12"/>
      <c r="I529" s="12"/>
      <c r="J529" s="12"/>
      <c r="K529" s="12"/>
      <c r="L529" s="12"/>
      <c r="M529" s="12"/>
      <c r="N529" s="5"/>
      <c r="O529" s="5"/>
      <c r="P529" s="5"/>
      <c r="Q529" s="5"/>
      <c r="R529" s="5"/>
      <c r="S529" s="5"/>
      <c r="T529" s="5"/>
      <c r="U529" s="12"/>
      <c r="V529" s="5"/>
      <c r="W529" s="11"/>
      <c r="X529" s="11"/>
      <c r="Y529" s="13"/>
      <c r="Z529" s="5"/>
      <c r="AA529" s="14"/>
      <c r="AB529" s="5"/>
      <c r="AC529" s="5"/>
      <c r="AD529" s="5"/>
      <c r="AE529" s="5"/>
      <c r="AF529" s="5"/>
      <c r="AG529" s="5"/>
      <c r="AH529" s="5"/>
      <c r="AI529" s="5"/>
      <c r="AJ529" s="5"/>
    </row>
    <row r="530">
      <c r="A530" s="5"/>
      <c r="B530" s="5"/>
      <c r="C530" s="5"/>
      <c r="D530" s="5"/>
      <c r="E530" s="11"/>
      <c r="F530" s="12"/>
      <c r="G530" s="5"/>
      <c r="H530" s="12"/>
      <c r="I530" s="12"/>
      <c r="J530" s="12"/>
      <c r="K530" s="12"/>
      <c r="L530" s="12"/>
      <c r="M530" s="12"/>
      <c r="N530" s="5"/>
      <c r="O530" s="5"/>
      <c r="P530" s="5"/>
      <c r="Q530" s="5"/>
      <c r="R530" s="5"/>
      <c r="S530" s="5"/>
      <c r="T530" s="5"/>
      <c r="U530" s="12"/>
      <c r="V530" s="5"/>
      <c r="W530" s="11"/>
      <c r="X530" s="11"/>
      <c r="Y530" s="13"/>
      <c r="Z530" s="5"/>
      <c r="AA530" s="14"/>
      <c r="AB530" s="5"/>
      <c r="AC530" s="5"/>
      <c r="AD530" s="5"/>
      <c r="AE530" s="5"/>
      <c r="AF530" s="5"/>
      <c r="AG530" s="5"/>
      <c r="AH530" s="5"/>
      <c r="AI530" s="5"/>
      <c r="AJ530" s="5"/>
    </row>
    <row r="531">
      <c r="A531" s="5"/>
      <c r="B531" s="5"/>
      <c r="C531" s="5"/>
      <c r="D531" s="5"/>
      <c r="E531" s="11"/>
      <c r="F531" s="12"/>
      <c r="G531" s="5"/>
      <c r="H531" s="12"/>
      <c r="I531" s="12"/>
      <c r="J531" s="12"/>
      <c r="K531" s="12"/>
      <c r="L531" s="12"/>
      <c r="M531" s="12"/>
      <c r="N531" s="5"/>
      <c r="O531" s="5"/>
      <c r="P531" s="5"/>
      <c r="Q531" s="5"/>
      <c r="R531" s="5"/>
      <c r="S531" s="5"/>
      <c r="T531" s="5"/>
      <c r="U531" s="12"/>
      <c r="V531" s="5"/>
      <c r="W531" s="11"/>
      <c r="X531" s="11"/>
      <c r="Y531" s="13"/>
      <c r="Z531" s="5"/>
      <c r="AA531" s="14"/>
      <c r="AB531" s="5"/>
      <c r="AC531" s="5"/>
      <c r="AD531" s="5"/>
      <c r="AE531" s="5"/>
      <c r="AF531" s="5"/>
      <c r="AG531" s="5"/>
      <c r="AH531" s="5"/>
      <c r="AI531" s="5"/>
      <c r="AJ531" s="5"/>
    </row>
    <row r="532">
      <c r="A532" s="5"/>
      <c r="B532" s="5"/>
      <c r="C532" s="5"/>
      <c r="D532" s="5"/>
      <c r="E532" s="11"/>
      <c r="F532" s="12"/>
      <c r="G532" s="5"/>
      <c r="H532" s="12"/>
      <c r="I532" s="12"/>
      <c r="J532" s="12"/>
      <c r="K532" s="12"/>
      <c r="L532" s="12"/>
      <c r="M532" s="12"/>
      <c r="N532" s="5"/>
      <c r="O532" s="5"/>
      <c r="P532" s="5"/>
      <c r="Q532" s="5"/>
      <c r="R532" s="5"/>
      <c r="S532" s="5"/>
      <c r="T532" s="5"/>
      <c r="U532" s="12"/>
      <c r="V532" s="5"/>
      <c r="W532" s="11"/>
      <c r="X532" s="11"/>
      <c r="Y532" s="13"/>
      <c r="Z532" s="5"/>
      <c r="AA532" s="14"/>
      <c r="AB532" s="5"/>
      <c r="AC532" s="5"/>
      <c r="AD532" s="5"/>
      <c r="AE532" s="5"/>
      <c r="AF532" s="5"/>
      <c r="AG532" s="5"/>
      <c r="AH532" s="5"/>
      <c r="AI532" s="5"/>
      <c r="AJ532" s="5"/>
    </row>
    <row r="533">
      <c r="A533" s="5"/>
      <c r="B533" s="5"/>
      <c r="C533" s="5"/>
      <c r="D533" s="5"/>
      <c r="E533" s="11"/>
      <c r="F533" s="12"/>
      <c r="G533" s="5"/>
      <c r="H533" s="12"/>
      <c r="I533" s="12"/>
      <c r="J533" s="12"/>
      <c r="K533" s="12"/>
      <c r="L533" s="12"/>
      <c r="M533" s="12"/>
      <c r="N533" s="5"/>
      <c r="O533" s="5"/>
      <c r="P533" s="5"/>
      <c r="Q533" s="5"/>
      <c r="R533" s="5"/>
      <c r="S533" s="5"/>
      <c r="T533" s="5"/>
      <c r="U533" s="12"/>
      <c r="V533" s="5"/>
      <c r="W533" s="11"/>
      <c r="X533" s="11"/>
      <c r="Y533" s="13"/>
      <c r="Z533" s="5"/>
      <c r="AA533" s="14"/>
      <c r="AB533" s="5"/>
      <c r="AC533" s="5"/>
      <c r="AD533" s="5"/>
      <c r="AE533" s="5"/>
      <c r="AF533" s="5"/>
      <c r="AG533" s="5"/>
      <c r="AH533" s="5"/>
      <c r="AI533" s="5"/>
      <c r="AJ533" s="5"/>
    </row>
    <row r="534">
      <c r="A534" s="5"/>
      <c r="B534" s="5"/>
      <c r="C534" s="5"/>
      <c r="D534" s="5"/>
      <c r="E534" s="11"/>
      <c r="F534" s="12"/>
      <c r="G534" s="5"/>
      <c r="H534" s="12"/>
      <c r="I534" s="12"/>
      <c r="J534" s="12"/>
      <c r="K534" s="12"/>
      <c r="L534" s="12"/>
      <c r="M534" s="12"/>
      <c r="N534" s="5"/>
      <c r="O534" s="5"/>
      <c r="P534" s="5"/>
      <c r="Q534" s="5"/>
      <c r="R534" s="5"/>
      <c r="S534" s="5"/>
      <c r="T534" s="5"/>
      <c r="U534" s="12"/>
      <c r="V534" s="5"/>
      <c r="W534" s="11"/>
      <c r="X534" s="11"/>
      <c r="Y534" s="13"/>
      <c r="Z534" s="5"/>
      <c r="AA534" s="14"/>
      <c r="AB534" s="5"/>
      <c r="AC534" s="5"/>
      <c r="AD534" s="5"/>
      <c r="AE534" s="5"/>
      <c r="AF534" s="5"/>
      <c r="AG534" s="5"/>
      <c r="AH534" s="5"/>
      <c r="AI534" s="5"/>
      <c r="AJ534" s="5"/>
    </row>
    <row r="535">
      <c r="A535" s="5"/>
      <c r="B535" s="5"/>
      <c r="C535" s="5"/>
      <c r="D535" s="5"/>
      <c r="E535" s="11"/>
      <c r="F535" s="12"/>
      <c r="G535" s="5"/>
      <c r="H535" s="12"/>
      <c r="I535" s="12"/>
      <c r="J535" s="12"/>
      <c r="K535" s="12"/>
      <c r="L535" s="12"/>
      <c r="M535" s="12"/>
      <c r="N535" s="5"/>
      <c r="O535" s="5"/>
      <c r="P535" s="5"/>
      <c r="Q535" s="5"/>
      <c r="R535" s="5"/>
      <c r="S535" s="5"/>
      <c r="T535" s="5"/>
      <c r="U535" s="12"/>
      <c r="V535" s="5"/>
      <c r="W535" s="11"/>
      <c r="X535" s="11"/>
      <c r="Y535" s="13"/>
      <c r="Z535" s="5"/>
      <c r="AA535" s="14"/>
      <c r="AB535" s="5"/>
      <c r="AC535" s="5"/>
      <c r="AD535" s="5"/>
      <c r="AE535" s="5"/>
      <c r="AF535" s="5"/>
      <c r="AG535" s="5"/>
      <c r="AH535" s="5"/>
      <c r="AI535" s="5"/>
      <c r="AJ535" s="5"/>
    </row>
    <row r="536">
      <c r="A536" s="5"/>
      <c r="B536" s="5"/>
      <c r="C536" s="5"/>
      <c r="D536" s="5"/>
      <c r="E536" s="11"/>
      <c r="F536" s="12"/>
      <c r="G536" s="5"/>
      <c r="H536" s="12"/>
      <c r="I536" s="12"/>
      <c r="J536" s="12"/>
      <c r="K536" s="12"/>
      <c r="L536" s="12"/>
      <c r="M536" s="12"/>
      <c r="N536" s="5"/>
      <c r="O536" s="5"/>
      <c r="P536" s="5"/>
      <c r="Q536" s="5"/>
      <c r="R536" s="5"/>
      <c r="S536" s="5"/>
      <c r="T536" s="5"/>
      <c r="U536" s="12"/>
      <c r="V536" s="5"/>
      <c r="W536" s="11"/>
      <c r="X536" s="11"/>
      <c r="Y536" s="13"/>
      <c r="Z536" s="5"/>
      <c r="AA536" s="14"/>
      <c r="AB536" s="5"/>
      <c r="AC536" s="5"/>
      <c r="AD536" s="5"/>
      <c r="AE536" s="5"/>
      <c r="AF536" s="5"/>
      <c r="AG536" s="5"/>
      <c r="AH536" s="5"/>
      <c r="AI536" s="5"/>
      <c r="AJ536" s="5"/>
    </row>
    <row r="537">
      <c r="A537" s="5"/>
      <c r="B537" s="5"/>
      <c r="C537" s="5"/>
      <c r="D537" s="5"/>
      <c r="E537" s="11"/>
      <c r="F537" s="12"/>
      <c r="G537" s="5"/>
      <c r="H537" s="12"/>
      <c r="I537" s="12"/>
      <c r="J537" s="12"/>
      <c r="K537" s="12"/>
      <c r="L537" s="12"/>
      <c r="M537" s="12"/>
      <c r="N537" s="5"/>
      <c r="O537" s="5"/>
      <c r="P537" s="5"/>
      <c r="Q537" s="5"/>
      <c r="R537" s="5"/>
      <c r="S537" s="5"/>
      <c r="T537" s="5"/>
      <c r="U537" s="12"/>
      <c r="V537" s="5"/>
      <c r="W537" s="11"/>
      <c r="X537" s="11"/>
      <c r="Y537" s="13"/>
      <c r="Z537" s="5"/>
      <c r="AA537" s="14"/>
      <c r="AB537" s="5"/>
      <c r="AC537" s="5"/>
      <c r="AD537" s="5"/>
      <c r="AE537" s="5"/>
      <c r="AF537" s="5"/>
      <c r="AG537" s="5"/>
      <c r="AH537" s="5"/>
      <c r="AI537" s="5"/>
      <c r="AJ537" s="5"/>
    </row>
    <row r="538">
      <c r="A538" s="5"/>
      <c r="B538" s="5"/>
      <c r="C538" s="5"/>
      <c r="D538" s="5"/>
      <c r="E538" s="11"/>
      <c r="F538" s="12"/>
      <c r="G538" s="5"/>
      <c r="H538" s="12"/>
      <c r="I538" s="12"/>
      <c r="J538" s="12"/>
      <c r="K538" s="12"/>
      <c r="L538" s="12"/>
      <c r="M538" s="12"/>
      <c r="N538" s="5"/>
      <c r="O538" s="5"/>
      <c r="P538" s="5"/>
      <c r="Q538" s="5"/>
      <c r="R538" s="5"/>
      <c r="S538" s="5"/>
      <c r="T538" s="5"/>
      <c r="U538" s="12"/>
      <c r="V538" s="5"/>
      <c r="W538" s="11"/>
      <c r="X538" s="11"/>
      <c r="Y538" s="13"/>
      <c r="Z538" s="5"/>
      <c r="AA538" s="14"/>
      <c r="AB538" s="5"/>
      <c r="AC538" s="5"/>
      <c r="AD538" s="5"/>
      <c r="AE538" s="5"/>
      <c r="AF538" s="5"/>
      <c r="AG538" s="5"/>
      <c r="AH538" s="5"/>
      <c r="AI538" s="5"/>
      <c r="AJ538" s="5"/>
    </row>
    <row r="539">
      <c r="A539" s="5"/>
      <c r="B539" s="5"/>
      <c r="C539" s="5"/>
      <c r="D539" s="5"/>
      <c r="E539" s="11"/>
      <c r="F539" s="12"/>
      <c r="G539" s="5"/>
      <c r="H539" s="12"/>
      <c r="I539" s="12"/>
      <c r="J539" s="12"/>
      <c r="K539" s="12"/>
      <c r="L539" s="12"/>
      <c r="M539" s="12"/>
      <c r="N539" s="5"/>
      <c r="O539" s="5"/>
      <c r="P539" s="5"/>
      <c r="Q539" s="5"/>
      <c r="R539" s="5"/>
      <c r="S539" s="5"/>
      <c r="T539" s="5"/>
      <c r="U539" s="12"/>
      <c r="V539" s="5"/>
      <c r="W539" s="11"/>
      <c r="X539" s="11"/>
      <c r="Y539" s="13"/>
      <c r="Z539" s="5"/>
      <c r="AA539" s="14"/>
      <c r="AB539" s="5"/>
      <c r="AC539" s="5"/>
      <c r="AD539" s="5"/>
      <c r="AE539" s="5"/>
      <c r="AF539" s="5"/>
      <c r="AG539" s="5"/>
      <c r="AH539" s="5"/>
      <c r="AI539" s="5"/>
      <c r="AJ539" s="5"/>
    </row>
    <row r="540">
      <c r="A540" s="5"/>
      <c r="B540" s="5"/>
      <c r="C540" s="5"/>
      <c r="D540" s="5"/>
      <c r="E540" s="11"/>
      <c r="F540" s="12"/>
      <c r="G540" s="5"/>
      <c r="H540" s="12"/>
      <c r="I540" s="12"/>
      <c r="J540" s="12"/>
      <c r="K540" s="12"/>
      <c r="L540" s="12"/>
      <c r="M540" s="12"/>
      <c r="N540" s="5"/>
      <c r="O540" s="5"/>
      <c r="P540" s="5"/>
      <c r="Q540" s="5"/>
      <c r="R540" s="5"/>
      <c r="S540" s="5"/>
      <c r="T540" s="5"/>
      <c r="U540" s="12"/>
      <c r="V540" s="5"/>
      <c r="W540" s="11"/>
      <c r="X540" s="11"/>
      <c r="Y540" s="13"/>
      <c r="Z540" s="5"/>
      <c r="AA540" s="14"/>
      <c r="AB540" s="5"/>
      <c r="AC540" s="5"/>
      <c r="AD540" s="5"/>
      <c r="AE540" s="5"/>
      <c r="AF540" s="5"/>
      <c r="AG540" s="5"/>
      <c r="AH540" s="5"/>
      <c r="AI540" s="5"/>
      <c r="AJ540" s="5"/>
    </row>
    <row r="541">
      <c r="A541" s="5"/>
      <c r="B541" s="5"/>
      <c r="C541" s="5"/>
      <c r="D541" s="5"/>
      <c r="E541" s="11"/>
      <c r="F541" s="12"/>
      <c r="G541" s="5"/>
      <c r="H541" s="12"/>
      <c r="I541" s="12"/>
      <c r="J541" s="12"/>
      <c r="K541" s="12"/>
      <c r="L541" s="12"/>
      <c r="M541" s="12"/>
      <c r="N541" s="5"/>
      <c r="O541" s="5"/>
      <c r="P541" s="5"/>
      <c r="Q541" s="5"/>
      <c r="R541" s="5"/>
      <c r="S541" s="5"/>
      <c r="T541" s="5"/>
      <c r="U541" s="12"/>
      <c r="V541" s="5"/>
      <c r="W541" s="11"/>
      <c r="X541" s="11"/>
      <c r="Y541" s="13"/>
      <c r="Z541" s="5"/>
      <c r="AA541" s="14"/>
      <c r="AB541" s="5"/>
      <c r="AC541" s="5"/>
      <c r="AD541" s="5"/>
      <c r="AE541" s="5"/>
      <c r="AF541" s="5"/>
      <c r="AG541" s="5"/>
      <c r="AH541" s="5"/>
      <c r="AI541" s="5"/>
      <c r="AJ541" s="5"/>
    </row>
    <row r="542">
      <c r="A542" s="5"/>
      <c r="B542" s="5"/>
      <c r="C542" s="5"/>
      <c r="D542" s="5"/>
      <c r="E542" s="11"/>
      <c r="F542" s="12"/>
      <c r="G542" s="5"/>
      <c r="H542" s="12"/>
      <c r="I542" s="12"/>
      <c r="J542" s="12"/>
      <c r="K542" s="12"/>
      <c r="L542" s="12"/>
      <c r="M542" s="12"/>
      <c r="N542" s="5"/>
      <c r="O542" s="5"/>
      <c r="P542" s="5"/>
      <c r="Q542" s="5"/>
      <c r="R542" s="5"/>
      <c r="S542" s="5"/>
      <c r="T542" s="5"/>
      <c r="U542" s="12"/>
      <c r="V542" s="5"/>
      <c r="W542" s="11"/>
      <c r="X542" s="11"/>
      <c r="Y542" s="13"/>
      <c r="Z542" s="5"/>
      <c r="AA542" s="14"/>
      <c r="AB542" s="5"/>
      <c r="AC542" s="5"/>
      <c r="AD542" s="5"/>
      <c r="AE542" s="5"/>
      <c r="AF542" s="5"/>
      <c r="AG542" s="5"/>
      <c r="AH542" s="5"/>
      <c r="AI542" s="5"/>
      <c r="AJ542" s="5"/>
    </row>
    <row r="543">
      <c r="A543" s="5"/>
      <c r="B543" s="5"/>
      <c r="C543" s="5"/>
      <c r="D543" s="5"/>
      <c r="E543" s="11"/>
      <c r="F543" s="12"/>
      <c r="G543" s="5"/>
      <c r="H543" s="12"/>
      <c r="I543" s="12"/>
      <c r="J543" s="12"/>
      <c r="K543" s="12"/>
      <c r="L543" s="12"/>
      <c r="M543" s="12"/>
      <c r="N543" s="5"/>
      <c r="O543" s="5"/>
      <c r="P543" s="5"/>
      <c r="Q543" s="5"/>
      <c r="R543" s="5"/>
      <c r="S543" s="5"/>
      <c r="T543" s="5"/>
      <c r="U543" s="12"/>
      <c r="V543" s="5"/>
      <c r="W543" s="11"/>
      <c r="X543" s="11"/>
      <c r="Y543" s="13"/>
      <c r="Z543" s="5"/>
      <c r="AA543" s="14"/>
      <c r="AB543" s="5"/>
      <c r="AC543" s="5"/>
      <c r="AD543" s="5"/>
      <c r="AE543" s="5"/>
      <c r="AF543" s="5"/>
      <c r="AG543" s="5"/>
      <c r="AH543" s="5"/>
      <c r="AI543" s="5"/>
      <c r="AJ543" s="5"/>
    </row>
    <row r="544">
      <c r="A544" s="5"/>
      <c r="B544" s="5"/>
      <c r="C544" s="5"/>
      <c r="D544" s="5"/>
      <c r="E544" s="11"/>
      <c r="F544" s="12"/>
      <c r="G544" s="5"/>
      <c r="H544" s="12"/>
      <c r="I544" s="12"/>
      <c r="J544" s="12"/>
      <c r="K544" s="12"/>
      <c r="L544" s="12"/>
      <c r="M544" s="12"/>
      <c r="N544" s="5"/>
      <c r="O544" s="5"/>
      <c r="P544" s="5"/>
      <c r="Q544" s="5"/>
      <c r="R544" s="5"/>
      <c r="S544" s="5"/>
      <c r="T544" s="5"/>
      <c r="U544" s="12"/>
      <c r="V544" s="5"/>
      <c r="W544" s="11"/>
      <c r="X544" s="11"/>
      <c r="Y544" s="13"/>
      <c r="Z544" s="5"/>
      <c r="AA544" s="14"/>
      <c r="AB544" s="5"/>
      <c r="AC544" s="5"/>
      <c r="AD544" s="5"/>
      <c r="AE544" s="5"/>
      <c r="AF544" s="5"/>
      <c r="AG544" s="5"/>
      <c r="AH544" s="5"/>
      <c r="AI544" s="5"/>
      <c r="AJ544" s="5"/>
    </row>
    <row r="545">
      <c r="A545" s="5"/>
      <c r="B545" s="5"/>
      <c r="C545" s="5"/>
      <c r="D545" s="5"/>
      <c r="E545" s="11"/>
      <c r="F545" s="12"/>
      <c r="G545" s="5"/>
      <c r="H545" s="12"/>
      <c r="I545" s="12"/>
      <c r="J545" s="12"/>
      <c r="K545" s="12"/>
      <c r="L545" s="12"/>
      <c r="M545" s="12"/>
      <c r="N545" s="5"/>
      <c r="O545" s="5"/>
      <c r="P545" s="5"/>
      <c r="Q545" s="5"/>
      <c r="R545" s="5"/>
      <c r="S545" s="5"/>
      <c r="T545" s="5"/>
      <c r="U545" s="12"/>
      <c r="V545" s="5"/>
      <c r="W545" s="11"/>
      <c r="X545" s="11"/>
      <c r="Y545" s="13"/>
      <c r="Z545" s="5"/>
      <c r="AA545" s="14"/>
      <c r="AB545" s="5"/>
      <c r="AC545" s="5"/>
      <c r="AD545" s="5"/>
      <c r="AE545" s="5"/>
      <c r="AF545" s="5"/>
      <c r="AG545" s="5"/>
      <c r="AH545" s="5"/>
      <c r="AI545" s="5"/>
      <c r="AJ545" s="5"/>
    </row>
    <row r="546">
      <c r="A546" s="5"/>
      <c r="B546" s="5"/>
      <c r="C546" s="5"/>
      <c r="D546" s="5"/>
      <c r="E546" s="11"/>
      <c r="F546" s="12"/>
      <c r="G546" s="5"/>
      <c r="H546" s="12"/>
      <c r="I546" s="12"/>
      <c r="J546" s="12"/>
      <c r="K546" s="12"/>
      <c r="L546" s="12"/>
      <c r="M546" s="12"/>
      <c r="N546" s="5"/>
      <c r="O546" s="5"/>
      <c r="P546" s="5"/>
      <c r="Q546" s="5"/>
      <c r="R546" s="5"/>
      <c r="S546" s="5"/>
      <c r="T546" s="5"/>
      <c r="U546" s="12"/>
      <c r="V546" s="5"/>
      <c r="W546" s="11"/>
      <c r="X546" s="11"/>
      <c r="Y546" s="13"/>
      <c r="Z546" s="5"/>
      <c r="AA546" s="14"/>
      <c r="AB546" s="5"/>
      <c r="AC546" s="5"/>
      <c r="AD546" s="5"/>
      <c r="AE546" s="5"/>
      <c r="AF546" s="5"/>
      <c r="AG546" s="5"/>
      <c r="AH546" s="5"/>
      <c r="AI546" s="5"/>
      <c r="AJ546" s="5"/>
    </row>
    <row r="547">
      <c r="A547" s="5"/>
      <c r="B547" s="5"/>
      <c r="C547" s="5"/>
      <c r="D547" s="5"/>
      <c r="E547" s="11"/>
      <c r="F547" s="12"/>
      <c r="G547" s="5"/>
      <c r="H547" s="12"/>
      <c r="I547" s="12"/>
      <c r="J547" s="12"/>
      <c r="K547" s="12"/>
      <c r="L547" s="12"/>
      <c r="M547" s="12"/>
      <c r="N547" s="5"/>
      <c r="O547" s="5"/>
      <c r="P547" s="5"/>
      <c r="Q547" s="5"/>
      <c r="R547" s="5"/>
      <c r="S547" s="5"/>
      <c r="T547" s="5"/>
      <c r="U547" s="12"/>
      <c r="V547" s="5"/>
      <c r="W547" s="11"/>
      <c r="X547" s="11"/>
      <c r="Y547" s="13"/>
      <c r="Z547" s="5"/>
      <c r="AA547" s="14"/>
      <c r="AB547" s="5"/>
      <c r="AC547" s="5"/>
      <c r="AD547" s="5"/>
      <c r="AE547" s="5"/>
      <c r="AF547" s="5"/>
      <c r="AG547" s="5"/>
      <c r="AH547" s="5"/>
      <c r="AI547" s="5"/>
      <c r="AJ547" s="5"/>
    </row>
    <row r="548">
      <c r="A548" s="5"/>
      <c r="B548" s="5"/>
      <c r="C548" s="5"/>
      <c r="D548" s="5"/>
      <c r="E548" s="11"/>
      <c r="F548" s="12"/>
      <c r="G548" s="5"/>
      <c r="H548" s="12"/>
      <c r="I548" s="12"/>
      <c r="J548" s="12"/>
      <c r="K548" s="12"/>
      <c r="L548" s="12"/>
      <c r="M548" s="12"/>
      <c r="N548" s="5"/>
      <c r="O548" s="5"/>
      <c r="P548" s="5"/>
      <c r="Q548" s="5"/>
      <c r="R548" s="5"/>
      <c r="S548" s="5"/>
      <c r="T548" s="5"/>
      <c r="U548" s="12"/>
      <c r="V548" s="5"/>
      <c r="W548" s="11"/>
      <c r="X548" s="11"/>
      <c r="Y548" s="13"/>
      <c r="Z548" s="5"/>
      <c r="AA548" s="14"/>
      <c r="AB548" s="5"/>
      <c r="AC548" s="5"/>
      <c r="AD548" s="5"/>
      <c r="AE548" s="5"/>
      <c r="AF548" s="5"/>
      <c r="AG548" s="5"/>
      <c r="AH548" s="5"/>
      <c r="AI548" s="5"/>
      <c r="AJ548" s="5"/>
    </row>
    <row r="549">
      <c r="A549" s="5"/>
      <c r="B549" s="5"/>
      <c r="C549" s="5"/>
      <c r="D549" s="5"/>
      <c r="E549" s="11"/>
      <c r="F549" s="12"/>
      <c r="G549" s="5"/>
      <c r="H549" s="12"/>
      <c r="I549" s="12"/>
      <c r="J549" s="12"/>
      <c r="K549" s="12"/>
      <c r="L549" s="12"/>
      <c r="M549" s="12"/>
      <c r="N549" s="5"/>
      <c r="O549" s="5"/>
      <c r="P549" s="5"/>
      <c r="Q549" s="5"/>
      <c r="R549" s="5"/>
      <c r="S549" s="5"/>
      <c r="T549" s="5"/>
      <c r="U549" s="12"/>
      <c r="V549" s="5"/>
      <c r="W549" s="11"/>
      <c r="X549" s="11"/>
      <c r="Y549" s="13"/>
      <c r="Z549" s="5"/>
      <c r="AA549" s="14"/>
      <c r="AB549" s="5"/>
      <c r="AC549" s="5"/>
      <c r="AD549" s="5"/>
      <c r="AE549" s="5"/>
      <c r="AF549" s="5"/>
      <c r="AG549" s="5"/>
      <c r="AH549" s="5"/>
      <c r="AI549" s="5"/>
      <c r="AJ549" s="5"/>
    </row>
    <row r="550">
      <c r="A550" s="5"/>
      <c r="B550" s="5"/>
      <c r="C550" s="5"/>
      <c r="D550" s="5"/>
      <c r="E550" s="11"/>
      <c r="F550" s="12"/>
      <c r="G550" s="5"/>
      <c r="H550" s="12"/>
      <c r="I550" s="12"/>
      <c r="J550" s="12"/>
      <c r="K550" s="12"/>
      <c r="L550" s="12"/>
      <c r="M550" s="12"/>
      <c r="N550" s="5"/>
      <c r="O550" s="5"/>
      <c r="P550" s="5"/>
      <c r="Q550" s="5"/>
      <c r="R550" s="5"/>
      <c r="S550" s="5"/>
      <c r="T550" s="5"/>
      <c r="U550" s="12"/>
      <c r="V550" s="5"/>
      <c r="W550" s="11"/>
      <c r="X550" s="11"/>
      <c r="Y550" s="13"/>
      <c r="Z550" s="5"/>
      <c r="AA550" s="14"/>
      <c r="AB550" s="5"/>
      <c r="AC550" s="5"/>
      <c r="AD550" s="5"/>
      <c r="AE550" s="5"/>
      <c r="AF550" s="5"/>
      <c r="AG550" s="5"/>
      <c r="AH550" s="5"/>
      <c r="AI550" s="5"/>
      <c r="AJ550" s="5"/>
    </row>
    <row r="551">
      <c r="A551" s="5"/>
      <c r="B551" s="5"/>
      <c r="C551" s="5"/>
      <c r="D551" s="5"/>
      <c r="E551" s="11"/>
      <c r="F551" s="12"/>
      <c r="G551" s="5"/>
      <c r="H551" s="12"/>
      <c r="I551" s="12"/>
      <c r="J551" s="12"/>
      <c r="K551" s="12"/>
      <c r="L551" s="12"/>
      <c r="M551" s="12"/>
      <c r="N551" s="5"/>
      <c r="O551" s="5"/>
      <c r="P551" s="5"/>
      <c r="Q551" s="5"/>
      <c r="R551" s="5"/>
      <c r="S551" s="5"/>
      <c r="T551" s="5"/>
      <c r="U551" s="12"/>
      <c r="V551" s="5"/>
      <c r="W551" s="11"/>
      <c r="X551" s="11"/>
      <c r="Y551" s="13"/>
      <c r="Z551" s="5"/>
      <c r="AA551" s="14"/>
      <c r="AB551" s="5"/>
      <c r="AC551" s="5"/>
      <c r="AD551" s="5"/>
      <c r="AE551" s="5"/>
      <c r="AF551" s="5"/>
      <c r="AG551" s="5"/>
      <c r="AH551" s="5"/>
      <c r="AI551" s="5"/>
      <c r="AJ551" s="5"/>
    </row>
    <row r="552">
      <c r="A552" s="5"/>
      <c r="B552" s="5"/>
      <c r="C552" s="5"/>
      <c r="D552" s="5"/>
      <c r="E552" s="11"/>
      <c r="F552" s="12"/>
      <c r="G552" s="5"/>
      <c r="H552" s="12"/>
      <c r="I552" s="12"/>
      <c r="J552" s="12"/>
      <c r="K552" s="12"/>
      <c r="L552" s="12"/>
      <c r="M552" s="12"/>
      <c r="N552" s="5"/>
      <c r="O552" s="5"/>
      <c r="P552" s="5"/>
      <c r="Q552" s="5"/>
      <c r="R552" s="5"/>
      <c r="S552" s="5"/>
      <c r="T552" s="5"/>
      <c r="U552" s="12"/>
      <c r="V552" s="5"/>
      <c r="W552" s="11"/>
      <c r="X552" s="11"/>
      <c r="Y552" s="13"/>
      <c r="Z552" s="5"/>
      <c r="AA552" s="14"/>
      <c r="AB552" s="5"/>
      <c r="AC552" s="5"/>
      <c r="AD552" s="5"/>
      <c r="AE552" s="5"/>
      <c r="AF552" s="5"/>
      <c r="AG552" s="5"/>
      <c r="AH552" s="5"/>
      <c r="AI552" s="5"/>
      <c r="AJ552" s="5"/>
    </row>
    <row r="553">
      <c r="A553" s="5"/>
      <c r="B553" s="5"/>
      <c r="C553" s="5"/>
      <c r="D553" s="5"/>
      <c r="E553" s="11"/>
      <c r="F553" s="12"/>
      <c r="G553" s="5"/>
      <c r="H553" s="12"/>
      <c r="I553" s="12"/>
      <c r="J553" s="12"/>
      <c r="K553" s="12"/>
      <c r="L553" s="12"/>
      <c r="M553" s="12"/>
      <c r="N553" s="5"/>
      <c r="O553" s="5"/>
      <c r="P553" s="5"/>
      <c r="Q553" s="5"/>
      <c r="R553" s="5"/>
      <c r="S553" s="5"/>
      <c r="T553" s="5"/>
      <c r="U553" s="12"/>
      <c r="V553" s="5"/>
      <c r="W553" s="11"/>
      <c r="X553" s="11"/>
      <c r="Y553" s="13"/>
      <c r="Z553" s="5"/>
      <c r="AA553" s="14"/>
      <c r="AB553" s="5"/>
      <c r="AC553" s="5"/>
      <c r="AD553" s="5"/>
      <c r="AE553" s="5"/>
      <c r="AF553" s="5"/>
      <c r="AG553" s="5"/>
      <c r="AH553" s="5"/>
      <c r="AI553" s="5"/>
      <c r="AJ553" s="5"/>
    </row>
    <row r="554">
      <c r="A554" s="5"/>
      <c r="B554" s="5"/>
      <c r="C554" s="5"/>
      <c r="D554" s="5"/>
      <c r="E554" s="11"/>
      <c r="F554" s="12"/>
      <c r="G554" s="5"/>
      <c r="H554" s="12"/>
      <c r="I554" s="12"/>
      <c r="J554" s="12"/>
      <c r="K554" s="12"/>
      <c r="L554" s="12"/>
      <c r="M554" s="12"/>
      <c r="N554" s="5"/>
      <c r="O554" s="5"/>
      <c r="P554" s="5"/>
      <c r="Q554" s="5"/>
      <c r="R554" s="5"/>
      <c r="S554" s="5"/>
      <c r="T554" s="5"/>
      <c r="U554" s="12"/>
      <c r="V554" s="5"/>
      <c r="W554" s="11"/>
      <c r="X554" s="11"/>
      <c r="Y554" s="13"/>
      <c r="Z554" s="5"/>
      <c r="AA554" s="14"/>
      <c r="AB554" s="5"/>
      <c r="AC554" s="5"/>
      <c r="AD554" s="5"/>
      <c r="AE554" s="5"/>
      <c r="AF554" s="5"/>
      <c r="AG554" s="5"/>
      <c r="AH554" s="5"/>
      <c r="AI554" s="5"/>
      <c r="AJ554" s="5"/>
    </row>
    <row r="555">
      <c r="A555" s="5"/>
      <c r="B555" s="5"/>
      <c r="C555" s="5"/>
      <c r="D555" s="5"/>
      <c r="E555" s="11"/>
      <c r="F555" s="12"/>
      <c r="G555" s="5"/>
      <c r="H555" s="12"/>
      <c r="I555" s="12"/>
      <c r="J555" s="12"/>
      <c r="K555" s="12"/>
      <c r="L555" s="12"/>
      <c r="M555" s="12"/>
      <c r="N555" s="5"/>
      <c r="O555" s="5"/>
      <c r="P555" s="5"/>
      <c r="Q555" s="5"/>
      <c r="R555" s="5"/>
      <c r="S555" s="5"/>
      <c r="T555" s="5"/>
      <c r="U555" s="12"/>
      <c r="V555" s="5"/>
      <c r="W555" s="11"/>
      <c r="X555" s="11"/>
      <c r="Y555" s="13"/>
      <c r="Z555" s="5"/>
      <c r="AA555" s="14"/>
      <c r="AB555" s="5"/>
      <c r="AC555" s="5"/>
      <c r="AD555" s="5"/>
      <c r="AE555" s="5"/>
      <c r="AF555" s="5"/>
      <c r="AG555" s="5"/>
      <c r="AH555" s="5"/>
      <c r="AI555" s="5"/>
      <c r="AJ555" s="5"/>
    </row>
    <row r="556">
      <c r="A556" s="5"/>
      <c r="B556" s="5"/>
      <c r="C556" s="5"/>
      <c r="D556" s="5"/>
      <c r="E556" s="11"/>
      <c r="F556" s="12"/>
      <c r="G556" s="5"/>
      <c r="H556" s="12"/>
      <c r="I556" s="12"/>
      <c r="J556" s="12"/>
      <c r="K556" s="12"/>
      <c r="L556" s="12"/>
      <c r="M556" s="12"/>
      <c r="N556" s="5"/>
      <c r="O556" s="5"/>
      <c r="P556" s="5"/>
      <c r="Q556" s="5"/>
      <c r="R556" s="5"/>
      <c r="S556" s="5"/>
      <c r="T556" s="5"/>
      <c r="U556" s="12"/>
      <c r="V556" s="5"/>
      <c r="W556" s="11"/>
      <c r="X556" s="11"/>
      <c r="Y556" s="13"/>
      <c r="Z556" s="5"/>
      <c r="AA556" s="14"/>
      <c r="AB556" s="5"/>
      <c r="AC556" s="5"/>
      <c r="AD556" s="5"/>
      <c r="AE556" s="5"/>
      <c r="AF556" s="5"/>
      <c r="AG556" s="5"/>
      <c r="AH556" s="5"/>
      <c r="AI556" s="5"/>
      <c r="AJ556" s="5"/>
    </row>
    <row r="557">
      <c r="A557" s="5"/>
      <c r="B557" s="5"/>
      <c r="C557" s="5"/>
      <c r="D557" s="5"/>
      <c r="E557" s="11"/>
      <c r="F557" s="12"/>
      <c r="G557" s="5"/>
      <c r="H557" s="12"/>
      <c r="I557" s="12"/>
      <c r="J557" s="12"/>
      <c r="K557" s="12"/>
      <c r="L557" s="12"/>
      <c r="M557" s="12"/>
      <c r="N557" s="5"/>
      <c r="O557" s="5"/>
      <c r="P557" s="5"/>
      <c r="Q557" s="5"/>
      <c r="R557" s="5"/>
      <c r="S557" s="5"/>
      <c r="T557" s="5"/>
      <c r="U557" s="12"/>
      <c r="V557" s="5"/>
      <c r="W557" s="11"/>
      <c r="X557" s="11"/>
      <c r="Y557" s="13"/>
      <c r="Z557" s="5"/>
      <c r="AA557" s="14"/>
      <c r="AB557" s="5"/>
      <c r="AC557" s="5"/>
      <c r="AD557" s="5"/>
      <c r="AE557" s="5"/>
      <c r="AF557" s="5"/>
      <c r="AG557" s="5"/>
      <c r="AH557" s="5"/>
      <c r="AI557" s="5"/>
      <c r="AJ557" s="5"/>
    </row>
    <row r="558">
      <c r="A558" s="5"/>
      <c r="B558" s="5"/>
      <c r="C558" s="5"/>
      <c r="D558" s="5"/>
      <c r="E558" s="11"/>
      <c r="F558" s="12"/>
      <c r="G558" s="5"/>
      <c r="H558" s="12"/>
      <c r="I558" s="12"/>
      <c r="J558" s="12"/>
      <c r="K558" s="12"/>
      <c r="L558" s="12"/>
      <c r="M558" s="12"/>
      <c r="N558" s="5"/>
      <c r="O558" s="5"/>
      <c r="P558" s="5"/>
      <c r="Q558" s="5"/>
      <c r="R558" s="5"/>
      <c r="S558" s="5"/>
      <c r="T558" s="5"/>
      <c r="U558" s="12"/>
      <c r="V558" s="5"/>
      <c r="W558" s="11"/>
      <c r="X558" s="11"/>
      <c r="Y558" s="13"/>
      <c r="Z558" s="5"/>
      <c r="AA558" s="14"/>
      <c r="AB558" s="5"/>
      <c r="AC558" s="5"/>
      <c r="AD558" s="5"/>
      <c r="AE558" s="5"/>
      <c r="AF558" s="5"/>
      <c r="AG558" s="5"/>
      <c r="AH558" s="5"/>
      <c r="AI558" s="5"/>
      <c r="AJ558" s="5"/>
    </row>
    <row r="559">
      <c r="A559" s="5"/>
      <c r="B559" s="5"/>
      <c r="C559" s="5"/>
      <c r="D559" s="5"/>
      <c r="E559" s="11"/>
      <c r="F559" s="12"/>
      <c r="G559" s="5"/>
      <c r="H559" s="12"/>
      <c r="I559" s="12"/>
      <c r="J559" s="12"/>
      <c r="K559" s="12"/>
      <c r="L559" s="12"/>
      <c r="M559" s="12"/>
      <c r="N559" s="5"/>
      <c r="O559" s="5"/>
      <c r="P559" s="5"/>
      <c r="Q559" s="5"/>
      <c r="R559" s="5"/>
      <c r="S559" s="5"/>
      <c r="T559" s="5"/>
      <c r="U559" s="12"/>
      <c r="V559" s="5"/>
      <c r="W559" s="11"/>
      <c r="X559" s="11"/>
      <c r="Y559" s="13"/>
      <c r="Z559" s="5"/>
      <c r="AA559" s="14"/>
      <c r="AB559" s="5"/>
      <c r="AC559" s="5"/>
      <c r="AD559" s="5"/>
      <c r="AE559" s="5"/>
      <c r="AF559" s="5"/>
      <c r="AG559" s="5"/>
      <c r="AH559" s="5"/>
      <c r="AI559" s="5"/>
      <c r="AJ559" s="5"/>
    </row>
    <row r="560">
      <c r="A560" s="5"/>
      <c r="B560" s="5"/>
      <c r="C560" s="5"/>
      <c r="D560" s="5"/>
      <c r="E560" s="11"/>
      <c r="F560" s="12"/>
      <c r="G560" s="5"/>
      <c r="H560" s="12"/>
      <c r="I560" s="12"/>
      <c r="J560" s="12"/>
      <c r="K560" s="12"/>
      <c r="L560" s="12"/>
      <c r="M560" s="12"/>
      <c r="N560" s="5"/>
      <c r="O560" s="5"/>
      <c r="P560" s="5"/>
      <c r="Q560" s="5"/>
      <c r="R560" s="5"/>
      <c r="S560" s="5"/>
      <c r="T560" s="5"/>
      <c r="U560" s="12"/>
      <c r="V560" s="5"/>
      <c r="W560" s="11"/>
      <c r="X560" s="11"/>
      <c r="Y560" s="13"/>
      <c r="Z560" s="5"/>
      <c r="AA560" s="14"/>
      <c r="AB560" s="5"/>
      <c r="AC560" s="5"/>
      <c r="AD560" s="5"/>
      <c r="AE560" s="5"/>
      <c r="AF560" s="5"/>
      <c r="AG560" s="5"/>
      <c r="AH560" s="5"/>
      <c r="AI560" s="5"/>
      <c r="AJ560" s="5"/>
    </row>
    <row r="561">
      <c r="A561" s="5"/>
      <c r="B561" s="5"/>
      <c r="C561" s="5"/>
      <c r="D561" s="5"/>
      <c r="E561" s="11"/>
      <c r="F561" s="12"/>
      <c r="G561" s="5"/>
      <c r="H561" s="12"/>
      <c r="I561" s="12"/>
      <c r="J561" s="12"/>
      <c r="K561" s="12"/>
      <c r="L561" s="12"/>
      <c r="M561" s="12"/>
      <c r="N561" s="5"/>
      <c r="O561" s="5"/>
      <c r="P561" s="5"/>
      <c r="Q561" s="5"/>
      <c r="R561" s="5"/>
      <c r="S561" s="5"/>
      <c r="T561" s="5"/>
      <c r="U561" s="12"/>
      <c r="V561" s="5"/>
      <c r="W561" s="11"/>
      <c r="X561" s="11"/>
      <c r="Y561" s="13"/>
      <c r="Z561" s="5"/>
      <c r="AA561" s="14"/>
      <c r="AB561" s="5"/>
      <c r="AC561" s="5"/>
      <c r="AD561" s="5"/>
      <c r="AE561" s="5"/>
      <c r="AF561" s="5"/>
      <c r="AG561" s="5"/>
      <c r="AH561" s="5"/>
      <c r="AI561" s="5"/>
      <c r="AJ561" s="5"/>
    </row>
    <row r="562">
      <c r="A562" s="5"/>
      <c r="B562" s="5"/>
      <c r="C562" s="5"/>
      <c r="D562" s="5"/>
      <c r="E562" s="11"/>
      <c r="F562" s="12"/>
      <c r="G562" s="5"/>
      <c r="H562" s="12"/>
      <c r="I562" s="12"/>
      <c r="J562" s="12"/>
      <c r="K562" s="12"/>
      <c r="L562" s="12"/>
      <c r="M562" s="12"/>
      <c r="N562" s="5"/>
      <c r="O562" s="5"/>
      <c r="P562" s="5"/>
      <c r="Q562" s="5"/>
      <c r="R562" s="5"/>
      <c r="S562" s="5"/>
      <c r="T562" s="5"/>
      <c r="U562" s="12"/>
      <c r="V562" s="5"/>
      <c r="W562" s="11"/>
      <c r="X562" s="11"/>
      <c r="Y562" s="13"/>
      <c r="Z562" s="5"/>
      <c r="AA562" s="14"/>
      <c r="AB562" s="5"/>
      <c r="AC562" s="5"/>
      <c r="AD562" s="5"/>
      <c r="AE562" s="5"/>
      <c r="AF562" s="5"/>
      <c r="AG562" s="5"/>
      <c r="AH562" s="5"/>
      <c r="AI562" s="5"/>
      <c r="AJ562" s="5"/>
    </row>
    <row r="563">
      <c r="A563" s="5"/>
      <c r="B563" s="5"/>
      <c r="C563" s="5"/>
      <c r="D563" s="5"/>
      <c r="E563" s="11"/>
      <c r="F563" s="12"/>
      <c r="G563" s="5"/>
      <c r="H563" s="12"/>
      <c r="I563" s="12"/>
      <c r="J563" s="12"/>
      <c r="K563" s="12"/>
      <c r="L563" s="12"/>
      <c r="M563" s="12"/>
      <c r="N563" s="5"/>
      <c r="O563" s="5"/>
      <c r="P563" s="5"/>
      <c r="Q563" s="5"/>
      <c r="R563" s="5"/>
      <c r="S563" s="5"/>
      <c r="T563" s="5"/>
      <c r="U563" s="12"/>
      <c r="V563" s="5"/>
      <c r="W563" s="11"/>
      <c r="X563" s="11"/>
      <c r="Y563" s="13"/>
      <c r="Z563" s="5"/>
      <c r="AA563" s="14"/>
      <c r="AB563" s="5"/>
      <c r="AC563" s="5"/>
      <c r="AD563" s="5"/>
      <c r="AE563" s="5"/>
      <c r="AF563" s="5"/>
      <c r="AG563" s="5"/>
      <c r="AH563" s="5"/>
      <c r="AI563" s="5"/>
      <c r="AJ563" s="5"/>
    </row>
    <row r="564">
      <c r="A564" s="5"/>
      <c r="B564" s="5"/>
      <c r="C564" s="5"/>
      <c r="D564" s="5"/>
      <c r="E564" s="11"/>
      <c r="F564" s="12"/>
      <c r="G564" s="5"/>
      <c r="H564" s="12"/>
      <c r="I564" s="12"/>
      <c r="J564" s="12"/>
      <c r="K564" s="12"/>
      <c r="L564" s="12"/>
      <c r="M564" s="12"/>
      <c r="N564" s="5"/>
      <c r="O564" s="5"/>
      <c r="P564" s="5"/>
      <c r="Q564" s="5"/>
      <c r="R564" s="5"/>
      <c r="S564" s="5"/>
      <c r="T564" s="5"/>
      <c r="U564" s="12"/>
      <c r="V564" s="5"/>
      <c r="W564" s="11"/>
      <c r="X564" s="11"/>
      <c r="Y564" s="13"/>
      <c r="Z564" s="5"/>
      <c r="AA564" s="14"/>
      <c r="AB564" s="5"/>
      <c r="AC564" s="5"/>
      <c r="AD564" s="5"/>
      <c r="AE564" s="5"/>
      <c r="AF564" s="5"/>
      <c r="AG564" s="5"/>
      <c r="AH564" s="5"/>
      <c r="AI564" s="5"/>
      <c r="AJ564" s="5"/>
    </row>
    <row r="565">
      <c r="A565" s="5"/>
      <c r="B565" s="5"/>
      <c r="C565" s="5"/>
      <c r="D565" s="5"/>
      <c r="E565" s="11"/>
      <c r="F565" s="12"/>
      <c r="G565" s="5"/>
      <c r="H565" s="12"/>
      <c r="I565" s="12"/>
      <c r="J565" s="12"/>
      <c r="K565" s="12"/>
      <c r="L565" s="12"/>
      <c r="M565" s="12"/>
      <c r="N565" s="5"/>
      <c r="O565" s="5"/>
      <c r="P565" s="5"/>
      <c r="Q565" s="5"/>
      <c r="R565" s="5"/>
      <c r="S565" s="5"/>
      <c r="T565" s="5"/>
      <c r="U565" s="12"/>
      <c r="V565" s="5"/>
      <c r="W565" s="11"/>
      <c r="X565" s="11"/>
      <c r="Y565" s="13"/>
      <c r="Z565" s="5"/>
      <c r="AA565" s="14"/>
      <c r="AB565" s="5"/>
      <c r="AC565" s="5"/>
      <c r="AD565" s="5"/>
      <c r="AE565" s="5"/>
      <c r="AF565" s="5"/>
      <c r="AG565" s="5"/>
      <c r="AH565" s="5"/>
      <c r="AI565" s="5"/>
      <c r="AJ565" s="5"/>
    </row>
    <row r="566">
      <c r="A566" s="5"/>
      <c r="B566" s="5"/>
      <c r="C566" s="5"/>
      <c r="D566" s="5"/>
      <c r="E566" s="11"/>
      <c r="F566" s="12"/>
      <c r="G566" s="5"/>
      <c r="H566" s="12"/>
      <c r="I566" s="12"/>
      <c r="J566" s="12"/>
      <c r="K566" s="12"/>
      <c r="L566" s="12"/>
      <c r="M566" s="12"/>
      <c r="N566" s="5"/>
      <c r="O566" s="5"/>
      <c r="P566" s="5"/>
      <c r="Q566" s="5"/>
      <c r="R566" s="5"/>
      <c r="S566" s="5"/>
      <c r="T566" s="5"/>
      <c r="U566" s="12"/>
      <c r="V566" s="5"/>
      <c r="W566" s="11"/>
      <c r="X566" s="11"/>
      <c r="Y566" s="13"/>
      <c r="Z566" s="5"/>
      <c r="AA566" s="14"/>
      <c r="AB566" s="5"/>
      <c r="AC566" s="5"/>
      <c r="AD566" s="5"/>
      <c r="AE566" s="5"/>
      <c r="AF566" s="5"/>
      <c r="AG566" s="5"/>
      <c r="AH566" s="5"/>
      <c r="AI566" s="5"/>
      <c r="AJ566" s="5"/>
    </row>
    <row r="567">
      <c r="A567" s="5"/>
      <c r="B567" s="5"/>
      <c r="C567" s="5"/>
      <c r="D567" s="5"/>
      <c r="E567" s="11"/>
      <c r="F567" s="12"/>
      <c r="G567" s="5"/>
      <c r="H567" s="12"/>
      <c r="I567" s="12"/>
      <c r="J567" s="12"/>
      <c r="K567" s="12"/>
      <c r="L567" s="12"/>
      <c r="M567" s="12"/>
      <c r="N567" s="5"/>
      <c r="O567" s="5"/>
      <c r="P567" s="5"/>
      <c r="Q567" s="5"/>
      <c r="R567" s="5"/>
      <c r="S567" s="5"/>
      <c r="T567" s="5"/>
      <c r="U567" s="12"/>
      <c r="V567" s="5"/>
      <c r="W567" s="11"/>
      <c r="X567" s="11"/>
      <c r="Y567" s="13"/>
      <c r="Z567" s="5"/>
      <c r="AA567" s="14"/>
      <c r="AB567" s="5"/>
      <c r="AC567" s="5"/>
      <c r="AD567" s="5"/>
      <c r="AE567" s="5"/>
      <c r="AF567" s="5"/>
      <c r="AG567" s="5"/>
      <c r="AH567" s="5"/>
      <c r="AI567" s="5"/>
      <c r="AJ567" s="5"/>
    </row>
    <row r="568">
      <c r="A568" s="5"/>
      <c r="B568" s="5"/>
      <c r="C568" s="5"/>
      <c r="D568" s="5"/>
      <c r="E568" s="11"/>
      <c r="F568" s="12"/>
      <c r="G568" s="5"/>
      <c r="H568" s="12"/>
      <c r="I568" s="12"/>
      <c r="J568" s="12"/>
      <c r="K568" s="12"/>
      <c r="L568" s="12"/>
      <c r="M568" s="12"/>
      <c r="N568" s="5"/>
      <c r="O568" s="5"/>
      <c r="P568" s="5"/>
      <c r="Q568" s="5"/>
      <c r="R568" s="5"/>
      <c r="S568" s="5"/>
      <c r="T568" s="5"/>
      <c r="U568" s="12"/>
      <c r="V568" s="5"/>
      <c r="W568" s="11"/>
      <c r="X568" s="11"/>
      <c r="Y568" s="13"/>
      <c r="Z568" s="5"/>
      <c r="AA568" s="14"/>
      <c r="AB568" s="5"/>
      <c r="AC568" s="5"/>
      <c r="AD568" s="5"/>
      <c r="AE568" s="5"/>
      <c r="AF568" s="5"/>
      <c r="AG568" s="5"/>
      <c r="AH568" s="5"/>
      <c r="AI568" s="5"/>
      <c r="AJ568" s="5"/>
    </row>
    <row r="569">
      <c r="A569" s="5"/>
      <c r="B569" s="5"/>
      <c r="C569" s="5"/>
      <c r="D569" s="5"/>
      <c r="E569" s="11"/>
      <c r="F569" s="12"/>
      <c r="G569" s="5"/>
      <c r="H569" s="12"/>
      <c r="I569" s="12"/>
      <c r="J569" s="12"/>
      <c r="K569" s="12"/>
      <c r="L569" s="12"/>
      <c r="M569" s="12"/>
      <c r="N569" s="5"/>
      <c r="O569" s="5"/>
      <c r="P569" s="5"/>
      <c r="Q569" s="5"/>
      <c r="R569" s="5"/>
      <c r="S569" s="5"/>
      <c r="T569" s="5"/>
      <c r="U569" s="12"/>
      <c r="V569" s="5"/>
      <c r="W569" s="11"/>
      <c r="X569" s="11"/>
      <c r="Y569" s="13"/>
      <c r="Z569" s="5"/>
      <c r="AA569" s="14"/>
      <c r="AB569" s="5"/>
      <c r="AC569" s="5"/>
      <c r="AD569" s="5"/>
      <c r="AE569" s="5"/>
      <c r="AF569" s="5"/>
      <c r="AG569" s="5"/>
      <c r="AH569" s="5"/>
      <c r="AI569" s="5"/>
      <c r="AJ569" s="5"/>
    </row>
    <row r="570">
      <c r="A570" s="5"/>
      <c r="B570" s="5"/>
      <c r="C570" s="5"/>
      <c r="D570" s="5"/>
      <c r="E570" s="11"/>
      <c r="F570" s="12"/>
      <c r="G570" s="5"/>
      <c r="H570" s="12"/>
      <c r="I570" s="12"/>
      <c r="J570" s="12"/>
      <c r="K570" s="12"/>
      <c r="L570" s="12"/>
      <c r="M570" s="12"/>
      <c r="N570" s="5"/>
      <c r="O570" s="5"/>
      <c r="P570" s="5"/>
      <c r="Q570" s="5"/>
      <c r="R570" s="5"/>
      <c r="S570" s="5"/>
      <c r="T570" s="5"/>
      <c r="U570" s="12"/>
      <c r="V570" s="5"/>
      <c r="W570" s="11"/>
      <c r="X570" s="11"/>
      <c r="Y570" s="13"/>
      <c r="Z570" s="5"/>
      <c r="AA570" s="14"/>
      <c r="AB570" s="5"/>
      <c r="AC570" s="5"/>
      <c r="AD570" s="5"/>
      <c r="AE570" s="5"/>
      <c r="AF570" s="5"/>
      <c r="AG570" s="5"/>
      <c r="AH570" s="5"/>
      <c r="AI570" s="5"/>
      <c r="AJ570" s="5"/>
    </row>
    <row r="571">
      <c r="A571" s="5"/>
      <c r="B571" s="5"/>
      <c r="C571" s="5"/>
      <c r="D571" s="5"/>
      <c r="E571" s="11"/>
      <c r="F571" s="12"/>
      <c r="G571" s="5"/>
      <c r="H571" s="12"/>
      <c r="I571" s="12"/>
      <c r="J571" s="12"/>
      <c r="K571" s="12"/>
      <c r="L571" s="12"/>
      <c r="M571" s="12"/>
      <c r="N571" s="5"/>
      <c r="O571" s="5"/>
      <c r="P571" s="5"/>
      <c r="Q571" s="5"/>
      <c r="R571" s="5"/>
      <c r="S571" s="5"/>
      <c r="T571" s="5"/>
      <c r="U571" s="12"/>
      <c r="V571" s="5"/>
      <c r="W571" s="11"/>
      <c r="X571" s="11"/>
      <c r="Y571" s="13"/>
      <c r="Z571" s="5"/>
      <c r="AA571" s="14"/>
      <c r="AB571" s="5"/>
      <c r="AC571" s="5"/>
      <c r="AD571" s="5"/>
      <c r="AE571" s="5"/>
      <c r="AF571" s="5"/>
      <c r="AG571" s="5"/>
      <c r="AH571" s="5"/>
      <c r="AI571" s="5"/>
      <c r="AJ571" s="5"/>
    </row>
    <row r="572">
      <c r="A572" s="5"/>
      <c r="B572" s="5"/>
      <c r="C572" s="5"/>
      <c r="D572" s="5"/>
      <c r="E572" s="11"/>
      <c r="F572" s="12"/>
      <c r="G572" s="5"/>
      <c r="H572" s="12"/>
      <c r="I572" s="12"/>
      <c r="J572" s="12"/>
      <c r="K572" s="12"/>
      <c r="L572" s="12"/>
      <c r="M572" s="12"/>
      <c r="N572" s="5"/>
      <c r="O572" s="5"/>
      <c r="P572" s="5"/>
      <c r="Q572" s="5"/>
      <c r="R572" s="5"/>
      <c r="S572" s="5"/>
      <c r="T572" s="5"/>
      <c r="U572" s="12"/>
      <c r="V572" s="5"/>
      <c r="W572" s="11"/>
      <c r="X572" s="11"/>
      <c r="Y572" s="13"/>
      <c r="Z572" s="5"/>
      <c r="AA572" s="14"/>
      <c r="AB572" s="5"/>
      <c r="AC572" s="5"/>
      <c r="AD572" s="5"/>
      <c r="AE572" s="5"/>
      <c r="AF572" s="5"/>
      <c r="AG572" s="5"/>
      <c r="AH572" s="5"/>
      <c r="AI572" s="5"/>
      <c r="AJ572" s="5"/>
    </row>
    <row r="573">
      <c r="A573" s="5"/>
      <c r="B573" s="5"/>
      <c r="C573" s="5"/>
      <c r="D573" s="5"/>
      <c r="E573" s="11"/>
      <c r="F573" s="12"/>
      <c r="G573" s="5"/>
      <c r="H573" s="12"/>
      <c r="I573" s="12"/>
      <c r="J573" s="12"/>
      <c r="K573" s="12"/>
      <c r="L573" s="12"/>
      <c r="M573" s="12"/>
      <c r="N573" s="5"/>
      <c r="O573" s="5"/>
      <c r="P573" s="5"/>
      <c r="Q573" s="5"/>
      <c r="R573" s="5"/>
      <c r="S573" s="5"/>
      <c r="T573" s="5"/>
      <c r="U573" s="12"/>
      <c r="V573" s="5"/>
      <c r="W573" s="11"/>
      <c r="X573" s="11"/>
      <c r="Y573" s="13"/>
      <c r="Z573" s="5"/>
      <c r="AA573" s="14"/>
      <c r="AB573" s="5"/>
      <c r="AC573" s="5"/>
      <c r="AD573" s="5"/>
      <c r="AE573" s="5"/>
      <c r="AF573" s="5"/>
      <c r="AG573" s="5"/>
      <c r="AH573" s="5"/>
      <c r="AI573" s="5"/>
      <c r="AJ573" s="5"/>
    </row>
    <row r="574">
      <c r="A574" s="5"/>
      <c r="B574" s="5"/>
      <c r="C574" s="5"/>
      <c r="D574" s="5"/>
      <c r="E574" s="11"/>
      <c r="F574" s="12"/>
      <c r="G574" s="5"/>
      <c r="H574" s="12"/>
      <c r="I574" s="12"/>
      <c r="J574" s="12"/>
      <c r="K574" s="12"/>
      <c r="L574" s="12"/>
      <c r="M574" s="12"/>
      <c r="N574" s="5"/>
      <c r="O574" s="5"/>
      <c r="P574" s="5"/>
      <c r="Q574" s="5"/>
      <c r="R574" s="5"/>
      <c r="S574" s="5"/>
      <c r="T574" s="5"/>
      <c r="U574" s="12"/>
      <c r="V574" s="5"/>
      <c r="W574" s="11"/>
      <c r="X574" s="11"/>
      <c r="Y574" s="13"/>
      <c r="Z574" s="5"/>
      <c r="AA574" s="14"/>
      <c r="AB574" s="5"/>
      <c r="AC574" s="5"/>
      <c r="AD574" s="5"/>
      <c r="AE574" s="5"/>
      <c r="AF574" s="5"/>
      <c r="AG574" s="5"/>
      <c r="AH574" s="5"/>
      <c r="AI574" s="5"/>
      <c r="AJ574" s="5"/>
    </row>
    <row r="575">
      <c r="A575" s="5"/>
      <c r="B575" s="5"/>
      <c r="C575" s="5"/>
      <c r="D575" s="5"/>
      <c r="E575" s="11"/>
      <c r="F575" s="12"/>
      <c r="G575" s="5"/>
      <c r="H575" s="12"/>
      <c r="I575" s="12"/>
      <c r="J575" s="12"/>
      <c r="K575" s="12"/>
      <c r="L575" s="12"/>
      <c r="M575" s="12"/>
      <c r="N575" s="5"/>
      <c r="O575" s="5"/>
      <c r="P575" s="5"/>
      <c r="Q575" s="5"/>
      <c r="R575" s="5"/>
      <c r="S575" s="5"/>
      <c r="T575" s="5"/>
      <c r="U575" s="12"/>
      <c r="V575" s="5"/>
      <c r="W575" s="11"/>
      <c r="X575" s="11"/>
      <c r="Y575" s="13"/>
      <c r="Z575" s="5"/>
      <c r="AA575" s="14"/>
      <c r="AB575" s="5"/>
      <c r="AC575" s="5"/>
      <c r="AD575" s="5"/>
      <c r="AE575" s="5"/>
      <c r="AF575" s="5"/>
      <c r="AG575" s="5"/>
      <c r="AH575" s="5"/>
      <c r="AI575" s="5"/>
      <c r="AJ575" s="5"/>
    </row>
    <row r="576">
      <c r="A576" s="5"/>
      <c r="B576" s="5"/>
      <c r="C576" s="5"/>
      <c r="D576" s="5"/>
      <c r="E576" s="11"/>
      <c r="F576" s="12"/>
      <c r="G576" s="5"/>
      <c r="H576" s="12"/>
      <c r="I576" s="12"/>
      <c r="J576" s="12"/>
      <c r="K576" s="12"/>
      <c r="L576" s="12"/>
      <c r="M576" s="12"/>
      <c r="N576" s="5"/>
      <c r="O576" s="5"/>
      <c r="P576" s="5"/>
      <c r="Q576" s="5"/>
      <c r="R576" s="5"/>
      <c r="S576" s="5"/>
      <c r="T576" s="5"/>
      <c r="U576" s="12"/>
      <c r="V576" s="5"/>
      <c r="W576" s="11"/>
      <c r="X576" s="11"/>
      <c r="Y576" s="13"/>
      <c r="Z576" s="5"/>
      <c r="AA576" s="14"/>
      <c r="AB576" s="5"/>
      <c r="AC576" s="5"/>
      <c r="AD576" s="5"/>
      <c r="AE576" s="5"/>
      <c r="AF576" s="5"/>
      <c r="AG576" s="5"/>
      <c r="AH576" s="5"/>
      <c r="AI576" s="5"/>
      <c r="AJ576" s="5"/>
    </row>
    <row r="577">
      <c r="A577" s="5"/>
      <c r="B577" s="5"/>
      <c r="C577" s="5"/>
      <c r="D577" s="5"/>
      <c r="E577" s="11"/>
      <c r="F577" s="12"/>
      <c r="G577" s="5"/>
      <c r="H577" s="12"/>
      <c r="I577" s="12"/>
      <c r="J577" s="12"/>
      <c r="K577" s="12"/>
      <c r="L577" s="12"/>
      <c r="M577" s="12"/>
      <c r="N577" s="5"/>
      <c r="O577" s="5"/>
      <c r="P577" s="5"/>
      <c r="Q577" s="5"/>
      <c r="R577" s="5"/>
      <c r="S577" s="5"/>
      <c r="T577" s="5"/>
      <c r="U577" s="12"/>
      <c r="V577" s="5"/>
      <c r="W577" s="11"/>
      <c r="X577" s="11"/>
      <c r="Y577" s="13"/>
      <c r="Z577" s="5"/>
      <c r="AA577" s="14"/>
      <c r="AB577" s="5"/>
      <c r="AC577" s="5"/>
      <c r="AD577" s="5"/>
      <c r="AE577" s="5"/>
      <c r="AF577" s="5"/>
      <c r="AG577" s="5"/>
      <c r="AH577" s="5"/>
      <c r="AI577" s="5"/>
      <c r="AJ577" s="5"/>
    </row>
    <row r="578">
      <c r="A578" s="5"/>
      <c r="B578" s="5"/>
      <c r="C578" s="5"/>
      <c r="D578" s="5"/>
      <c r="E578" s="11"/>
      <c r="F578" s="12"/>
      <c r="G578" s="5"/>
      <c r="H578" s="12"/>
      <c r="I578" s="12"/>
      <c r="J578" s="12"/>
      <c r="K578" s="12"/>
      <c r="L578" s="12"/>
      <c r="M578" s="12"/>
      <c r="N578" s="5"/>
      <c r="O578" s="5"/>
      <c r="P578" s="5"/>
      <c r="Q578" s="5"/>
      <c r="R578" s="5"/>
      <c r="S578" s="5"/>
      <c r="T578" s="5"/>
      <c r="U578" s="12"/>
      <c r="V578" s="5"/>
      <c r="W578" s="11"/>
      <c r="X578" s="11"/>
      <c r="Y578" s="13"/>
      <c r="Z578" s="5"/>
      <c r="AA578" s="14"/>
      <c r="AB578" s="5"/>
      <c r="AC578" s="5"/>
      <c r="AD578" s="5"/>
      <c r="AE578" s="5"/>
      <c r="AF578" s="5"/>
      <c r="AG578" s="5"/>
      <c r="AH578" s="5"/>
      <c r="AI578" s="5"/>
      <c r="AJ578" s="5"/>
    </row>
    <row r="579">
      <c r="A579" s="5"/>
      <c r="B579" s="5"/>
      <c r="C579" s="5"/>
      <c r="D579" s="5"/>
      <c r="E579" s="11"/>
      <c r="F579" s="12"/>
      <c r="G579" s="5"/>
      <c r="H579" s="12"/>
      <c r="I579" s="12"/>
      <c r="J579" s="12"/>
      <c r="K579" s="12"/>
      <c r="L579" s="12"/>
      <c r="M579" s="12"/>
      <c r="N579" s="5"/>
      <c r="O579" s="5"/>
      <c r="P579" s="5"/>
      <c r="Q579" s="5"/>
      <c r="R579" s="5"/>
      <c r="S579" s="5"/>
      <c r="T579" s="5"/>
      <c r="U579" s="12"/>
      <c r="V579" s="5"/>
      <c r="W579" s="11"/>
      <c r="X579" s="11"/>
      <c r="Y579" s="13"/>
      <c r="Z579" s="5"/>
      <c r="AA579" s="14"/>
      <c r="AB579" s="5"/>
      <c r="AC579" s="5"/>
      <c r="AD579" s="5"/>
      <c r="AE579" s="5"/>
      <c r="AF579" s="5"/>
      <c r="AG579" s="5"/>
      <c r="AH579" s="5"/>
      <c r="AI579" s="5"/>
      <c r="AJ579" s="5"/>
    </row>
    <row r="580">
      <c r="A580" s="5"/>
      <c r="B580" s="5"/>
      <c r="C580" s="5"/>
      <c r="D580" s="5"/>
      <c r="E580" s="11"/>
      <c r="F580" s="12"/>
      <c r="G580" s="5"/>
      <c r="H580" s="12"/>
      <c r="I580" s="12"/>
      <c r="J580" s="12"/>
      <c r="K580" s="12"/>
      <c r="L580" s="12"/>
      <c r="M580" s="12"/>
      <c r="N580" s="5"/>
      <c r="O580" s="5"/>
      <c r="P580" s="5"/>
      <c r="Q580" s="5"/>
      <c r="R580" s="5"/>
      <c r="S580" s="5"/>
      <c r="T580" s="5"/>
      <c r="U580" s="12"/>
      <c r="V580" s="5"/>
      <c r="W580" s="11"/>
      <c r="X580" s="11"/>
      <c r="Y580" s="13"/>
      <c r="Z580" s="5"/>
      <c r="AA580" s="14"/>
      <c r="AB580" s="5"/>
      <c r="AC580" s="5"/>
      <c r="AD580" s="5"/>
      <c r="AE580" s="5"/>
      <c r="AF580" s="5"/>
      <c r="AG580" s="5"/>
      <c r="AH580" s="5"/>
      <c r="AI580" s="5"/>
      <c r="AJ580" s="5"/>
    </row>
    <row r="581">
      <c r="A581" s="5"/>
      <c r="B581" s="5"/>
      <c r="C581" s="5"/>
      <c r="D581" s="5"/>
      <c r="E581" s="11"/>
      <c r="F581" s="12"/>
      <c r="G581" s="5"/>
      <c r="H581" s="12"/>
      <c r="I581" s="12"/>
      <c r="J581" s="12"/>
      <c r="K581" s="12"/>
      <c r="L581" s="12"/>
      <c r="M581" s="12"/>
      <c r="N581" s="5"/>
      <c r="O581" s="5"/>
      <c r="P581" s="5"/>
      <c r="Q581" s="5"/>
      <c r="R581" s="5"/>
      <c r="S581" s="5"/>
      <c r="T581" s="5"/>
      <c r="U581" s="12"/>
      <c r="V581" s="5"/>
      <c r="W581" s="11"/>
      <c r="X581" s="11"/>
      <c r="Y581" s="13"/>
      <c r="Z581" s="5"/>
      <c r="AA581" s="14"/>
      <c r="AB581" s="5"/>
      <c r="AC581" s="5"/>
      <c r="AD581" s="5"/>
      <c r="AE581" s="5"/>
      <c r="AF581" s="5"/>
      <c r="AG581" s="5"/>
      <c r="AH581" s="5"/>
      <c r="AI581" s="5"/>
      <c r="AJ581" s="5"/>
    </row>
    <row r="582">
      <c r="A582" s="5"/>
      <c r="B582" s="5"/>
      <c r="C582" s="5"/>
      <c r="D582" s="5"/>
      <c r="E582" s="11"/>
      <c r="F582" s="12"/>
      <c r="G582" s="5"/>
      <c r="H582" s="12"/>
      <c r="I582" s="12"/>
      <c r="J582" s="12"/>
      <c r="K582" s="12"/>
      <c r="L582" s="12"/>
      <c r="M582" s="12"/>
      <c r="N582" s="5"/>
      <c r="O582" s="5"/>
      <c r="P582" s="5"/>
      <c r="Q582" s="5"/>
      <c r="R582" s="5"/>
      <c r="S582" s="5"/>
      <c r="T582" s="5"/>
      <c r="U582" s="12"/>
      <c r="V582" s="5"/>
      <c r="W582" s="11"/>
      <c r="X582" s="11"/>
      <c r="Y582" s="13"/>
      <c r="Z582" s="5"/>
      <c r="AA582" s="14"/>
      <c r="AB582" s="5"/>
      <c r="AC582" s="5"/>
      <c r="AD582" s="5"/>
      <c r="AE582" s="5"/>
      <c r="AF582" s="5"/>
      <c r="AG582" s="5"/>
      <c r="AH582" s="5"/>
      <c r="AI582" s="5"/>
      <c r="AJ582" s="5"/>
    </row>
    <row r="583">
      <c r="A583" s="5"/>
      <c r="B583" s="5"/>
      <c r="C583" s="5"/>
      <c r="D583" s="5"/>
      <c r="E583" s="11"/>
      <c r="F583" s="12"/>
      <c r="G583" s="5"/>
      <c r="H583" s="12"/>
      <c r="I583" s="12"/>
      <c r="J583" s="12"/>
      <c r="K583" s="12"/>
      <c r="L583" s="12"/>
      <c r="M583" s="12"/>
      <c r="N583" s="5"/>
      <c r="O583" s="5"/>
      <c r="P583" s="5"/>
      <c r="Q583" s="5"/>
      <c r="R583" s="5"/>
      <c r="S583" s="5"/>
      <c r="T583" s="5"/>
      <c r="U583" s="12"/>
      <c r="V583" s="5"/>
      <c r="W583" s="11"/>
      <c r="X583" s="11"/>
      <c r="Y583" s="13"/>
      <c r="Z583" s="5"/>
      <c r="AA583" s="14"/>
      <c r="AB583" s="5"/>
      <c r="AC583" s="5"/>
      <c r="AD583" s="5"/>
      <c r="AE583" s="5"/>
      <c r="AF583" s="5"/>
      <c r="AG583" s="5"/>
      <c r="AH583" s="5"/>
      <c r="AI583" s="5"/>
      <c r="AJ583" s="5"/>
    </row>
    <row r="584">
      <c r="A584" s="5"/>
      <c r="B584" s="5"/>
      <c r="C584" s="5"/>
      <c r="D584" s="5"/>
      <c r="E584" s="11"/>
      <c r="F584" s="12"/>
      <c r="G584" s="5"/>
      <c r="H584" s="12"/>
      <c r="I584" s="12"/>
      <c r="J584" s="12"/>
      <c r="K584" s="12"/>
      <c r="L584" s="12"/>
      <c r="M584" s="12"/>
      <c r="N584" s="5"/>
      <c r="O584" s="5"/>
      <c r="P584" s="5"/>
      <c r="Q584" s="5"/>
      <c r="R584" s="5"/>
      <c r="S584" s="5"/>
      <c r="T584" s="5"/>
      <c r="U584" s="12"/>
      <c r="V584" s="5"/>
      <c r="W584" s="11"/>
      <c r="X584" s="11"/>
      <c r="Y584" s="13"/>
      <c r="Z584" s="5"/>
      <c r="AA584" s="14"/>
      <c r="AB584" s="5"/>
      <c r="AC584" s="5"/>
      <c r="AD584" s="5"/>
      <c r="AE584" s="5"/>
      <c r="AF584" s="5"/>
      <c r="AG584" s="5"/>
      <c r="AH584" s="5"/>
      <c r="AI584" s="5"/>
      <c r="AJ584" s="5"/>
    </row>
    <row r="585">
      <c r="A585" s="5"/>
      <c r="B585" s="5"/>
      <c r="C585" s="5"/>
      <c r="D585" s="5"/>
      <c r="E585" s="11"/>
      <c r="F585" s="12"/>
      <c r="G585" s="5"/>
      <c r="H585" s="12"/>
      <c r="I585" s="12"/>
      <c r="J585" s="12"/>
      <c r="K585" s="12"/>
      <c r="L585" s="12"/>
      <c r="M585" s="12"/>
      <c r="N585" s="5"/>
      <c r="O585" s="5"/>
      <c r="P585" s="5"/>
      <c r="Q585" s="5"/>
      <c r="R585" s="5"/>
      <c r="S585" s="5"/>
      <c r="T585" s="5"/>
      <c r="U585" s="12"/>
      <c r="V585" s="5"/>
      <c r="W585" s="11"/>
      <c r="X585" s="11"/>
      <c r="Y585" s="13"/>
      <c r="Z585" s="5"/>
      <c r="AA585" s="14"/>
      <c r="AB585" s="5"/>
      <c r="AC585" s="5"/>
      <c r="AD585" s="5"/>
      <c r="AE585" s="5"/>
      <c r="AF585" s="5"/>
      <c r="AG585" s="5"/>
      <c r="AH585" s="5"/>
      <c r="AI585" s="5"/>
      <c r="AJ585" s="5"/>
    </row>
    <row r="586">
      <c r="A586" s="5"/>
      <c r="B586" s="5"/>
      <c r="C586" s="5"/>
      <c r="D586" s="5"/>
      <c r="E586" s="11"/>
      <c r="F586" s="12"/>
      <c r="G586" s="5"/>
      <c r="H586" s="12"/>
      <c r="I586" s="12"/>
      <c r="J586" s="12"/>
      <c r="K586" s="12"/>
      <c r="L586" s="12"/>
      <c r="M586" s="12"/>
      <c r="N586" s="5"/>
      <c r="O586" s="5"/>
      <c r="P586" s="5"/>
      <c r="Q586" s="5"/>
      <c r="R586" s="5"/>
      <c r="S586" s="5"/>
      <c r="T586" s="5"/>
      <c r="U586" s="12"/>
      <c r="V586" s="5"/>
      <c r="W586" s="11"/>
      <c r="X586" s="11"/>
      <c r="Y586" s="13"/>
      <c r="Z586" s="5"/>
      <c r="AA586" s="14"/>
      <c r="AB586" s="5"/>
      <c r="AC586" s="5"/>
      <c r="AD586" s="5"/>
      <c r="AE586" s="5"/>
      <c r="AF586" s="5"/>
      <c r="AG586" s="5"/>
      <c r="AH586" s="5"/>
      <c r="AI586" s="5"/>
      <c r="AJ586" s="5"/>
    </row>
    <row r="587">
      <c r="A587" s="5"/>
      <c r="B587" s="5"/>
      <c r="C587" s="5"/>
      <c r="D587" s="5"/>
      <c r="E587" s="11"/>
      <c r="F587" s="12"/>
      <c r="G587" s="5"/>
      <c r="H587" s="12"/>
      <c r="I587" s="12"/>
      <c r="J587" s="12"/>
      <c r="K587" s="12"/>
      <c r="L587" s="12"/>
      <c r="M587" s="12"/>
      <c r="N587" s="5"/>
      <c r="O587" s="5"/>
      <c r="P587" s="5"/>
      <c r="Q587" s="5"/>
      <c r="R587" s="5"/>
      <c r="S587" s="5"/>
      <c r="T587" s="5"/>
      <c r="U587" s="12"/>
      <c r="V587" s="5"/>
      <c r="W587" s="11"/>
      <c r="X587" s="11"/>
      <c r="Y587" s="13"/>
      <c r="Z587" s="5"/>
      <c r="AA587" s="14"/>
      <c r="AB587" s="5"/>
      <c r="AC587" s="5"/>
      <c r="AD587" s="5"/>
      <c r="AE587" s="5"/>
      <c r="AF587" s="5"/>
      <c r="AG587" s="5"/>
      <c r="AH587" s="5"/>
      <c r="AI587" s="5"/>
      <c r="AJ587" s="5"/>
    </row>
    <row r="588">
      <c r="A588" s="5"/>
      <c r="B588" s="5"/>
      <c r="C588" s="5"/>
      <c r="D588" s="5"/>
      <c r="E588" s="11"/>
      <c r="F588" s="12"/>
      <c r="G588" s="5"/>
      <c r="H588" s="12"/>
      <c r="I588" s="12"/>
      <c r="J588" s="12"/>
      <c r="K588" s="12"/>
      <c r="L588" s="12"/>
      <c r="M588" s="12"/>
      <c r="N588" s="5"/>
      <c r="O588" s="5"/>
      <c r="P588" s="5"/>
      <c r="Q588" s="5"/>
      <c r="R588" s="5"/>
      <c r="S588" s="5"/>
      <c r="T588" s="5"/>
      <c r="U588" s="12"/>
      <c r="V588" s="5"/>
      <c r="W588" s="11"/>
      <c r="X588" s="11"/>
      <c r="Y588" s="13"/>
      <c r="Z588" s="5"/>
      <c r="AA588" s="14"/>
      <c r="AB588" s="5"/>
      <c r="AC588" s="5"/>
      <c r="AD588" s="5"/>
      <c r="AE588" s="5"/>
      <c r="AF588" s="5"/>
      <c r="AG588" s="5"/>
      <c r="AH588" s="5"/>
      <c r="AI588" s="5"/>
      <c r="AJ588" s="5"/>
    </row>
    <row r="589">
      <c r="A589" s="5"/>
      <c r="B589" s="5"/>
      <c r="C589" s="5"/>
      <c r="D589" s="5"/>
      <c r="E589" s="11"/>
      <c r="F589" s="12"/>
      <c r="G589" s="5"/>
      <c r="H589" s="12"/>
      <c r="I589" s="12"/>
      <c r="J589" s="12"/>
      <c r="K589" s="12"/>
      <c r="L589" s="12"/>
      <c r="M589" s="12"/>
      <c r="N589" s="5"/>
      <c r="O589" s="5"/>
      <c r="P589" s="5"/>
      <c r="Q589" s="5"/>
      <c r="R589" s="5"/>
      <c r="S589" s="5"/>
      <c r="T589" s="5"/>
      <c r="U589" s="12"/>
      <c r="V589" s="5"/>
      <c r="W589" s="11"/>
      <c r="X589" s="11"/>
      <c r="Y589" s="13"/>
      <c r="Z589" s="5"/>
      <c r="AA589" s="14"/>
      <c r="AB589" s="5"/>
      <c r="AC589" s="5"/>
      <c r="AD589" s="5"/>
      <c r="AE589" s="5"/>
      <c r="AF589" s="5"/>
      <c r="AG589" s="5"/>
      <c r="AH589" s="5"/>
      <c r="AI589" s="5"/>
      <c r="AJ589" s="5"/>
    </row>
    <row r="590">
      <c r="A590" s="5"/>
      <c r="B590" s="5"/>
      <c r="C590" s="5"/>
      <c r="D590" s="5"/>
      <c r="E590" s="11"/>
      <c r="F590" s="12"/>
      <c r="G590" s="5"/>
      <c r="H590" s="12"/>
      <c r="I590" s="12"/>
      <c r="J590" s="12"/>
      <c r="K590" s="12"/>
      <c r="L590" s="12"/>
      <c r="M590" s="12"/>
      <c r="N590" s="5"/>
      <c r="O590" s="5"/>
      <c r="P590" s="5"/>
      <c r="Q590" s="5"/>
      <c r="R590" s="5"/>
      <c r="S590" s="5"/>
      <c r="T590" s="5"/>
      <c r="U590" s="12"/>
      <c r="V590" s="5"/>
      <c r="W590" s="11"/>
      <c r="X590" s="11"/>
      <c r="Y590" s="13"/>
      <c r="Z590" s="5"/>
      <c r="AA590" s="14"/>
      <c r="AB590" s="5"/>
      <c r="AC590" s="5"/>
      <c r="AD590" s="5"/>
      <c r="AE590" s="5"/>
      <c r="AF590" s="5"/>
      <c r="AG590" s="5"/>
      <c r="AH590" s="5"/>
      <c r="AI590" s="5"/>
      <c r="AJ590" s="5"/>
    </row>
    <row r="591">
      <c r="A591" s="5"/>
      <c r="B591" s="5"/>
      <c r="C591" s="5"/>
      <c r="D591" s="5"/>
      <c r="E591" s="11"/>
      <c r="F591" s="12"/>
      <c r="G591" s="5"/>
      <c r="H591" s="12"/>
      <c r="I591" s="12"/>
      <c r="J591" s="12"/>
      <c r="K591" s="12"/>
      <c r="L591" s="12"/>
      <c r="M591" s="12"/>
      <c r="N591" s="5"/>
      <c r="O591" s="5"/>
      <c r="P591" s="5"/>
      <c r="Q591" s="5"/>
      <c r="R591" s="5"/>
      <c r="S591" s="5"/>
      <c r="T591" s="5"/>
      <c r="U591" s="12"/>
      <c r="V591" s="5"/>
      <c r="W591" s="11"/>
      <c r="X591" s="11"/>
      <c r="Y591" s="13"/>
      <c r="Z591" s="5"/>
      <c r="AA591" s="14"/>
      <c r="AB591" s="5"/>
      <c r="AC591" s="5"/>
      <c r="AD591" s="5"/>
      <c r="AE591" s="5"/>
      <c r="AF591" s="5"/>
      <c r="AG591" s="5"/>
      <c r="AH591" s="5"/>
      <c r="AI591" s="5"/>
      <c r="AJ591" s="5"/>
    </row>
    <row r="592">
      <c r="A592" s="5"/>
      <c r="B592" s="5"/>
      <c r="C592" s="5"/>
      <c r="D592" s="5"/>
      <c r="E592" s="11"/>
      <c r="F592" s="12"/>
      <c r="G592" s="5"/>
      <c r="H592" s="12"/>
      <c r="I592" s="12"/>
      <c r="J592" s="12"/>
      <c r="K592" s="12"/>
      <c r="L592" s="12"/>
      <c r="M592" s="12"/>
      <c r="N592" s="5"/>
      <c r="O592" s="5"/>
      <c r="P592" s="5"/>
      <c r="Q592" s="5"/>
      <c r="R592" s="5"/>
      <c r="S592" s="5"/>
      <c r="T592" s="5"/>
      <c r="U592" s="12"/>
      <c r="V592" s="5"/>
      <c r="W592" s="11"/>
      <c r="X592" s="11"/>
      <c r="Y592" s="13"/>
      <c r="Z592" s="5"/>
      <c r="AA592" s="14"/>
      <c r="AB592" s="5"/>
      <c r="AC592" s="5"/>
      <c r="AD592" s="5"/>
      <c r="AE592" s="5"/>
      <c r="AF592" s="5"/>
      <c r="AG592" s="5"/>
      <c r="AH592" s="5"/>
      <c r="AI592" s="5"/>
      <c r="AJ592" s="5"/>
    </row>
    <row r="593">
      <c r="A593" s="5"/>
      <c r="B593" s="5"/>
      <c r="C593" s="5"/>
      <c r="D593" s="5"/>
      <c r="E593" s="11"/>
      <c r="F593" s="12"/>
      <c r="G593" s="5"/>
      <c r="H593" s="12"/>
      <c r="I593" s="12"/>
      <c r="J593" s="12"/>
      <c r="K593" s="12"/>
      <c r="L593" s="12"/>
      <c r="M593" s="12"/>
      <c r="N593" s="5"/>
      <c r="O593" s="5"/>
      <c r="P593" s="5"/>
      <c r="Q593" s="5"/>
      <c r="R593" s="5"/>
      <c r="S593" s="5"/>
      <c r="T593" s="5"/>
      <c r="U593" s="12"/>
      <c r="V593" s="5"/>
      <c r="W593" s="11"/>
      <c r="X593" s="11"/>
      <c r="Y593" s="13"/>
      <c r="Z593" s="5"/>
      <c r="AA593" s="14"/>
      <c r="AB593" s="5"/>
      <c r="AC593" s="5"/>
      <c r="AD593" s="5"/>
      <c r="AE593" s="5"/>
      <c r="AF593" s="5"/>
      <c r="AG593" s="5"/>
      <c r="AH593" s="5"/>
      <c r="AI593" s="5"/>
      <c r="AJ593" s="5"/>
    </row>
    <row r="594">
      <c r="A594" s="5"/>
      <c r="B594" s="5"/>
      <c r="C594" s="5"/>
      <c r="D594" s="5"/>
      <c r="E594" s="11"/>
      <c r="F594" s="12"/>
      <c r="G594" s="5"/>
      <c r="H594" s="12"/>
      <c r="I594" s="12"/>
      <c r="J594" s="12"/>
      <c r="K594" s="12"/>
      <c r="L594" s="12"/>
      <c r="M594" s="12"/>
      <c r="N594" s="5"/>
      <c r="O594" s="5"/>
      <c r="P594" s="5"/>
      <c r="Q594" s="5"/>
      <c r="R594" s="5"/>
      <c r="S594" s="5"/>
      <c r="T594" s="5"/>
      <c r="U594" s="12"/>
      <c r="V594" s="5"/>
      <c r="W594" s="11"/>
      <c r="X594" s="11"/>
      <c r="Y594" s="13"/>
      <c r="Z594" s="5"/>
      <c r="AA594" s="14"/>
      <c r="AB594" s="5"/>
      <c r="AC594" s="5"/>
      <c r="AD594" s="5"/>
      <c r="AE594" s="5"/>
      <c r="AF594" s="5"/>
      <c r="AG594" s="5"/>
      <c r="AH594" s="5"/>
      <c r="AI594" s="5"/>
      <c r="AJ594" s="5"/>
    </row>
    <row r="595">
      <c r="A595" s="5"/>
      <c r="B595" s="5"/>
      <c r="C595" s="5"/>
      <c r="D595" s="5"/>
      <c r="E595" s="11"/>
      <c r="F595" s="12"/>
      <c r="G595" s="5"/>
      <c r="H595" s="12"/>
      <c r="I595" s="12"/>
      <c r="J595" s="12"/>
      <c r="K595" s="12"/>
      <c r="L595" s="12"/>
      <c r="M595" s="12"/>
      <c r="N595" s="5"/>
      <c r="O595" s="5"/>
      <c r="P595" s="5"/>
      <c r="Q595" s="5"/>
      <c r="R595" s="5"/>
      <c r="S595" s="5"/>
      <c r="T595" s="5"/>
      <c r="U595" s="12"/>
      <c r="V595" s="5"/>
      <c r="W595" s="11"/>
      <c r="X595" s="11"/>
      <c r="Y595" s="13"/>
      <c r="Z595" s="5"/>
      <c r="AA595" s="14"/>
      <c r="AB595" s="5"/>
      <c r="AC595" s="5"/>
      <c r="AD595" s="5"/>
      <c r="AE595" s="5"/>
      <c r="AF595" s="5"/>
      <c r="AG595" s="5"/>
      <c r="AH595" s="5"/>
      <c r="AI595" s="5"/>
      <c r="AJ595" s="5"/>
    </row>
    <row r="596">
      <c r="A596" s="5"/>
      <c r="B596" s="5"/>
      <c r="C596" s="5"/>
      <c r="D596" s="5"/>
      <c r="E596" s="11"/>
      <c r="F596" s="12"/>
      <c r="G596" s="5"/>
      <c r="H596" s="12"/>
      <c r="I596" s="12"/>
      <c r="J596" s="12"/>
      <c r="K596" s="12"/>
      <c r="L596" s="12"/>
      <c r="M596" s="12"/>
      <c r="N596" s="5"/>
      <c r="O596" s="5"/>
      <c r="P596" s="5"/>
      <c r="Q596" s="5"/>
      <c r="R596" s="5"/>
      <c r="S596" s="5"/>
      <c r="T596" s="5"/>
      <c r="U596" s="12"/>
      <c r="V596" s="5"/>
      <c r="W596" s="11"/>
      <c r="X596" s="11"/>
      <c r="Y596" s="13"/>
      <c r="Z596" s="5"/>
      <c r="AA596" s="14"/>
      <c r="AB596" s="5"/>
      <c r="AC596" s="5"/>
      <c r="AD596" s="5"/>
      <c r="AE596" s="5"/>
      <c r="AF596" s="5"/>
      <c r="AG596" s="5"/>
      <c r="AH596" s="5"/>
      <c r="AI596" s="5"/>
      <c r="AJ596" s="5"/>
    </row>
    <row r="597">
      <c r="A597" s="5"/>
      <c r="B597" s="5"/>
      <c r="C597" s="5"/>
      <c r="D597" s="5"/>
      <c r="E597" s="11"/>
      <c r="F597" s="12"/>
      <c r="G597" s="5"/>
      <c r="H597" s="12"/>
      <c r="I597" s="12"/>
      <c r="J597" s="12"/>
      <c r="K597" s="12"/>
      <c r="L597" s="12"/>
      <c r="M597" s="12"/>
      <c r="N597" s="5"/>
      <c r="O597" s="5"/>
      <c r="P597" s="5"/>
      <c r="Q597" s="5"/>
      <c r="R597" s="5"/>
      <c r="S597" s="5"/>
      <c r="T597" s="5"/>
      <c r="U597" s="12"/>
      <c r="V597" s="5"/>
      <c r="W597" s="11"/>
      <c r="X597" s="11"/>
      <c r="Y597" s="13"/>
      <c r="Z597" s="5"/>
      <c r="AA597" s="14"/>
      <c r="AB597" s="5"/>
      <c r="AC597" s="5"/>
      <c r="AD597" s="5"/>
      <c r="AE597" s="5"/>
      <c r="AF597" s="5"/>
      <c r="AG597" s="5"/>
      <c r="AH597" s="5"/>
      <c r="AI597" s="5"/>
      <c r="AJ597" s="5"/>
    </row>
    <row r="598">
      <c r="A598" s="5"/>
      <c r="B598" s="5"/>
      <c r="C598" s="5"/>
      <c r="D598" s="5"/>
      <c r="E598" s="11"/>
      <c r="F598" s="12"/>
      <c r="G598" s="5"/>
      <c r="H598" s="12"/>
      <c r="I598" s="12"/>
      <c r="J598" s="12"/>
      <c r="K598" s="12"/>
      <c r="L598" s="12"/>
      <c r="M598" s="12"/>
      <c r="N598" s="5"/>
      <c r="O598" s="5"/>
      <c r="P598" s="5"/>
      <c r="Q598" s="5"/>
      <c r="R598" s="5"/>
      <c r="S598" s="5"/>
      <c r="T598" s="5"/>
      <c r="U598" s="12"/>
      <c r="V598" s="5"/>
      <c r="W598" s="11"/>
      <c r="X598" s="11"/>
      <c r="Y598" s="13"/>
      <c r="Z598" s="5"/>
      <c r="AA598" s="14"/>
      <c r="AB598" s="5"/>
      <c r="AC598" s="5"/>
      <c r="AD598" s="5"/>
      <c r="AE598" s="5"/>
      <c r="AF598" s="5"/>
      <c r="AG598" s="5"/>
      <c r="AH598" s="5"/>
      <c r="AI598" s="5"/>
      <c r="AJ598" s="5"/>
    </row>
    <row r="599">
      <c r="A599" s="5"/>
      <c r="B599" s="5"/>
      <c r="C599" s="5"/>
      <c r="D599" s="5"/>
      <c r="E599" s="11"/>
      <c r="F599" s="12"/>
      <c r="G599" s="5"/>
      <c r="H599" s="12"/>
      <c r="I599" s="12"/>
      <c r="J599" s="12"/>
      <c r="K599" s="12"/>
      <c r="L599" s="12"/>
      <c r="M599" s="12"/>
      <c r="N599" s="5"/>
      <c r="O599" s="5"/>
      <c r="P599" s="5"/>
      <c r="Q599" s="5"/>
      <c r="R599" s="5"/>
      <c r="S599" s="5"/>
      <c r="T599" s="5"/>
      <c r="U599" s="12"/>
      <c r="V599" s="5"/>
      <c r="W599" s="11"/>
      <c r="X599" s="11"/>
      <c r="Y599" s="13"/>
      <c r="Z599" s="5"/>
      <c r="AA599" s="14"/>
      <c r="AB599" s="5"/>
      <c r="AC599" s="5"/>
      <c r="AD599" s="5"/>
      <c r="AE599" s="5"/>
      <c r="AF599" s="5"/>
      <c r="AG599" s="5"/>
      <c r="AH599" s="5"/>
      <c r="AI599" s="5"/>
      <c r="AJ599" s="5"/>
    </row>
    <row r="600">
      <c r="A600" s="5"/>
      <c r="B600" s="5"/>
      <c r="C600" s="5"/>
      <c r="D600" s="5"/>
      <c r="E600" s="11"/>
      <c r="F600" s="12"/>
      <c r="G600" s="5"/>
      <c r="H600" s="12"/>
      <c r="I600" s="12"/>
      <c r="J600" s="12"/>
      <c r="K600" s="12"/>
      <c r="L600" s="12"/>
      <c r="M600" s="12"/>
      <c r="N600" s="5"/>
      <c r="O600" s="5"/>
      <c r="P600" s="5"/>
      <c r="Q600" s="5"/>
      <c r="R600" s="5"/>
      <c r="S600" s="5"/>
      <c r="T600" s="5"/>
      <c r="U600" s="12"/>
      <c r="V600" s="5"/>
      <c r="W600" s="11"/>
      <c r="X600" s="11"/>
      <c r="Y600" s="13"/>
      <c r="Z600" s="5"/>
      <c r="AA600" s="14"/>
      <c r="AB600" s="5"/>
      <c r="AC600" s="5"/>
      <c r="AD600" s="5"/>
      <c r="AE600" s="5"/>
      <c r="AF600" s="5"/>
      <c r="AG600" s="5"/>
      <c r="AH600" s="5"/>
      <c r="AI600" s="5"/>
      <c r="AJ600" s="5"/>
    </row>
    <row r="601">
      <c r="A601" s="5"/>
      <c r="B601" s="5"/>
      <c r="C601" s="5"/>
      <c r="D601" s="5"/>
      <c r="E601" s="11"/>
      <c r="F601" s="12"/>
      <c r="G601" s="5"/>
      <c r="H601" s="12"/>
      <c r="I601" s="12"/>
      <c r="J601" s="12"/>
      <c r="K601" s="12"/>
      <c r="L601" s="12"/>
      <c r="M601" s="12"/>
      <c r="N601" s="5"/>
      <c r="O601" s="5"/>
      <c r="P601" s="5"/>
      <c r="Q601" s="5"/>
      <c r="R601" s="5"/>
      <c r="S601" s="5"/>
      <c r="T601" s="5"/>
      <c r="U601" s="12"/>
      <c r="V601" s="5"/>
      <c r="W601" s="11"/>
      <c r="X601" s="11"/>
      <c r="Y601" s="13"/>
      <c r="Z601" s="5"/>
      <c r="AA601" s="14"/>
      <c r="AB601" s="5"/>
      <c r="AC601" s="5"/>
      <c r="AD601" s="5"/>
      <c r="AE601" s="5"/>
      <c r="AF601" s="5"/>
      <c r="AG601" s="5"/>
      <c r="AH601" s="5"/>
      <c r="AI601" s="5"/>
      <c r="AJ601" s="5"/>
    </row>
    <row r="602">
      <c r="A602" s="5"/>
      <c r="B602" s="5"/>
      <c r="C602" s="5"/>
      <c r="D602" s="5"/>
      <c r="E602" s="11"/>
      <c r="F602" s="12"/>
      <c r="G602" s="5"/>
      <c r="H602" s="12"/>
      <c r="I602" s="12"/>
      <c r="J602" s="12"/>
      <c r="K602" s="12"/>
      <c r="L602" s="12"/>
      <c r="M602" s="12"/>
      <c r="N602" s="5"/>
      <c r="O602" s="5"/>
      <c r="P602" s="5"/>
      <c r="Q602" s="5"/>
      <c r="R602" s="5"/>
      <c r="S602" s="5"/>
      <c r="T602" s="5"/>
      <c r="U602" s="12"/>
      <c r="V602" s="5"/>
      <c r="W602" s="11"/>
      <c r="X602" s="11"/>
      <c r="Y602" s="13"/>
      <c r="Z602" s="5"/>
      <c r="AA602" s="14"/>
      <c r="AB602" s="5"/>
      <c r="AC602" s="5"/>
      <c r="AD602" s="5"/>
      <c r="AE602" s="5"/>
      <c r="AF602" s="5"/>
      <c r="AG602" s="5"/>
      <c r="AH602" s="5"/>
      <c r="AI602" s="5"/>
      <c r="AJ602" s="5"/>
    </row>
    <row r="603">
      <c r="A603" s="5"/>
      <c r="B603" s="5"/>
      <c r="C603" s="5"/>
      <c r="D603" s="5"/>
      <c r="E603" s="11"/>
      <c r="F603" s="12"/>
      <c r="G603" s="5"/>
      <c r="H603" s="12"/>
      <c r="I603" s="12"/>
      <c r="J603" s="12"/>
      <c r="K603" s="12"/>
      <c r="L603" s="12"/>
      <c r="M603" s="12"/>
      <c r="N603" s="5"/>
      <c r="O603" s="5"/>
      <c r="P603" s="5"/>
      <c r="Q603" s="5"/>
      <c r="R603" s="5"/>
      <c r="S603" s="5"/>
      <c r="T603" s="5"/>
      <c r="U603" s="12"/>
      <c r="V603" s="5"/>
      <c r="W603" s="11"/>
      <c r="X603" s="11"/>
      <c r="Y603" s="13"/>
      <c r="Z603" s="5"/>
      <c r="AA603" s="14"/>
      <c r="AB603" s="5"/>
      <c r="AC603" s="5"/>
      <c r="AD603" s="5"/>
      <c r="AE603" s="5"/>
      <c r="AF603" s="5"/>
      <c r="AG603" s="5"/>
      <c r="AH603" s="5"/>
      <c r="AI603" s="5"/>
      <c r="AJ603" s="5"/>
    </row>
    <row r="604">
      <c r="A604" s="5"/>
      <c r="B604" s="5"/>
      <c r="C604" s="5"/>
      <c r="D604" s="5"/>
      <c r="E604" s="11"/>
      <c r="F604" s="12"/>
      <c r="G604" s="5"/>
      <c r="H604" s="12"/>
      <c r="I604" s="12"/>
      <c r="J604" s="12"/>
      <c r="K604" s="12"/>
      <c r="L604" s="12"/>
      <c r="M604" s="12"/>
      <c r="N604" s="5"/>
      <c r="O604" s="5"/>
      <c r="P604" s="5"/>
      <c r="Q604" s="5"/>
      <c r="R604" s="5"/>
      <c r="S604" s="5"/>
      <c r="T604" s="5"/>
      <c r="U604" s="12"/>
      <c r="V604" s="5"/>
      <c r="W604" s="11"/>
      <c r="X604" s="11"/>
      <c r="Y604" s="13"/>
      <c r="Z604" s="5"/>
      <c r="AA604" s="14"/>
      <c r="AB604" s="5"/>
      <c r="AC604" s="5"/>
      <c r="AD604" s="5"/>
      <c r="AE604" s="5"/>
      <c r="AF604" s="5"/>
      <c r="AG604" s="5"/>
      <c r="AH604" s="5"/>
      <c r="AI604" s="5"/>
      <c r="AJ604" s="5"/>
    </row>
    <row r="605">
      <c r="A605" s="5"/>
      <c r="B605" s="5"/>
      <c r="C605" s="5"/>
      <c r="D605" s="5"/>
      <c r="E605" s="11"/>
      <c r="F605" s="12"/>
      <c r="G605" s="5"/>
      <c r="H605" s="12"/>
      <c r="I605" s="12"/>
      <c r="J605" s="12"/>
      <c r="K605" s="12"/>
      <c r="L605" s="12"/>
      <c r="M605" s="12"/>
      <c r="N605" s="5"/>
      <c r="O605" s="5"/>
      <c r="P605" s="5"/>
      <c r="Q605" s="5"/>
      <c r="R605" s="5"/>
      <c r="S605" s="5"/>
      <c r="T605" s="5"/>
      <c r="U605" s="12"/>
      <c r="V605" s="5"/>
      <c r="W605" s="11"/>
      <c r="X605" s="11"/>
      <c r="Y605" s="13"/>
      <c r="Z605" s="5"/>
      <c r="AA605" s="14"/>
      <c r="AB605" s="5"/>
      <c r="AC605" s="5"/>
      <c r="AD605" s="5"/>
      <c r="AE605" s="5"/>
      <c r="AF605" s="5"/>
      <c r="AG605" s="5"/>
      <c r="AH605" s="5"/>
      <c r="AI605" s="5"/>
      <c r="AJ605" s="5"/>
    </row>
    <row r="606">
      <c r="A606" s="5"/>
      <c r="B606" s="5"/>
      <c r="C606" s="5"/>
      <c r="D606" s="5"/>
      <c r="E606" s="11"/>
      <c r="F606" s="12"/>
      <c r="G606" s="5"/>
      <c r="H606" s="12"/>
      <c r="I606" s="12"/>
      <c r="J606" s="12"/>
      <c r="K606" s="12"/>
      <c r="L606" s="12"/>
      <c r="M606" s="12"/>
      <c r="N606" s="5"/>
      <c r="O606" s="5"/>
      <c r="P606" s="5"/>
      <c r="Q606" s="5"/>
      <c r="R606" s="5"/>
      <c r="S606" s="5"/>
      <c r="T606" s="5"/>
      <c r="U606" s="12"/>
      <c r="V606" s="5"/>
      <c r="W606" s="11"/>
      <c r="X606" s="11"/>
      <c r="Y606" s="13"/>
      <c r="Z606" s="5"/>
      <c r="AA606" s="14"/>
      <c r="AB606" s="5"/>
      <c r="AC606" s="5"/>
      <c r="AD606" s="5"/>
      <c r="AE606" s="5"/>
      <c r="AF606" s="5"/>
      <c r="AG606" s="5"/>
      <c r="AH606" s="5"/>
      <c r="AI606" s="5"/>
      <c r="AJ606" s="5"/>
    </row>
    <row r="607">
      <c r="A607" s="5"/>
      <c r="B607" s="5"/>
      <c r="C607" s="5"/>
      <c r="D607" s="5"/>
      <c r="E607" s="11"/>
      <c r="F607" s="12"/>
      <c r="G607" s="5"/>
      <c r="H607" s="12"/>
      <c r="I607" s="12"/>
      <c r="J607" s="12"/>
      <c r="K607" s="12"/>
      <c r="L607" s="12"/>
      <c r="M607" s="12"/>
      <c r="N607" s="5"/>
      <c r="O607" s="5"/>
      <c r="P607" s="5"/>
      <c r="Q607" s="5"/>
      <c r="R607" s="5"/>
      <c r="S607" s="5"/>
      <c r="T607" s="5"/>
      <c r="U607" s="12"/>
      <c r="V607" s="5"/>
      <c r="W607" s="11"/>
      <c r="X607" s="11"/>
      <c r="Y607" s="13"/>
      <c r="Z607" s="5"/>
      <c r="AA607" s="14"/>
      <c r="AB607" s="5"/>
      <c r="AC607" s="5"/>
      <c r="AD607" s="5"/>
      <c r="AE607" s="5"/>
      <c r="AF607" s="5"/>
      <c r="AG607" s="5"/>
      <c r="AH607" s="5"/>
      <c r="AI607" s="5"/>
      <c r="AJ607" s="5"/>
    </row>
    <row r="608">
      <c r="A608" s="5"/>
      <c r="B608" s="5"/>
      <c r="C608" s="5"/>
      <c r="D608" s="5"/>
      <c r="E608" s="11"/>
      <c r="F608" s="12"/>
      <c r="G608" s="5"/>
      <c r="H608" s="12"/>
      <c r="I608" s="12"/>
      <c r="J608" s="12"/>
      <c r="K608" s="12"/>
      <c r="L608" s="12"/>
      <c r="M608" s="12"/>
      <c r="N608" s="5"/>
      <c r="O608" s="5"/>
      <c r="P608" s="5"/>
      <c r="Q608" s="5"/>
      <c r="R608" s="5"/>
      <c r="S608" s="5"/>
      <c r="T608" s="5"/>
      <c r="U608" s="12"/>
      <c r="V608" s="5"/>
      <c r="W608" s="11"/>
      <c r="X608" s="11"/>
      <c r="Y608" s="13"/>
      <c r="Z608" s="5"/>
      <c r="AA608" s="14"/>
      <c r="AB608" s="5"/>
      <c r="AC608" s="5"/>
      <c r="AD608" s="5"/>
      <c r="AE608" s="5"/>
      <c r="AF608" s="5"/>
      <c r="AG608" s="5"/>
      <c r="AH608" s="5"/>
      <c r="AI608" s="5"/>
      <c r="AJ608" s="5"/>
    </row>
    <row r="609">
      <c r="A609" s="5"/>
      <c r="B609" s="5"/>
      <c r="C609" s="5"/>
      <c r="D609" s="5"/>
      <c r="E609" s="11"/>
      <c r="F609" s="12"/>
      <c r="G609" s="5"/>
      <c r="H609" s="12"/>
      <c r="I609" s="12"/>
      <c r="J609" s="12"/>
      <c r="K609" s="12"/>
      <c r="L609" s="12"/>
      <c r="M609" s="12"/>
      <c r="N609" s="5"/>
      <c r="O609" s="5"/>
      <c r="P609" s="5"/>
      <c r="Q609" s="5"/>
      <c r="R609" s="5"/>
      <c r="S609" s="5"/>
      <c r="T609" s="5"/>
      <c r="U609" s="12"/>
      <c r="V609" s="5"/>
      <c r="W609" s="11"/>
      <c r="X609" s="11"/>
      <c r="Y609" s="13"/>
      <c r="Z609" s="5"/>
      <c r="AA609" s="14"/>
      <c r="AB609" s="5"/>
      <c r="AC609" s="5"/>
      <c r="AD609" s="5"/>
      <c r="AE609" s="5"/>
      <c r="AF609" s="5"/>
      <c r="AG609" s="5"/>
      <c r="AH609" s="5"/>
      <c r="AI609" s="5"/>
      <c r="AJ609" s="5"/>
    </row>
    <row r="610">
      <c r="A610" s="5"/>
      <c r="B610" s="5"/>
      <c r="C610" s="5"/>
      <c r="D610" s="5"/>
      <c r="E610" s="11"/>
      <c r="F610" s="12"/>
      <c r="G610" s="5"/>
      <c r="H610" s="12"/>
      <c r="I610" s="12"/>
      <c r="J610" s="12"/>
      <c r="K610" s="12"/>
      <c r="L610" s="12"/>
      <c r="M610" s="12"/>
      <c r="N610" s="5"/>
      <c r="O610" s="5"/>
      <c r="P610" s="5"/>
      <c r="Q610" s="5"/>
      <c r="R610" s="5"/>
      <c r="S610" s="5"/>
      <c r="T610" s="5"/>
      <c r="U610" s="12"/>
      <c r="V610" s="5"/>
      <c r="W610" s="11"/>
      <c r="X610" s="11"/>
      <c r="Y610" s="13"/>
      <c r="Z610" s="5"/>
      <c r="AA610" s="14"/>
      <c r="AB610" s="5"/>
      <c r="AC610" s="5"/>
      <c r="AD610" s="5"/>
      <c r="AE610" s="5"/>
      <c r="AF610" s="5"/>
      <c r="AG610" s="5"/>
      <c r="AH610" s="5"/>
      <c r="AI610" s="5"/>
      <c r="AJ610" s="5"/>
    </row>
    <row r="611">
      <c r="A611" s="5"/>
      <c r="B611" s="5"/>
      <c r="C611" s="5"/>
      <c r="D611" s="5"/>
      <c r="E611" s="11"/>
      <c r="F611" s="12"/>
      <c r="G611" s="5"/>
      <c r="H611" s="12"/>
      <c r="I611" s="12"/>
      <c r="J611" s="12"/>
      <c r="K611" s="12"/>
      <c r="L611" s="12"/>
      <c r="M611" s="12"/>
      <c r="N611" s="5"/>
      <c r="O611" s="5"/>
      <c r="P611" s="5"/>
      <c r="Q611" s="5"/>
      <c r="R611" s="5"/>
      <c r="S611" s="5"/>
      <c r="T611" s="5"/>
      <c r="U611" s="12"/>
      <c r="V611" s="5"/>
      <c r="W611" s="11"/>
      <c r="X611" s="11"/>
      <c r="Y611" s="13"/>
      <c r="Z611" s="5"/>
      <c r="AA611" s="14"/>
      <c r="AB611" s="5"/>
      <c r="AC611" s="5"/>
      <c r="AD611" s="5"/>
      <c r="AE611" s="5"/>
      <c r="AF611" s="5"/>
      <c r="AG611" s="5"/>
      <c r="AH611" s="5"/>
      <c r="AI611" s="5"/>
      <c r="AJ611" s="5"/>
    </row>
    <row r="612">
      <c r="A612" s="5"/>
      <c r="B612" s="5"/>
      <c r="C612" s="5"/>
      <c r="D612" s="5"/>
      <c r="E612" s="11"/>
      <c r="F612" s="12"/>
      <c r="G612" s="5"/>
      <c r="H612" s="12"/>
      <c r="I612" s="12"/>
      <c r="J612" s="12"/>
      <c r="K612" s="12"/>
      <c r="L612" s="12"/>
      <c r="M612" s="12"/>
      <c r="N612" s="5"/>
      <c r="O612" s="5"/>
      <c r="P612" s="5"/>
      <c r="Q612" s="5"/>
      <c r="R612" s="5"/>
      <c r="S612" s="5"/>
      <c r="T612" s="5"/>
      <c r="U612" s="12"/>
      <c r="V612" s="5"/>
      <c r="W612" s="11"/>
      <c r="X612" s="11"/>
      <c r="Y612" s="13"/>
      <c r="Z612" s="5"/>
      <c r="AA612" s="14"/>
      <c r="AB612" s="5"/>
      <c r="AC612" s="5"/>
      <c r="AD612" s="5"/>
      <c r="AE612" s="5"/>
      <c r="AF612" s="5"/>
      <c r="AG612" s="5"/>
      <c r="AH612" s="5"/>
      <c r="AI612" s="5"/>
      <c r="AJ612" s="5"/>
    </row>
    <row r="613">
      <c r="A613" s="5"/>
      <c r="B613" s="5"/>
      <c r="C613" s="5"/>
      <c r="D613" s="5"/>
      <c r="E613" s="11"/>
      <c r="F613" s="12"/>
      <c r="G613" s="5"/>
      <c r="H613" s="12"/>
      <c r="I613" s="12"/>
      <c r="J613" s="12"/>
      <c r="K613" s="12"/>
      <c r="L613" s="12"/>
      <c r="M613" s="12"/>
      <c r="N613" s="5"/>
      <c r="O613" s="5"/>
      <c r="P613" s="5"/>
      <c r="Q613" s="5"/>
      <c r="R613" s="5"/>
      <c r="S613" s="5"/>
      <c r="T613" s="5"/>
      <c r="U613" s="12"/>
      <c r="V613" s="5"/>
      <c r="W613" s="11"/>
      <c r="X613" s="11"/>
      <c r="Y613" s="13"/>
      <c r="Z613" s="5"/>
      <c r="AA613" s="14"/>
      <c r="AB613" s="5"/>
      <c r="AC613" s="5"/>
      <c r="AD613" s="5"/>
      <c r="AE613" s="5"/>
      <c r="AF613" s="5"/>
      <c r="AG613" s="5"/>
      <c r="AH613" s="5"/>
      <c r="AI613" s="5"/>
      <c r="AJ613" s="5"/>
    </row>
    <row r="614">
      <c r="A614" s="5"/>
      <c r="B614" s="5"/>
      <c r="C614" s="5"/>
      <c r="D614" s="5"/>
      <c r="E614" s="11"/>
      <c r="F614" s="12"/>
      <c r="G614" s="5"/>
      <c r="H614" s="12"/>
      <c r="I614" s="12"/>
      <c r="J614" s="12"/>
      <c r="K614" s="12"/>
      <c r="L614" s="12"/>
      <c r="M614" s="12"/>
      <c r="N614" s="5"/>
      <c r="O614" s="5"/>
      <c r="P614" s="5"/>
      <c r="Q614" s="5"/>
      <c r="R614" s="5"/>
      <c r="S614" s="5"/>
      <c r="T614" s="5"/>
      <c r="U614" s="12"/>
      <c r="V614" s="5"/>
      <c r="W614" s="11"/>
      <c r="X614" s="11"/>
      <c r="Y614" s="13"/>
      <c r="Z614" s="5"/>
      <c r="AA614" s="14"/>
      <c r="AB614" s="5"/>
      <c r="AC614" s="5"/>
      <c r="AD614" s="5"/>
      <c r="AE614" s="5"/>
      <c r="AF614" s="5"/>
      <c r="AG614" s="5"/>
      <c r="AH614" s="5"/>
      <c r="AI614" s="5"/>
      <c r="AJ614" s="5"/>
    </row>
    <row r="615">
      <c r="A615" s="5"/>
      <c r="B615" s="5"/>
      <c r="C615" s="5"/>
      <c r="D615" s="5"/>
      <c r="E615" s="11"/>
      <c r="F615" s="12"/>
      <c r="G615" s="5"/>
      <c r="H615" s="12"/>
      <c r="I615" s="12"/>
      <c r="J615" s="12"/>
      <c r="K615" s="12"/>
      <c r="L615" s="12"/>
      <c r="M615" s="12"/>
      <c r="N615" s="5"/>
      <c r="O615" s="5"/>
      <c r="P615" s="5"/>
      <c r="Q615" s="5"/>
      <c r="R615" s="5"/>
      <c r="S615" s="5"/>
      <c r="T615" s="5"/>
      <c r="U615" s="12"/>
      <c r="V615" s="5"/>
      <c r="W615" s="11"/>
      <c r="X615" s="11"/>
      <c r="Y615" s="13"/>
      <c r="Z615" s="5"/>
      <c r="AA615" s="14"/>
      <c r="AB615" s="5"/>
      <c r="AC615" s="5"/>
      <c r="AD615" s="5"/>
      <c r="AE615" s="5"/>
      <c r="AF615" s="5"/>
      <c r="AG615" s="5"/>
      <c r="AH615" s="5"/>
      <c r="AI615" s="5"/>
      <c r="AJ615" s="5"/>
    </row>
    <row r="616">
      <c r="A616" s="5"/>
      <c r="B616" s="5"/>
      <c r="C616" s="5"/>
      <c r="D616" s="5"/>
      <c r="E616" s="11"/>
      <c r="F616" s="12"/>
      <c r="G616" s="5"/>
      <c r="H616" s="12"/>
      <c r="I616" s="12"/>
      <c r="J616" s="12"/>
      <c r="K616" s="12"/>
      <c r="L616" s="12"/>
      <c r="M616" s="12"/>
      <c r="N616" s="5"/>
      <c r="O616" s="5"/>
      <c r="P616" s="5"/>
      <c r="Q616" s="5"/>
      <c r="R616" s="5"/>
      <c r="S616" s="5"/>
      <c r="T616" s="5"/>
      <c r="U616" s="12"/>
      <c r="V616" s="5"/>
      <c r="W616" s="11"/>
      <c r="X616" s="11"/>
      <c r="Y616" s="13"/>
      <c r="Z616" s="5"/>
      <c r="AA616" s="14"/>
      <c r="AB616" s="5"/>
      <c r="AC616" s="5"/>
      <c r="AD616" s="5"/>
      <c r="AE616" s="5"/>
      <c r="AF616" s="5"/>
      <c r="AG616" s="5"/>
      <c r="AH616" s="5"/>
      <c r="AI616" s="5"/>
      <c r="AJ616" s="5"/>
    </row>
    <row r="617">
      <c r="A617" s="5"/>
      <c r="B617" s="5"/>
      <c r="C617" s="5"/>
      <c r="D617" s="5"/>
      <c r="E617" s="11"/>
      <c r="F617" s="12"/>
      <c r="G617" s="5"/>
      <c r="H617" s="12"/>
      <c r="I617" s="12"/>
      <c r="J617" s="12"/>
      <c r="K617" s="12"/>
      <c r="L617" s="12"/>
      <c r="M617" s="12"/>
      <c r="N617" s="5"/>
      <c r="O617" s="5"/>
      <c r="P617" s="5"/>
      <c r="Q617" s="5"/>
      <c r="R617" s="5"/>
      <c r="S617" s="5"/>
      <c r="T617" s="5"/>
      <c r="U617" s="12"/>
      <c r="V617" s="5"/>
      <c r="W617" s="11"/>
      <c r="X617" s="11"/>
      <c r="Y617" s="13"/>
      <c r="Z617" s="5"/>
      <c r="AA617" s="14"/>
      <c r="AB617" s="5"/>
      <c r="AC617" s="5"/>
      <c r="AD617" s="5"/>
      <c r="AE617" s="5"/>
      <c r="AF617" s="5"/>
      <c r="AG617" s="5"/>
      <c r="AH617" s="5"/>
      <c r="AI617" s="5"/>
      <c r="AJ617" s="5"/>
    </row>
    <row r="618">
      <c r="A618" s="5"/>
      <c r="B618" s="5"/>
      <c r="C618" s="5"/>
      <c r="D618" s="5"/>
      <c r="E618" s="11"/>
      <c r="F618" s="12"/>
      <c r="G618" s="5"/>
      <c r="H618" s="12"/>
      <c r="I618" s="12"/>
      <c r="J618" s="12"/>
      <c r="K618" s="12"/>
      <c r="L618" s="12"/>
      <c r="M618" s="12"/>
      <c r="N618" s="5"/>
      <c r="O618" s="5"/>
      <c r="P618" s="5"/>
      <c r="Q618" s="5"/>
      <c r="R618" s="5"/>
      <c r="S618" s="5"/>
      <c r="T618" s="5"/>
      <c r="U618" s="12"/>
      <c r="V618" s="5"/>
      <c r="W618" s="11"/>
      <c r="X618" s="11"/>
      <c r="Y618" s="13"/>
      <c r="Z618" s="5"/>
      <c r="AA618" s="14"/>
      <c r="AB618" s="5"/>
      <c r="AC618" s="5"/>
      <c r="AD618" s="5"/>
      <c r="AE618" s="5"/>
      <c r="AF618" s="5"/>
      <c r="AG618" s="5"/>
      <c r="AH618" s="5"/>
      <c r="AI618" s="5"/>
      <c r="AJ618" s="5"/>
    </row>
    <row r="619">
      <c r="A619" s="5"/>
      <c r="B619" s="5"/>
      <c r="C619" s="5"/>
      <c r="D619" s="5"/>
      <c r="E619" s="11"/>
      <c r="F619" s="12"/>
      <c r="G619" s="5"/>
      <c r="H619" s="12"/>
      <c r="I619" s="12"/>
      <c r="J619" s="12"/>
      <c r="K619" s="12"/>
      <c r="L619" s="12"/>
      <c r="M619" s="12"/>
      <c r="N619" s="5"/>
      <c r="O619" s="5"/>
      <c r="P619" s="5"/>
      <c r="Q619" s="5"/>
      <c r="R619" s="5"/>
      <c r="S619" s="5"/>
      <c r="T619" s="5"/>
      <c r="U619" s="12"/>
      <c r="V619" s="5"/>
      <c r="W619" s="11"/>
      <c r="X619" s="11"/>
      <c r="Y619" s="13"/>
      <c r="Z619" s="5"/>
      <c r="AA619" s="14"/>
      <c r="AB619" s="5"/>
      <c r="AC619" s="5"/>
      <c r="AD619" s="5"/>
      <c r="AE619" s="5"/>
      <c r="AF619" s="5"/>
      <c r="AG619" s="5"/>
      <c r="AH619" s="5"/>
      <c r="AI619" s="5"/>
      <c r="AJ619" s="5"/>
    </row>
    <row r="620">
      <c r="A620" s="5"/>
      <c r="B620" s="5"/>
      <c r="C620" s="5"/>
      <c r="D620" s="5"/>
      <c r="E620" s="11"/>
      <c r="F620" s="12"/>
      <c r="G620" s="5"/>
      <c r="H620" s="12"/>
      <c r="I620" s="12"/>
      <c r="J620" s="12"/>
      <c r="K620" s="12"/>
      <c r="L620" s="12"/>
      <c r="M620" s="12"/>
      <c r="N620" s="5"/>
      <c r="O620" s="5"/>
      <c r="P620" s="5"/>
      <c r="Q620" s="5"/>
      <c r="R620" s="5"/>
      <c r="S620" s="5"/>
      <c r="T620" s="5"/>
      <c r="U620" s="12"/>
      <c r="V620" s="5"/>
      <c r="W620" s="11"/>
      <c r="X620" s="11"/>
      <c r="Y620" s="13"/>
      <c r="Z620" s="5"/>
      <c r="AA620" s="14"/>
      <c r="AB620" s="5"/>
      <c r="AC620" s="5"/>
      <c r="AD620" s="5"/>
      <c r="AE620" s="5"/>
      <c r="AF620" s="5"/>
      <c r="AG620" s="5"/>
      <c r="AH620" s="5"/>
      <c r="AI620" s="5"/>
      <c r="AJ620" s="5"/>
    </row>
    <row r="621">
      <c r="A621" s="5"/>
      <c r="B621" s="5"/>
      <c r="C621" s="5"/>
      <c r="D621" s="5"/>
      <c r="E621" s="11"/>
      <c r="F621" s="12"/>
      <c r="G621" s="5"/>
      <c r="H621" s="12"/>
      <c r="I621" s="12"/>
      <c r="J621" s="12"/>
      <c r="K621" s="12"/>
      <c r="L621" s="12"/>
      <c r="M621" s="12"/>
      <c r="N621" s="5"/>
      <c r="O621" s="5"/>
      <c r="P621" s="5"/>
      <c r="Q621" s="5"/>
      <c r="R621" s="5"/>
      <c r="S621" s="5"/>
      <c r="T621" s="5"/>
      <c r="U621" s="12"/>
      <c r="V621" s="5"/>
      <c r="W621" s="11"/>
      <c r="X621" s="11"/>
      <c r="Y621" s="13"/>
      <c r="Z621" s="5"/>
      <c r="AA621" s="14"/>
      <c r="AB621" s="5"/>
      <c r="AC621" s="5"/>
      <c r="AD621" s="5"/>
      <c r="AE621" s="5"/>
      <c r="AF621" s="5"/>
      <c r="AG621" s="5"/>
      <c r="AH621" s="5"/>
      <c r="AI621" s="5"/>
      <c r="AJ621" s="5"/>
    </row>
    <row r="622">
      <c r="A622" s="5"/>
      <c r="B622" s="5"/>
      <c r="C622" s="5"/>
      <c r="D622" s="5"/>
      <c r="E622" s="11"/>
      <c r="F622" s="12"/>
      <c r="G622" s="5"/>
      <c r="H622" s="12"/>
      <c r="I622" s="12"/>
      <c r="J622" s="12"/>
      <c r="K622" s="12"/>
      <c r="L622" s="12"/>
      <c r="M622" s="12"/>
      <c r="N622" s="5"/>
      <c r="O622" s="5"/>
      <c r="P622" s="5"/>
      <c r="Q622" s="5"/>
      <c r="R622" s="5"/>
      <c r="S622" s="5"/>
      <c r="T622" s="5"/>
      <c r="U622" s="12"/>
      <c r="V622" s="5"/>
      <c r="W622" s="11"/>
      <c r="X622" s="11"/>
      <c r="Y622" s="13"/>
      <c r="Z622" s="5"/>
      <c r="AA622" s="14"/>
      <c r="AB622" s="5"/>
      <c r="AC622" s="5"/>
      <c r="AD622" s="5"/>
      <c r="AE622" s="5"/>
      <c r="AF622" s="5"/>
      <c r="AG622" s="5"/>
      <c r="AH622" s="5"/>
      <c r="AI622" s="5"/>
      <c r="AJ622" s="5"/>
    </row>
    <row r="623">
      <c r="A623" s="5"/>
      <c r="B623" s="5"/>
      <c r="C623" s="5"/>
      <c r="D623" s="5"/>
      <c r="E623" s="11"/>
      <c r="F623" s="12"/>
      <c r="G623" s="5"/>
      <c r="H623" s="12"/>
      <c r="I623" s="12"/>
      <c r="J623" s="12"/>
      <c r="K623" s="12"/>
      <c r="L623" s="12"/>
      <c r="M623" s="12"/>
      <c r="N623" s="5"/>
      <c r="O623" s="5"/>
      <c r="P623" s="5"/>
      <c r="Q623" s="5"/>
      <c r="R623" s="5"/>
      <c r="S623" s="5"/>
      <c r="T623" s="5"/>
      <c r="U623" s="12"/>
      <c r="V623" s="5"/>
      <c r="W623" s="11"/>
      <c r="X623" s="11"/>
      <c r="Y623" s="13"/>
      <c r="Z623" s="5"/>
      <c r="AA623" s="14"/>
      <c r="AB623" s="5"/>
      <c r="AC623" s="5"/>
      <c r="AD623" s="5"/>
      <c r="AE623" s="5"/>
      <c r="AF623" s="5"/>
      <c r="AG623" s="5"/>
      <c r="AH623" s="5"/>
      <c r="AI623" s="5"/>
      <c r="AJ623" s="5"/>
    </row>
    <row r="624">
      <c r="A624" s="5"/>
      <c r="B624" s="5"/>
      <c r="C624" s="5"/>
      <c r="D624" s="5"/>
      <c r="E624" s="11"/>
      <c r="F624" s="12"/>
      <c r="G624" s="5"/>
      <c r="H624" s="12"/>
      <c r="I624" s="12"/>
      <c r="J624" s="12"/>
      <c r="K624" s="12"/>
      <c r="L624" s="12"/>
      <c r="M624" s="12"/>
      <c r="N624" s="5"/>
      <c r="O624" s="5"/>
      <c r="P624" s="5"/>
      <c r="Q624" s="5"/>
      <c r="R624" s="5"/>
      <c r="S624" s="5"/>
      <c r="T624" s="5"/>
      <c r="U624" s="12"/>
      <c r="V624" s="5"/>
      <c r="W624" s="11"/>
      <c r="X624" s="11"/>
      <c r="Y624" s="13"/>
      <c r="Z624" s="5"/>
      <c r="AA624" s="14"/>
      <c r="AB624" s="5"/>
      <c r="AC624" s="5"/>
      <c r="AD624" s="5"/>
      <c r="AE624" s="5"/>
      <c r="AF624" s="5"/>
      <c r="AG624" s="5"/>
      <c r="AH624" s="5"/>
      <c r="AI624" s="5"/>
      <c r="AJ624" s="5"/>
    </row>
    <row r="625">
      <c r="A625" s="5"/>
      <c r="B625" s="5"/>
      <c r="C625" s="5"/>
      <c r="D625" s="5"/>
      <c r="E625" s="11"/>
      <c r="F625" s="12"/>
      <c r="G625" s="5"/>
      <c r="H625" s="12"/>
      <c r="I625" s="12"/>
      <c r="J625" s="12"/>
      <c r="K625" s="12"/>
      <c r="L625" s="12"/>
      <c r="M625" s="12"/>
      <c r="N625" s="5"/>
      <c r="O625" s="5"/>
      <c r="P625" s="5"/>
      <c r="Q625" s="5"/>
      <c r="R625" s="5"/>
      <c r="S625" s="5"/>
      <c r="T625" s="5"/>
      <c r="U625" s="12"/>
      <c r="V625" s="5"/>
      <c r="W625" s="11"/>
      <c r="X625" s="11"/>
      <c r="Y625" s="13"/>
      <c r="Z625" s="5"/>
      <c r="AA625" s="14"/>
      <c r="AB625" s="5"/>
      <c r="AC625" s="5"/>
      <c r="AD625" s="5"/>
      <c r="AE625" s="5"/>
      <c r="AF625" s="5"/>
      <c r="AG625" s="5"/>
      <c r="AH625" s="5"/>
      <c r="AI625" s="5"/>
      <c r="AJ625" s="5"/>
    </row>
    <row r="626">
      <c r="A626" s="5"/>
      <c r="B626" s="5"/>
      <c r="C626" s="5"/>
      <c r="D626" s="5"/>
      <c r="E626" s="11"/>
      <c r="F626" s="12"/>
      <c r="G626" s="5"/>
      <c r="H626" s="12"/>
      <c r="I626" s="12"/>
      <c r="J626" s="12"/>
      <c r="K626" s="12"/>
      <c r="L626" s="12"/>
      <c r="M626" s="12"/>
      <c r="N626" s="5"/>
      <c r="O626" s="5"/>
      <c r="P626" s="5"/>
      <c r="Q626" s="5"/>
      <c r="R626" s="5"/>
      <c r="S626" s="5"/>
      <c r="T626" s="5"/>
      <c r="U626" s="12"/>
      <c r="V626" s="5"/>
      <c r="W626" s="11"/>
      <c r="X626" s="11"/>
      <c r="Y626" s="13"/>
      <c r="Z626" s="5"/>
      <c r="AA626" s="14"/>
      <c r="AB626" s="5"/>
      <c r="AC626" s="5"/>
      <c r="AD626" s="5"/>
      <c r="AE626" s="5"/>
      <c r="AF626" s="5"/>
      <c r="AG626" s="5"/>
      <c r="AH626" s="5"/>
      <c r="AI626" s="5"/>
      <c r="AJ626" s="5"/>
    </row>
    <row r="627">
      <c r="A627" s="5"/>
      <c r="B627" s="5"/>
      <c r="C627" s="5"/>
      <c r="D627" s="5"/>
      <c r="E627" s="11"/>
      <c r="F627" s="12"/>
      <c r="G627" s="5"/>
      <c r="H627" s="12"/>
      <c r="I627" s="12"/>
      <c r="J627" s="12"/>
      <c r="K627" s="12"/>
      <c r="L627" s="12"/>
      <c r="M627" s="12"/>
      <c r="N627" s="5"/>
      <c r="O627" s="5"/>
      <c r="P627" s="5"/>
      <c r="Q627" s="5"/>
      <c r="R627" s="5"/>
      <c r="S627" s="5"/>
      <c r="T627" s="5"/>
      <c r="U627" s="12"/>
      <c r="V627" s="5"/>
      <c r="W627" s="11"/>
      <c r="X627" s="11"/>
      <c r="Y627" s="13"/>
      <c r="Z627" s="5"/>
      <c r="AA627" s="14"/>
      <c r="AB627" s="5"/>
      <c r="AC627" s="5"/>
      <c r="AD627" s="5"/>
      <c r="AE627" s="5"/>
      <c r="AF627" s="5"/>
      <c r="AG627" s="5"/>
      <c r="AH627" s="5"/>
      <c r="AI627" s="5"/>
      <c r="AJ627" s="5"/>
    </row>
    <row r="628">
      <c r="A628" s="5"/>
      <c r="B628" s="5"/>
      <c r="C628" s="5"/>
      <c r="D628" s="5"/>
      <c r="E628" s="11"/>
      <c r="F628" s="12"/>
      <c r="G628" s="5"/>
      <c r="H628" s="12"/>
      <c r="I628" s="12"/>
      <c r="J628" s="12"/>
      <c r="K628" s="12"/>
      <c r="L628" s="12"/>
      <c r="M628" s="12"/>
      <c r="N628" s="5"/>
      <c r="O628" s="5"/>
      <c r="P628" s="5"/>
      <c r="Q628" s="5"/>
      <c r="R628" s="5"/>
      <c r="S628" s="5"/>
      <c r="T628" s="5"/>
      <c r="U628" s="12"/>
      <c r="V628" s="5"/>
      <c r="W628" s="11"/>
      <c r="X628" s="11"/>
      <c r="Y628" s="13"/>
      <c r="Z628" s="5"/>
      <c r="AA628" s="14"/>
      <c r="AB628" s="5"/>
      <c r="AC628" s="5"/>
      <c r="AD628" s="5"/>
      <c r="AE628" s="5"/>
      <c r="AF628" s="5"/>
      <c r="AG628" s="5"/>
      <c r="AH628" s="5"/>
      <c r="AI628" s="5"/>
      <c r="AJ628" s="5"/>
    </row>
    <row r="629">
      <c r="A629" s="5"/>
      <c r="B629" s="5"/>
      <c r="C629" s="5"/>
      <c r="D629" s="5"/>
      <c r="E629" s="11"/>
      <c r="F629" s="12"/>
      <c r="G629" s="5"/>
      <c r="H629" s="12"/>
      <c r="I629" s="12"/>
      <c r="J629" s="12"/>
      <c r="K629" s="12"/>
      <c r="L629" s="12"/>
      <c r="M629" s="12"/>
      <c r="N629" s="5"/>
      <c r="O629" s="5"/>
      <c r="P629" s="5"/>
      <c r="Q629" s="5"/>
      <c r="R629" s="5"/>
      <c r="S629" s="5"/>
      <c r="T629" s="5"/>
      <c r="U629" s="12"/>
      <c r="V629" s="5"/>
      <c r="W629" s="11"/>
      <c r="X629" s="11"/>
      <c r="Y629" s="13"/>
      <c r="Z629" s="5"/>
      <c r="AA629" s="14"/>
      <c r="AB629" s="5"/>
      <c r="AC629" s="5"/>
      <c r="AD629" s="5"/>
      <c r="AE629" s="5"/>
      <c r="AF629" s="5"/>
      <c r="AG629" s="5"/>
      <c r="AH629" s="5"/>
      <c r="AI629" s="5"/>
      <c r="AJ629" s="5"/>
    </row>
    <row r="630">
      <c r="A630" s="5"/>
      <c r="B630" s="5"/>
      <c r="C630" s="5"/>
      <c r="D630" s="5"/>
      <c r="E630" s="11"/>
      <c r="F630" s="12"/>
      <c r="G630" s="5"/>
      <c r="H630" s="12"/>
      <c r="I630" s="12"/>
      <c r="J630" s="12"/>
      <c r="K630" s="12"/>
      <c r="L630" s="12"/>
      <c r="M630" s="12"/>
      <c r="N630" s="5"/>
      <c r="O630" s="5"/>
      <c r="P630" s="5"/>
      <c r="Q630" s="5"/>
      <c r="R630" s="5"/>
      <c r="S630" s="5"/>
      <c r="T630" s="5"/>
      <c r="U630" s="12"/>
      <c r="V630" s="5"/>
      <c r="W630" s="11"/>
      <c r="X630" s="11"/>
      <c r="Y630" s="13"/>
      <c r="Z630" s="5"/>
      <c r="AA630" s="14"/>
      <c r="AB630" s="5"/>
      <c r="AC630" s="5"/>
      <c r="AD630" s="5"/>
      <c r="AE630" s="5"/>
      <c r="AF630" s="5"/>
      <c r="AG630" s="5"/>
      <c r="AH630" s="5"/>
      <c r="AI630" s="5"/>
      <c r="AJ630" s="5"/>
    </row>
    <row r="631">
      <c r="A631" s="5"/>
      <c r="B631" s="5"/>
      <c r="C631" s="5"/>
      <c r="D631" s="5"/>
      <c r="E631" s="11"/>
      <c r="F631" s="12"/>
      <c r="G631" s="5"/>
      <c r="H631" s="12"/>
      <c r="I631" s="12"/>
      <c r="J631" s="12"/>
      <c r="K631" s="12"/>
      <c r="L631" s="12"/>
      <c r="M631" s="12"/>
      <c r="N631" s="5"/>
      <c r="O631" s="5"/>
      <c r="P631" s="5"/>
      <c r="Q631" s="5"/>
      <c r="R631" s="5"/>
      <c r="S631" s="5"/>
      <c r="T631" s="5"/>
      <c r="U631" s="12"/>
      <c r="V631" s="5"/>
      <c r="W631" s="11"/>
      <c r="X631" s="11"/>
      <c r="Y631" s="13"/>
      <c r="Z631" s="5"/>
      <c r="AA631" s="14"/>
      <c r="AB631" s="5"/>
      <c r="AC631" s="5"/>
      <c r="AD631" s="5"/>
      <c r="AE631" s="5"/>
      <c r="AF631" s="5"/>
      <c r="AG631" s="5"/>
      <c r="AH631" s="5"/>
      <c r="AI631" s="5"/>
      <c r="AJ631" s="5"/>
    </row>
    <row r="632">
      <c r="A632" s="5"/>
      <c r="B632" s="5"/>
      <c r="C632" s="5"/>
      <c r="D632" s="5"/>
      <c r="E632" s="11"/>
      <c r="F632" s="12"/>
      <c r="G632" s="5"/>
      <c r="H632" s="12"/>
      <c r="I632" s="12"/>
      <c r="J632" s="12"/>
      <c r="K632" s="12"/>
      <c r="L632" s="12"/>
      <c r="M632" s="12"/>
      <c r="N632" s="5"/>
      <c r="O632" s="5"/>
      <c r="P632" s="5"/>
      <c r="Q632" s="5"/>
      <c r="R632" s="5"/>
      <c r="S632" s="5"/>
      <c r="T632" s="5"/>
      <c r="U632" s="12"/>
      <c r="V632" s="5"/>
      <c r="W632" s="11"/>
      <c r="X632" s="11"/>
      <c r="Y632" s="13"/>
      <c r="Z632" s="5"/>
      <c r="AA632" s="14"/>
      <c r="AB632" s="5"/>
      <c r="AC632" s="5"/>
      <c r="AD632" s="5"/>
      <c r="AE632" s="5"/>
      <c r="AF632" s="5"/>
      <c r="AG632" s="5"/>
      <c r="AH632" s="5"/>
      <c r="AI632" s="5"/>
      <c r="AJ632" s="5"/>
    </row>
    <row r="633">
      <c r="A633" s="5"/>
      <c r="B633" s="5"/>
      <c r="C633" s="5"/>
      <c r="D633" s="5"/>
      <c r="E633" s="11"/>
      <c r="F633" s="12"/>
      <c r="G633" s="5"/>
      <c r="H633" s="12"/>
      <c r="I633" s="12"/>
      <c r="J633" s="12"/>
      <c r="K633" s="12"/>
      <c r="L633" s="12"/>
      <c r="M633" s="12"/>
      <c r="N633" s="5"/>
      <c r="O633" s="5"/>
      <c r="P633" s="5"/>
      <c r="Q633" s="5"/>
      <c r="R633" s="5"/>
      <c r="S633" s="5"/>
      <c r="T633" s="5"/>
      <c r="U633" s="12"/>
      <c r="V633" s="5"/>
      <c r="W633" s="11"/>
      <c r="X633" s="11"/>
      <c r="Y633" s="13"/>
      <c r="Z633" s="5"/>
      <c r="AA633" s="14"/>
      <c r="AB633" s="5"/>
      <c r="AC633" s="5"/>
      <c r="AD633" s="5"/>
      <c r="AE633" s="5"/>
      <c r="AF633" s="5"/>
      <c r="AG633" s="5"/>
      <c r="AH633" s="5"/>
      <c r="AI633" s="5"/>
      <c r="AJ633" s="5"/>
    </row>
    <row r="634">
      <c r="A634" s="5"/>
      <c r="B634" s="5"/>
      <c r="C634" s="5"/>
      <c r="D634" s="5"/>
      <c r="E634" s="11"/>
      <c r="F634" s="12"/>
      <c r="G634" s="5"/>
      <c r="H634" s="12"/>
      <c r="I634" s="12"/>
      <c r="J634" s="12"/>
      <c r="K634" s="12"/>
      <c r="L634" s="12"/>
      <c r="M634" s="12"/>
      <c r="N634" s="5"/>
      <c r="O634" s="5"/>
      <c r="P634" s="5"/>
      <c r="Q634" s="5"/>
      <c r="R634" s="5"/>
      <c r="S634" s="5"/>
      <c r="T634" s="5"/>
      <c r="U634" s="12"/>
      <c r="V634" s="5"/>
      <c r="W634" s="11"/>
      <c r="X634" s="11"/>
      <c r="Y634" s="13"/>
      <c r="Z634" s="5"/>
      <c r="AA634" s="14"/>
      <c r="AB634" s="5"/>
      <c r="AC634" s="5"/>
      <c r="AD634" s="5"/>
      <c r="AE634" s="5"/>
      <c r="AF634" s="5"/>
      <c r="AG634" s="5"/>
      <c r="AH634" s="5"/>
      <c r="AI634" s="5"/>
      <c r="AJ634" s="5"/>
    </row>
    <row r="635">
      <c r="A635" s="5"/>
      <c r="B635" s="5"/>
      <c r="C635" s="5"/>
      <c r="D635" s="5"/>
      <c r="E635" s="11"/>
      <c r="F635" s="12"/>
      <c r="G635" s="5"/>
      <c r="H635" s="12"/>
      <c r="I635" s="12"/>
      <c r="J635" s="12"/>
      <c r="K635" s="12"/>
      <c r="L635" s="12"/>
      <c r="M635" s="12"/>
      <c r="N635" s="5"/>
      <c r="O635" s="5"/>
      <c r="P635" s="5"/>
      <c r="Q635" s="5"/>
      <c r="R635" s="5"/>
      <c r="S635" s="5"/>
      <c r="T635" s="5"/>
      <c r="U635" s="12"/>
      <c r="V635" s="5"/>
      <c r="W635" s="11"/>
      <c r="X635" s="11"/>
      <c r="Y635" s="13"/>
      <c r="Z635" s="5"/>
      <c r="AA635" s="14"/>
      <c r="AB635" s="5"/>
      <c r="AC635" s="5"/>
      <c r="AD635" s="5"/>
      <c r="AE635" s="5"/>
      <c r="AF635" s="5"/>
      <c r="AG635" s="5"/>
      <c r="AH635" s="5"/>
      <c r="AI635" s="5"/>
      <c r="AJ635" s="5"/>
    </row>
    <row r="636">
      <c r="A636" s="5"/>
      <c r="B636" s="5"/>
      <c r="C636" s="5"/>
      <c r="D636" s="5"/>
      <c r="E636" s="11"/>
      <c r="F636" s="12"/>
      <c r="G636" s="5"/>
      <c r="H636" s="12"/>
      <c r="I636" s="12"/>
      <c r="J636" s="12"/>
      <c r="K636" s="12"/>
      <c r="L636" s="12"/>
      <c r="M636" s="12"/>
      <c r="N636" s="5"/>
      <c r="O636" s="5"/>
      <c r="P636" s="5"/>
      <c r="Q636" s="5"/>
      <c r="R636" s="5"/>
      <c r="S636" s="5"/>
      <c r="T636" s="5"/>
      <c r="U636" s="12"/>
      <c r="V636" s="5"/>
      <c r="W636" s="11"/>
      <c r="X636" s="11"/>
      <c r="Y636" s="13"/>
      <c r="Z636" s="5"/>
      <c r="AA636" s="14"/>
      <c r="AB636" s="5"/>
      <c r="AC636" s="5"/>
      <c r="AD636" s="5"/>
      <c r="AE636" s="5"/>
      <c r="AF636" s="5"/>
      <c r="AG636" s="5"/>
      <c r="AH636" s="5"/>
      <c r="AI636" s="5"/>
      <c r="AJ636" s="5"/>
    </row>
    <row r="637">
      <c r="A637" s="5"/>
      <c r="B637" s="5"/>
      <c r="C637" s="5"/>
      <c r="D637" s="5"/>
      <c r="E637" s="11"/>
      <c r="F637" s="12"/>
      <c r="G637" s="5"/>
      <c r="H637" s="12"/>
      <c r="I637" s="12"/>
      <c r="J637" s="12"/>
      <c r="K637" s="12"/>
      <c r="L637" s="12"/>
      <c r="M637" s="12"/>
      <c r="N637" s="5"/>
      <c r="O637" s="5"/>
      <c r="P637" s="5"/>
      <c r="Q637" s="5"/>
      <c r="R637" s="5"/>
      <c r="S637" s="5"/>
      <c r="T637" s="5"/>
      <c r="U637" s="12"/>
      <c r="V637" s="5"/>
      <c r="W637" s="11"/>
      <c r="X637" s="11"/>
      <c r="Y637" s="13"/>
      <c r="Z637" s="5"/>
      <c r="AA637" s="14"/>
      <c r="AB637" s="5"/>
      <c r="AC637" s="5"/>
      <c r="AD637" s="5"/>
      <c r="AE637" s="5"/>
      <c r="AF637" s="5"/>
      <c r="AG637" s="5"/>
      <c r="AH637" s="5"/>
      <c r="AI637" s="5"/>
      <c r="AJ637" s="5"/>
    </row>
    <row r="638">
      <c r="A638" s="5"/>
      <c r="B638" s="5"/>
      <c r="C638" s="5"/>
      <c r="D638" s="5"/>
      <c r="E638" s="11"/>
      <c r="F638" s="12"/>
      <c r="G638" s="5"/>
      <c r="H638" s="12"/>
      <c r="I638" s="12"/>
      <c r="J638" s="12"/>
      <c r="K638" s="12"/>
      <c r="L638" s="12"/>
      <c r="M638" s="12"/>
      <c r="N638" s="5"/>
      <c r="O638" s="5"/>
      <c r="P638" s="5"/>
      <c r="Q638" s="5"/>
      <c r="R638" s="5"/>
      <c r="S638" s="5"/>
      <c r="T638" s="5"/>
      <c r="U638" s="12"/>
      <c r="V638" s="5"/>
      <c r="W638" s="11"/>
      <c r="X638" s="11"/>
      <c r="Y638" s="13"/>
      <c r="Z638" s="5"/>
      <c r="AA638" s="14"/>
      <c r="AB638" s="5"/>
      <c r="AC638" s="5"/>
      <c r="AD638" s="5"/>
      <c r="AE638" s="5"/>
      <c r="AF638" s="5"/>
      <c r="AG638" s="5"/>
      <c r="AH638" s="5"/>
      <c r="AI638" s="5"/>
      <c r="AJ638" s="5"/>
    </row>
    <row r="639">
      <c r="A639" s="5"/>
      <c r="B639" s="5"/>
      <c r="C639" s="5"/>
      <c r="D639" s="5"/>
      <c r="E639" s="11"/>
      <c r="F639" s="12"/>
      <c r="G639" s="5"/>
      <c r="H639" s="12"/>
      <c r="I639" s="12"/>
      <c r="J639" s="12"/>
      <c r="K639" s="12"/>
      <c r="L639" s="12"/>
      <c r="M639" s="12"/>
      <c r="N639" s="5"/>
      <c r="O639" s="5"/>
      <c r="P639" s="5"/>
      <c r="Q639" s="5"/>
      <c r="R639" s="5"/>
      <c r="S639" s="5"/>
      <c r="T639" s="5"/>
      <c r="U639" s="12"/>
      <c r="V639" s="5"/>
      <c r="W639" s="11"/>
      <c r="X639" s="11"/>
      <c r="Y639" s="13"/>
      <c r="Z639" s="5"/>
      <c r="AA639" s="14"/>
      <c r="AB639" s="5"/>
      <c r="AC639" s="5"/>
      <c r="AD639" s="5"/>
      <c r="AE639" s="5"/>
      <c r="AF639" s="5"/>
      <c r="AG639" s="5"/>
      <c r="AH639" s="5"/>
      <c r="AI639" s="5"/>
      <c r="AJ639" s="5"/>
    </row>
    <row r="640">
      <c r="A640" s="5"/>
      <c r="B640" s="5"/>
      <c r="C640" s="5"/>
      <c r="D640" s="5"/>
      <c r="E640" s="11"/>
      <c r="F640" s="12"/>
      <c r="G640" s="5"/>
      <c r="H640" s="12"/>
      <c r="I640" s="12"/>
      <c r="J640" s="12"/>
      <c r="K640" s="12"/>
      <c r="L640" s="12"/>
      <c r="M640" s="12"/>
      <c r="N640" s="5"/>
      <c r="O640" s="5"/>
      <c r="P640" s="5"/>
      <c r="Q640" s="5"/>
      <c r="R640" s="5"/>
      <c r="S640" s="5"/>
      <c r="T640" s="5"/>
      <c r="U640" s="12"/>
      <c r="V640" s="5"/>
      <c r="W640" s="11"/>
      <c r="X640" s="11"/>
      <c r="Y640" s="13"/>
      <c r="Z640" s="5"/>
      <c r="AA640" s="14"/>
      <c r="AB640" s="5"/>
      <c r="AC640" s="5"/>
      <c r="AD640" s="5"/>
      <c r="AE640" s="5"/>
      <c r="AF640" s="5"/>
      <c r="AG640" s="5"/>
      <c r="AH640" s="5"/>
      <c r="AI640" s="5"/>
      <c r="AJ640" s="5"/>
    </row>
    <row r="641">
      <c r="A641" s="5"/>
      <c r="B641" s="5"/>
      <c r="C641" s="5"/>
      <c r="D641" s="5"/>
      <c r="E641" s="11"/>
      <c r="F641" s="12"/>
      <c r="G641" s="5"/>
      <c r="H641" s="12"/>
      <c r="I641" s="12"/>
      <c r="J641" s="12"/>
      <c r="K641" s="12"/>
      <c r="L641" s="12"/>
      <c r="M641" s="12"/>
      <c r="N641" s="5"/>
      <c r="O641" s="5"/>
      <c r="P641" s="5"/>
      <c r="Q641" s="5"/>
      <c r="R641" s="5"/>
      <c r="S641" s="5"/>
      <c r="T641" s="5"/>
      <c r="U641" s="12"/>
      <c r="V641" s="5"/>
      <c r="W641" s="11"/>
      <c r="X641" s="11"/>
      <c r="Y641" s="13"/>
      <c r="Z641" s="5"/>
      <c r="AA641" s="14"/>
      <c r="AB641" s="5"/>
      <c r="AC641" s="5"/>
      <c r="AD641" s="5"/>
      <c r="AE641" s="5"/>
      <c r="AF641" s="5"/>
      <c r="AG641" s="5"/>
      <c r="AH641" s="5"/>
      <c r="AI641" s="5"/>
      <c r="AJ641" s="5"/>
    </row>
    <row r="642">
      <c r="A642" s="5"/>
      <c r="B642" s="5"/>
      <c r="C642" s="5"/>
      <c r="D642" s="5"/>
      <c r="E642" s="11"/>
      <c r="F642" s="12"/>
      <c r="G642" s="5"/>
      <c r="H642" s="12"/>
      <c r="I642" s="12"/>
      <c r="J642" s="12"/>
      <c r="K642" s="12"/>
      <c r="L642" s="12"/>
      <c r="M642" s="12"/>
      <c r="N642" s="5"/>
      <c r="O642" s="5"/>
      <c r="P642" s="5"/>
      <c r="Q642" s="5"/>
      <c r="R642" s="5"/>
      <c r="S642" s="5"/>
      <c r="T642" s="5"/>
      <c r="U642" s="12"/>
      <c r="V642" s="5"/>
      <c r="W642" s="11"/>
      <c r="X642" s="11"/>
      <c r="Y642" s="13"/>
      <c r="Z642" s="5"/>
      <c r="AA642" s="14"/>
      <c r="AB642" s="5"/>
      <c r="AC642" s="5"/>
      <c r="AD642" s="5"/>
      <c r="AE642" s="5"/>
      <c r="AF642" s="5"/>
      <c r="AG642" s="5"/>
      <c r="AH642" s="5"/>
      <c r="AI642" s="5"/>
      <c r="AJ642" s="5"/>
    </row>
    <row r="643">
      <c r="A643" s="5"/>
      <c r="B643" s="5"/>
      <c r="C643" s="5"/>
      <c r="D643" s="5"/>
      <c r="E643" s="11"/>
      <c r="F643" s="12"/>
      <c r="G643" s="5"/>
      <c r="H643" s="12"/>
      <c r="I643" s="12"/>
      <c r="J643" s="12"/>
      <c r="K643" s="12"/>
      <c r="L643" s="12"/>
      <c r="M643" s="12"/>
      <c r="N643" s="5"/>
      <c r="O643" s="5"/>
      <c r="P643" s="5"/>
      <c r="Q643" s="5"/>
      <c r="R643" s="5"/>
      <c r="S643" s="5"/>
      <c r="T643" s="5"/>
      <c r="U643" s="12"/>
      <c r="V643" s="5"/>
      <c r="W643" s="11"/>
      <c r="X643" s="11"/>
      <c r="Y643" s="13"/>
      <c r="Z643" s="5"/>
      <c r="AA643" s="14"/>
      <c r="AB643" s="5"/>
      <c r="AC643" s="5"/>
      <c r="AD643" s="5"/>
      <c r="AE643" s="5"/>
      <c r="AF643" s="5"/>
      <c r="AG643" s="5"/>
      <c r="AH643" s="5"/>
      <c r="AI643" s="5"/>
      <c r="AJ643" s="5"/>
    </row>
    <row r="644">
      <c r="A644" s="5"/>
      <c r="B644" s="5"/>
      <c r="C644" s="5"/>
      <c r="D644" s="5"/>
      <c r="E644" s="11"/>
      <c r="F644" s="12"/>
      <c r="G644" s="5"/>
      <c r="H644" s="12"/>
      <c r="I644" s="12"/>
      <c r="J644" s="12"/>
      <c r="K644" s="12"/>
      <c r="L644" s="12"/>
      <c r="M644" s="12"/>
      <c r="N644" s="5"/>
      <c r="O644" s="5"/>
      <c r="P644" s="5"/>
      <c r="Q644" s="5"/>
      <c r="R644" s="5"/>
      <c r="S644" s="5"/>
      <c r="T644" s="5"/>
      <c r="U644" s="12"/>
      <c r="V644" s="5"/>
      <c r="W644" s="11"/>
      <c r="X644" s="11"/>
      <c r="Y644" s="13"/>
      <c r="Z644" s="5"/>
      <c r="AA644" s="14"/>
      <c r="AB644" s="5"/>
      <c r="AC644" s="5"/>
      <c r="AD644" s="5"/>
      <c r="AE644" s="5"/>
      <c r="AF644" s="5"/>
      <c r="AG644" s="5"/>
      <c r="AH644" s="5"/>
      <c r="AI644" s="5"/>
      <c r="AJ644" s="5"/>
    </row>
    <row r="645">
      <c r="A645" s="5"/>
      <c r="B645" s="5"/>
      <c r="C645" s="5"/>
      <c r="D645" s="5"/>
      <c r="E645" s="11"/>
      <c r="F645" s="12"/>
      <c r="G645" s="5"/>
      <c r="H645" s="12"/>
      <c r="I645" s="12"/>
      <c r="J645" s="12"/>
      <c r="K645" s="12"/>
      <c r="L645" s="12"/>
      <c r="M645" s="12"/>
      <c r="N645" s="5"/>
      <c r="O645" s="5"/>
      <c r="P645" s="5"/>
      <c r="Q645" s="5"/>
      <c r="R645" s="5"/>
      <c r="S645" s="5"/>
      <c r="T645" s="5"/>
      <c r="U645" s="12"/>
      <c r="V645" s="5"/>
      <c r="W645" s="11"/>
      <c r="X645" s="11"/>
      <c r="Y645" s="13"/>
      <c r="Z645" s="5"/>
      <c r="AA645" s="14"/>
      <c r="AB645" s="5"/>
      <c r="AC645" s="5"/>
      <c r="AD645" s="5"/>
      <c r="AE645" s="5"/>
      <c r="AF645" s="5"/>
      <c r="AG645" s="5"/>
      <c r="AH645" s="5"/>
      <c r="AI645" s="5"/>
      <c r="AJ645" s="5"/>
    </row>
    <row r="646">
      <c r="A646" s="5"/>
      <c r="B646" s="5"/>
      <c r="C646" s="5"/>
      <c r="D646" s="5"/>
      <c r="E646" s="11"/>
      <c r="F646" s="12"/>
      <c r="G646" s="5"/>
      <c r="H646" s="12"/>
      <c r="I646" s="12"/>
      <c r="J646" s="12"/>
      <c r="K646" s="12"/>
      <c r="L646" s="12"/>
      <c r="M646" s="12"/>
      <c r="N646" s="5"/>
      <c r="O646" s="5"/>
      <c r="P646" s="5"/>
      <c r="Q646" s="5"/>
      <c r="R646" s="5"/>
      <c r="S646" s="5"/>
      <c r="T646" s="5"/>
      <c r="U646" s="12"/>
      <c r="V646" s="5"/>
      <c r="W646" s="11"/>
      <c r="X646" s="11"/>
      <c r="Y646" s="13"/>
      <c r="Z646" s="5"/>
      <c r="AA646" s="14"/>
      <c r="AB646" s="5"/>
      <c r="AC646" s="5"/>
      <c r="AD646" s="5"/>
      <c r="AE646" s="5"/>
      <c r="AF646" s="5"/>
      <c r="AG646" s="5"/>
      <c r="AH646" s="5"/>
      <c r="AI646" s="5"/>
      <c r="AJ646" s="5"/>
    </row>
    <row r="647">
      <c r="A647" s="5"/>
      <c r="B647" s="5"/>
      <c r="C647" s="5"/>
      <c r="D647" s="5"/>
      <c r="E647" s="11"/>
      <c r="F647" s="12"/>
      <c r="G647" s="5"/>
      <c r="H647" s="12"/>
      <c r="I647" s="12"/>
      <c r="J647" s="12"/>
      <c r="K647" s="12"/>
      <c r="L647" s="12"/>
      <c r="M647" s="12"/>
      <c r="N647" s="5"/>
      <c r="O647" s="5"/>
      <c r="P647" s="5"/>
      <c r="Q647" s="5"/>
      <c r="R647" s="5"/>
      <c r="S647" s="5"/>
      <c r="T647" s="5"/>
      <c r="U647" s="12"/>
      <c r="V647" s="5"/>
      <c r="W647" s="11"/>
      <c r="X647" s="11"/>
      <c r="Y647" s="13"/>
      <c r="Z647" s="5"/>
      <c r="AA647" s="14"/>
      <c r="AB647" s="5"/>
      <c r="AC647" s="5"/>
      <c r="AD647" s="5"/>
      <c r="AE647" s="5"/>
      <c r="AF647" s="5"/>
      <c r="AG647" s="5"/>
      <c r="AH647" s="5"/>
      <c r="AI647" s="5"/>
      <c r="AJ647" s="5"/>
    </row>
    <row r="648">
      <c r="A648" s="5"/>
      <c r="B648" s="5"/>
      <c r="C648" s="5"/>
      <c r="D648" s="5"/>
      <c r="E648" s="11"/>
      <c r="F648" s="12"/>
      <c r="G648" s="5"/>
      <c r="H648" s="12"/>
      <c r="I648" s="12"/>
      <c r="J648" s="12"/>
      <c r="K648" s="12"/>
      <c r="L648" s="12"/>
      <c r="M648" s="12"/>
      <c r="N648" s="5"/>
      <c r="O648" s="5"/>
      <c r="P648" s="5"/>
      <c r="Q648" s="5"/>
      <c r="R648" s="5"/>
      <c r="S648" s="5"/>
      <c r="T648" s="5"/>
      <c r="U648" s="12"/>
      <c r="V648" s="5"/>
      <c r="W648" s="11"/>
      <c r="X648" s="11"/>
      <c r="Y648" s="13"/>
      <c r="Z648" s="5"/>
      <c r="AA648" s="14"/>
      <c r="AB648" s="5"/>
      <c r="AC648" s="5"/>
      <c r="AD648" s="5"/>
      <c r="AE648" s="5"/>
      <c r="AF648" s="5"/>
      <c r="AG648" s="5"/>
      <c r="AH648" s="5"/>
      <c r="AI648" s="5"/>
      <c r="AJ648" s="5"/>
    </row>
    <row r="649">
      <c r="A649" s="5"/>
      <c r="B649" s="5"/>
      <c r="C649" s="5"/>
      <c r="D649" s="5"/>
      <c r="E649" s="11"/>
      <c r="F649" s="12"/>
      <c r="G649" s="5"/>
      <c r="H649" s="12"/>
      <c r="I649" s="12"/>
      <c r="J649" s="12"/>
      <c r="K649" s="12"/>
      <c r="L649" s="12"/>
      <c r="M649" s="12"/>
      <c r="N649" s="5"/>
      <c r="O649" s="5"/>
      <c r="P649" s="5"/>
      <c r="Q649" s="5"/>
      <c r="R649" s="5"/>
      <c r="S649" s="5"/>
      <c r="T649" s="5"/>
      <c r="U649" s="12"/>
      <c r="V649" s="5"/>
      <c r="W649" s="11"/>
      <c r="X649" s="11"/>
      <c r="Y649" s="13"/>
      <c r="Z649" s="5"/>
      <c r="AA649" s="14"/>
      <c r="AB649" s="5"/>
      <c r="AC649" s="5"/>
      <c r="AD649" s="5"/>
      <c r="AE649" s="5"/>
      <c r="AF649" s="5"/>
      <c r="AG649" s="5"/>
      <c r="AH649" s="5"/>
      <c r="AI649" s="5"/>
      <c r="AJ649" s="5"/>
    </row>
    <row r="650">
      <c r="A650" s="5"/>
      <c r="B650" s="5"/>
      <c r="C650" s="5"/>
      <c r="D650" s="5"/>
      <c r="E650" s="11"/>
      <c r="F650" s="12"/>
      <c r="G650" s="5"/>
      <c r="H650" s="12"/>
      <c r="I650" s="12"/>
      <c r="J650" s="12"/>
      <c r="K650" s="12"/>
      <c r="L650" s="12"/>
      <c r="M650" s="12"/>
      <c r="N650" s="5"/>
      <c r="O650" s="5"/>
      <c r="P650" s="5"/>
      <c r="Q650" s="5"/>
      <c r="R650" s="5"/>
      <c r="S650" s="5"/>
      <c r="T650" s="5"/>
      <c r="U650" s="12"/>
      <c r="V650" s="5"/>
      <c r="W650" s="11"/>
      <c r="X650" s="11"/>
      <c r="Y650" s="13"/>
      <c r="Z650" s="5"/>
      <c r="AA650" s="14"/>
      <c r="AB650" s="5"/>
      <c r="AC650" s="5"/>
      <c r="AD650" s="5"/>
      <c r="AE650" s="5"/>
      <c r="AF650" s="5"/>
      <c r="AG650" s="5"/>
      <c r="AH650" s="5"/>
      <c r="AI650" s="5"/>
      <c r="AJ650" s="5"/>
    </row>
    <row r="651">
      <c r="A651" s="5"/>
      <c r="B651" s="5"/>
      <c r="C651" s="5"/>
      <c r="D651" s="5"/>
      <c r="E651" s="11"/>
      <c r="F651" s="12"/>
      <c r="G651" s="5"/>
      <c r="H651" s="12"/>
      <c r="I651" s="12"/>
      <c r="J651" s="12"/>
      <c r="K651" s="12"/>
      <c r="L651" s="12"/>
      <c r="M651" s="12"/>
      <c r="N651" s="5"/>
      <c r="O651" s="5"/>
      <c r="P651" s="5"/>
      <c r="Q651" s="5"/>
      <c r="R651" s="5"/>
      <c r="S651" s="5"/>
      <c r="T651" s="5"/>
      <c r="U651" s="12"/>
      <c r="V651" s="5"/>
      <c r="W651" s="11"/>
      <c r="X651" s="11"/>
      <c r="Y651" s="13"/>
      <c r="Z651" s="5"/>
      <c r="AA651" s="14"/>
      <c r="AB651" s="5"/>
      <c r="AC651" s="5"/>
      <c r="AD651" s="5"/>
      <c r="AE651" s="5"/>
      <c r="AF651" s="5"/>
      <c r="AG651" s="5"/>
      <c r="AH651" s="5"/>
      <c r="AI651" s="5"/>
      <c r="AJ651" s="5"/>
    </row>
    <row r="652">
      <c r="A652" s="5"/>
      <c r="B652" s="5"/>
      <c r="C652" s="5"/>
      <c r="D652" s="5"/>
      <c r="E652" s="11"/>
      <c r="F652" s="12"/>
      <c r="G652" s="5"/>
      <c r="H652" s="12"/>
      <c r="I652" s="12"/>
      <c r="J652" s="12"/>
      <c r="K652" s="12"/>
      <c r="L652" s="12"/>
      <c r="M652" s="12"/>
      <c r="N652" s="5"/>
      <c r="O652" s="5"/>
      <c r="P652" s="5"/>
      <c r="Q652" s="5"/>
      <c r="R652" s="5"/>
      <c r="S652" s="5"/>
      <c r="T652" s="5"/>
      <c r="U652" s="12"/>
      <c r="V652" s="5"/>
      <c r="W652" s="11"/>
      <c r="X652" s="11"/>
      <c r="Y652" s="13"/>
      <c r="Z652" s="5"/>
      <c r="AA652" s="14"/>
      <c r="AB652" s="5"/>
      <c r="AC652" s="5"/>
      <c r="AD652" s="5"/>
      <c r="AE652" s="5"/>
      <c r="AF652" s="5"/>
      <c r="AG652" s="5"/>
      <c r="AH652" s="5"/>
      <c r="AI652" s="5"/>
      <c r="AJ652" s="5"/>
    </row>
    <row r="653">
      <c r="A653" s="5"/>
      <c r="B653" s="5"/>
      <c r="C653" s="5"/>
      <c r="D653" s="5"/>
      <c r="E653" s="11"/>
      <c r="F653" s="12"/>
      <c r="G653" s="5"/>
      <c r="H653" s="12"/>
      <c r="I653" s="12"/>
      <c r="J653" s="12"/>
      <c r="K653" s="12"/>
      <c r="L653" s="12"/>
      <c r="M653" s="12"/>
      <c r="N653" s="5"/>
      <c r="O653" s="5"/>
      <c r="P653" s="5"/>
      <c r="Q653" s="5"/>
      <c r="R653" s="5"/>
      <c r="S653" s="5"/>
      <c r="T653" s="5"/>
      <c r="U653" s="12"/>
      <c r="V653" s="5"/>
      <c r="W653" s="11"/>
      <c r="X653" s="11"/>
      <c r="Y653" s="13"/>
      <c r="Z653" s="5"/>
      <c r="AA653" s="14"/>
      <c r="AB653" s="5"/>
      <c r="AC653" s="5"/>
      <c r="AD653" s="5"/>
      <c r="AE653" s="5"/>
      <c r="AF653" s="5"/>
      <c r="AG653" s="5"/>
      <c r="AH653" s="5"/>
      <c r="AI653" s="5"/>
      <c r="AJ653" s="5"/>
    </row>
    <row r="654">
      <c r="A654" s="5"/>
      <c r="B654" s="5"/>
      <c r="C654" s="5"/>
      <c r="D654" s="5"/>
      <c r="E654" s="11"/>
      <c r="F654" s="12"/>
      <c r="G654" s="5"/>
      <c r="H654" s="12"/>
      <c r="I654" s="12"/>
      <c r="J654" s="12"/>
      <c r="K654" s="12"/>
      <c r="L654" s="12"/>
      <c r="M654" s="12"/>
      <c r="N654" s="5"/>
      <c r="O654" s="5"/>
      <c r="P654" s="5"/>
      <c r="Q654" s="5"/>
      <c r="R654" s="5"/>
      <c r="S654" s="5"/>
      <c r="T654" s="5"/>
      <c r="U654" s="12"/>
      <c r="V654" s="5"/>
      <c r="W654" s="11"/>
      <c r="X654" s="11"/>
      <c r="Y654" s="13"/>
      <c r="Z654" s="5"/>
      <c r="AA654" s="14"/>
      <c r="AB654" s="5"/>
      <c r="AC654" s="5"/>
      <c r="AD654" s="5"/>
      <c r="AE654" s="5"/>
      <c r="AF654" s="5"/>
      <c r="AG654" s="5"/>
      <c r="AH654" s="5"/>
      <c r="AI654" s="5"/>
      <c r="AJ654" s="5"/>
    </row>
    <row r="655">
      <c r="A655" s="5"/>
      <c r="B655" s="5"/>
      <c r="C655" s="5"/>
      <c r="D655" s="5"/>
      <c r="E655" s="11"/>
      <c r="F655" s="12"/>
      <c r="G655" s="5"/>
      <c r="H655" s="12"/>
      <c r="I655" s="12"/>
      <c r="J655" s="12"/>
      <c r="K655" s="12"/>
      <c r="L655" s="12"/>
      <c r="M655" s="12"/>
      <c r="N655" s="5"/>
      <c r="O655" s="5"/>
      <c r="P655" s="5"/>
      <c r="Q655" s="5"/>
      <c r="R655" s="5"/>
      <c r="S655" s="5"/>
      <c r="T655" s="5"/>
      <c r="U655" s="12"/>
      <c r="V655" s="5"/>
      <c r="W655" s="11"/>
      <c r="X655" s="11"/>
      <c r="Y655" s="13"/>
      <c r="Z655" s="5"/>
      <c r="AA655" s="14"/>
      <c r="AB655" s="5"/>
      <c r="AC655" s="5"/>
      <c r="AD655" s="5"/>
      <c r="AE655" s="5"/>
      <c r="AF655" s="5"/>
      <c r="AG655" s="5"/>
      <c r="AH655" s="5"/>
      <c r="AI655" s="5"/>
      <c r="AJ655" s="5"/>
    </row>
    <row r="656">
      <c r="A656" s="5"/>
      <c r="B656" s="5"/>
      <c r="C656" s="5"/>
      <c r="D656" s="5"/>
      <c r="E656" s="11"/>
      <c r="F656" s="12"/>
      <c r="G656" s="5"/>
      <c r="H656" s="12"/>
      <c r="I656" s="12"/>
      <c r="J656" s="12"/>
      <c r="K656" s="12"/>
      <c r="L656" s="12"/>
      <c r="M656" s="12"/>
      <c r="N656" s="5"/>
      <c r="O656" s="5"/>
      <c r="P656" s="5"/>
      <c r="Q656" s="5"/>
      <c r="R656" s="5"/>
      <c r="S656" s="5"/>
      <c r="T656" s="5"/>
      <c r="U656" s="12"/>
      <c r="V656" s="5"/>
      <c r="W656" s="11"/>
      <c r="X656" s="11"/>
      <c r="Y656" s="13"/>
      <c r="Z656" s="5"/>
      <c r="AA656" s="14"/>
      <c r="AB656" s="5"/>
      <c r="AC656" s="5"/>
      <c r="AD656" s="5"/>
      <c r="AE656" s="5"/>
      <c r="AF656" s="5"/>
      <c r="AG656" s="5"/>
      <c r="AH656" s="5"/>
      <c r="AI656" s="5"/>
      <c r="AJ656" s="5"/>
    </row>
    <row r="657">
      <c r="A657" s="5"/>
      <c r="B657" s="5"/>
      <c r="C657" s="5"/>
      <c r="D657" s="5"/>
      <c r="E657" s="11"/>
      <c r="F657" s="12"/>
      <c r="G657" s="5"/>
      <c r="H657" s="12"/>
      <c r="I657" s="12"/>
      <c r="J657" s="12"/>
      <c r="K657" s="12"/>
      <c r="L657" s="12"/>
      <c r="M657" s="12"/>
      <c r="N657" s="5"/>
      <c r="O657" s="5"/>
      <c r="P657" s="5"/>
      <c r="Q657" s="5"/>
      <c r="R657" s="5"/>
      <c r="S657" s="5"/>
      <c r="T657" s="5"/>
      <c r="U657" s="12"/>
      <c r="V657" s="5"/>
      <c r="W657" s="11"/>
      <c r="X657" s="11"/>
      <c r="Y657" s="13"/>
      <c r="Z657" s="5"/>
      <c r="AA657" s="14"/>
      <c r="AB657" s="5"/>
      <c r="AC657" s="5"/>
      <c r="AD657" s="5"/>
      <c r="AE657" s="5"/>
      <c r="AF657" s="5"/>
      <c r="AG657" s="5"/>
      <c r="AH657" s="5"/>
      <c r="AI657" s="5"/>
      <c r="AJ657" s="5"/>
    </row>
    <row r="658">
      <c r="A658" s="5"/>
      <c r="B658" s="5"/>
      <c r="C658" s="5"/>
      <c r="D658" s="5"/>
      <c r="E658" s="11"/>
      <c r="F658" s="12"/>
      <c r="G658" s="5"/>
      <c r="H658" s="12"/>
      <c r="I658" s="12"/>
      <c r="J658" s="12"/>
      <c r="K658" s="12"/>
      <c r="L658" s="12"/>
      <c r="M658" s="12"/>
      <c r="N658" s="5"/>
      <c r="O658" s="5"/>
      <c r="P658" s="5"/>
      <c r="Q658" s="5"/>
      <c r="R658" s="5"/>
      <c r="S658" s="5"/>
      <c r="T658" s="5"/>
      <c r="U658" s="12"/>
      <c r="V658" s="5"/>
      <c r="W658" s="11"/>
      <c r="X658" s="11"/>
      <c r="Y658" s="13"/>
      <c r="Z658" s="5"/>
      <c r="AA658" s="14"/>
      <c r="AB658" s="5"/>
      <c r="AC658" s="5"/>
      <c r="AD658" s="5"/>
      <c r="AE658" s="5"/>
      <c r="AF658" s="5"/>
      <c r="AG658" s="5"/>
      <c r="AH658" s="5"/>
      <c r="AI658" s="5"/>
      <c r="AJ658" s="5"/>
    </row>
    <row r="659">
      <c r="A659" s="5"/>
      <c r="B659" s="5"/>
      <c r="C659" s="5"/>
      <c r="D659" s="5"/>
      <c r="E659" s="11"/>
      <c r="F659" s="12"/>
      <c r="G659" s="5"/>
      <c r="H659" s="12"/>
      <c r="I659" s="12"/>
      <c r="J659" s="12"/>
      <c r="K659" s="12"/>
      <c r="L659" s="12"/>
      <c r="M659" s="12"/>
      <c r="N659" s="5"/>
      <c r="O659" s="5"/>
      <c r="P659" s="5"/>
      <c r="Q659" s="5"/>
      <c r="R659" s="5"/>
      <c r="S659" s="5"/>
      <c r="T659" s="5"/>
      <c r="U659" s="12"/>
      <c r="V659" s="5"/>
      <c r="W659" s="11"/>
      <c r="X659" s="11"/>
      <c r="Y659" s="13"/>
      <c r="Z659" s="5"/>
      <c r="AA659" s="14"/>
      <c r="AB659" s="5"/>
      <c r="AC659" s="5"/>
      <c r="AD659" s="5"/>
      <c r="AE659" s="5"/>
      <c r="AF659" s="5"/>
      <c r="AG659" s="5"/>
      <c r="AH659" s="5"/>
      <c r="AI659" s="5"/>
      <c r="AJ659" s="5"/>
    </row>
    <row r="660">
      <c r="A660" s="5"/>
      <c r="B660" s="5"/>
      <c r="C660" s="5"/>
      <c r="D660" s="5"/>
      <c r="E660" s="11"/>
      <c r="F660" s="12"/>
      <c r="G660" s="5"/>
      <c r="H660" s="12"/>
      <c r="I660" s="12"/>
      <c r="J660" s="12"/>
      <c r="K660" s="12"/>
      <c r="L660" s="12"/>
      <c r="M660" s="12"/>
      <c r="N660" s="5"/>
      <c r="O660" s="5"/>
      <c r="P660" s="5"/>
      <c r="Q660" s="5"/>
      <c r="R660" s="5"/>
      <c r="S660" s="5"/>
      <c r="T660" s="5"/>
      <c r="U660" s="12"/>
      <c r="V660" s="5"/>
      <c r="W660" s="11"/>
      <c r="X660" s="11"/>
      <c r="Y660" s="13"/>
      <c r="Z660" s="5"/>
      <c r="AA660" s="14"/>
      <c r="AB660" s="5"/>
      <c r="AC660" s="5"/>
      <c r="AD660" s="5"/>
      <c r="AE660" s="5"/>
      <c r="AF660" s="5"/>
      <c r="AG660" s="5"/>
      <c r="AH660" s="5"/>
      <c r="AI660" s="5"/>
      <c r="AJ660" s="5"/>
    </row>
    <row r="661">
      <c r="A661" s="5"/>
      <c r="B661" s="5"/>
      <c r="C661" s="5"/>
      <c r="D661" s="5"/>
      <c r="E661" s="11"/>
      <c r="F661" s="12"/>
      <c r="G661" s="5"/>
      <c r="H661" s="12"/>
      <c r="I661" s="12"/>
      <c r="J661" s="12"/>
      <c r="K661" s="12"/>
      <c r="L661" s="12"/>
      <c r="M661" s="12"/>
      <c r="N661" s="5"/>
      <c r="O661" s="5"/>
      <c r="P661" s="5"/>
      <c r="Q661" s="5"/>
      <c r="R661" s="5"/>
      <c r="S661" s="5"/>
      <c r="T661" s="5"/>
      <c r="U661" s="12"/>
      <c r="V661" s="5"/>
      <c r="W661" s="11"/>
      <c r="X661" s="11"/>
      <c r="Y661" s="13"/>
      <c r="Z661" s="5"/>
      <c r="AA661" s="14"/>
      <c r="AB661" s="5"/>
      <c r="AC661" s="5"/>
      <c r="AD661" s="5"/>
      <c r="AE661" s="5"/>
      <c r="AF661" s="5"/>
      <c r="AG661" s="5"/>
      <c r="AH661" s="5"/>
      <c r="AI661" s="5"/>
      <c r="AJ661" s="5"/>
    </row>
    <row r="662">
      <c r="A662" s="5"/>
      <c r="B662" s="5"/>
      <c r="C662" s="5"/>
      <c r="D662" s="5"/>
      <c r="E662" s="11"/>
      <c r="F662" s="12"/>
      <c r="G662" s="5"/>
      <c r="H662" s="12"/>
      <c r="I662" s="12"/>
      <c r="J662" s="12"/>
      <c r="K662" s="12"/>
      <c r="L662" s="12"/>
      <c r="M662" s="12"/>
      <c r="N662" s="5"/>
      <c r="O662" s="5"/>
      <c r="P662" s="5"/>
      <c r="Q662" s="5"/>
      <c r="R662" s="5"/>
      <c r="S662" s="5"/>
      <c r="T662" s="5"/>
      <c r="U662" s="12"/>
      <c r="V662" s="5"/>
      <c r="W662" s="11"/>
      <c r="X662" s="11"/>
      <c r="Y662" s="13"/>
      <c r="Z662" s="5"/>
      <c r="AA662" s="14"/>
      <c r="AB662" s="5"/>
      <c r="AC662" s="5"/>
      <c r="AD662" s="5"/>
      <c r="AE662" s="5"/>
      <c r="AF662" s="5"/>
      <c r="AG662" s="5"/>
      <c r="AH662" s="5"/>
      <c r="AI662" s="5"/>
      <c r="AJ662" s="5"/>
    </row>
    <row r="663">
      <c r="A663" s="5"/>
      <c r="B663" s="5"/>
      <c r="C663" s="5"/>
      <c r="D663" s="5"/>
      <c r="E663" s="11"/>
      <c r="F663" s="12"/>
      <c r="G663" s="5"/>
      <c r="H663" s="12"/>
      <c r="I663" s="12"/>
      <c r="J663" s="12"/>
      <c r="K663" s="12"/>
      <c r="L663" s="12"/>
      <c r="M663" s="12"/>
      <c r="N663" s="5"/>
      <c r="O663" s="5"/>
      <c r="P663" s="5"/>
      <c r="Q663" s="5"/>
      <c r="R663" s="5"/>
      <c r="S663" s="5"/>
      <c r="T663" s="5"/>
      <c r="U663" s="12"/>
      <c r="V663" s="5"/>
      <c r="W663" s="11"/>
      <c r="X663" s="11"/>
      <c r="Y663" s="13"/>
      <c r="Z663" s="5"/>
      <c r="AA663" s="14"/>
      <c r="AB663" s="5"/>
      <c r="AC663" s="5"/>
      <c r="AD663" s="5"/>
      <c r="AE663" s="5"/>
      <c r="AF663" s="5"/>
      <c r="AG663" s="5"/>
      <c r="AH663" s="5"/>
      <c r="AI663" s="5"/>
      <c r="AJ663" s="5"/>
    </row>
    <row r="664">
      <c r="A664" s="5"/>
      <c r="B664" s="5"/>
      <c r="C664" s="5"/>
      <c r="D664" s="5"/>
      <c r="E664" s="11"/>
      <c r="F664" s="12"/>
      <c r="G664" s="5"/>
      <c r="H664" s="12"/>
      <c r="I664" s="12"/>
      <c r="J664" s="12"/>
      <c r="K664" s="12"/>
      <c r="L664" s="12"/>
      <c r="M664" s="12"/>
      <c r="N664" s="5"/>
      <c r="O664" s="5"/>
      <c r="P664" s="5"/>
      <c r="Q664" s="5"/>
      <c r="R664" s="5"/>
      <c r="S664" s="5"/>
      <c r="T664" s="5"/>
      <c r="U664" s="12"/>
      <c r="V664" s="5"/>
      <c r="W664" s="11"/>
      <c r="X664" s="11"/>
      <c r="Y664" s="13"/>
      <c r="Z664" s="5"/>
      <c r="AA664" s="14"/>
      <c r="AB664" s="5"/>
      <c r="AC664" s="5"/>
      <c r="AD664" s="5"/>
      <c r="AE664" s="5"/>
      <c r="AF664" s="5"/>
      <c r="AG664" s="5"/>
      <c r="AH664" s="5"/>
      <c r="AI664" s="5"/>
      <c r="AJ664" s="5"/>
    </row>
    <row r="665">
      <c r="A665" s="5"/>
      <c r="B665" s="5"/>
      <c r="C665" s="5"/>
      <c r="D665" s="5"/>
      <c r="E665" s="11"/>
      <c r="F665" s="12"/>
      <c r="G665" s="5"/>
      <c r="H665" s="12"/>
      <c r="I665" s="12"/>
      <c r="J665" s="12"/>
      <c r="K665" s="12"/>
      <c r="L665" s="12"/>
      <c r="M665" s="12"/>
      <c r="N665" s="5"/>
      <c r="O665" s="5"/>
      <c r="P665" s="5"/>
      <c r="Q665" s="5"/>
      <c r="R665" s="5"/>
      <c r="S665" s="5"/>
      <c r="T665" s="5"/>
      <c r="U665" s="12"/>
      <c r="V665" s="5"/>
      <c r="W665" s="11"/>
      <c r="X665" s="11"/>
      <c r="Y665" s="13"/>
      <c r="Z665" s="5"/>
      <c r="AA665" s="14"/>
      <c r="AB665" s="5"/>
      <c r="AC665" s="5"/>
      <c r="AD665" s="5"/>
      <c r="AE665" s="5"/>
      <c r="AF665" s="5"/>
      <c r="AG665" s="5"/>
      <c r="AH665" s="5"/>
      <c r="AI665" s="5"/>
      <c r="AJ665" s="5"/>
    </row>
    <row r="666">
      <c r="A666" s="5"/>
      <c r="B666" s="5"/>
      <c r="C666" s="5"/>
      <c r="D666" s="5"/>
      <c r="E666" s="11"/>
      <c r="F666" s="12"/>
      <c r="G666" s="5"/>
      <c r="H666" s="12"/>
      <c r="I666" s="12"/>
      <c r="J666" s="12"/>
      <c r="K666" s="12"/>
      <c r="L666" s="12"/>
      <c r="M666" s="12"/>
      <c r="N666" s="5"/>
      <c r="O666" s="5"/>
      <c r="P666" s="5"/>
      <c r="Q666" s="5"/>
      <c r="R666" s="5"/>
      <c r="S666" s="5"/>
      <c r="T666" s="5"/>
      <c r="U666" s="12"/>
      <c r="V666" s="5"/>
      <c r="W666" s="11"/>
      <c r="X666" s="11"/>
      <c r="Y666" s="13"/>
      <c r="Z666" s="5"/>
      <c r="AA666" s="14"/>
      <c r="AB666" s="5"/>
      <c r="AC666" s="5"/>
      <c r="AD666" s="5"/>
      <c r="AE666" s="5"/>
      <c r="AF666" s="5"/>
      <c r="AG666" s="5"/>
      <c r="AH666" s="5"/>
      <c r="AI666" s="5"/>
      <c r="AJ666" s="5"/>
    </row>
    <row r="667">
      <c r="A667" s="5"/>
      <c r="B667" s="5"/>
      <c r="C667" s="5"/>
      <c r="D667" s="5"/>
      <c r="E667" s="11"/>
      <c r="F667" s="12"/>
      <c r="G667" s="5"/>
      <c r="H667" s="12"/>
      <c r="I667" s="12"/>
      <c r="J667" s="12"/>
      <c r="K667" s="12"/>
      <c r="L667" s="12"/>
      <c r="M667" s="12"/>
      <c r="N667" s="5"/>
      <c r="O667" s="5"/>
      <c r="P667" s="5"/>
      <c r="Q667" s="5"/>
      <c r="R667" s="5"/>
      <c r="S667" s="5"/>
      <c r="T667" s="5"/>
      <c r="U667" s="12"/>
      <c r="V667" s="5"/>
      <c r="W667" s="11"/>
      <c r="X667" s="11"/>
      <c r="Y667" s="13"/>
      <c r="Z667" s="5"/>
      <c r="AA667" s="14"/>
      <c r="AB667" s="5"/>
      <c r="AC667" s="5"/>
      <c r="AD667" s="5"/>
      <c r="AE667" s="5"/>
      <c r="AF667" s="5"/>
      <c r="AG667" s="5"/>
      <c r="AH667" s="5"/>
      <c r="AI667" s="5"/>
      <c r="AJ667" s="5"/>
    </row>
    <row r="668">
      <c r="A668" s="5"/>
      <c r="B668" s="5"/>
      <c r="C668" s="5"/>
      <c r="D668" s="5"/>
      <c r="E668" s="11"/>
      <c r="F668" s="12"/>
      <c r="G668" s="5"/>
      <c r="H668" s="12"/>
      <c r="I668" s="12"/>
      <c r="J668" s="12"/>
      <c r="K668" s="12"/>
      <c r="L668" s="12"/>
      <c r="M668" s="12"/>
      <c r="N668" s="5"/>
      <c r="O668" s="5"/>
      <c r="P668" s="5"/>
      <c r="Q668" s="5"/>
      <c r="R668" s="5"/>
      <c r="S668" s="5"/>
      <c r="T668" s="5"/>
      <c r="U668" s="12"/>
      <c r="V668" s="5"/>
      <c r="W668" s="11"/>
      <c r="X668" s="11"/>
      <c r="Y668" s="13"/>
      <c r="Z668" s="5"/>
      <c r="AA668" s="14"/>
      <c r="AB668" s="5"/>
      <c r="AC668" s="5"/>
      <c r="AD668" s="5"/>
      <c r="AE668" s="5"/>
      <c r="AF668" s="5"/>
      <c r="AG668" s="5"/>
      <c r="AH668" s="5"/>
      <c r="AI668" s="5"/>
      <c r="AJ668" s="5"/>
    </row>
    <row r="669">
      <c r="A669" s="5"/>
      <c r="B669" s="5"/>
      <c r="C669" s="5"/>
      <c r="D669" s="5"/>
      <c r="E669" s="11"/>
      <c r="F669" s="12"/>
      <c r="G669" s="5"/>
      <c r="H669" s="12"/>
      <c r="I669" s="12"/>
      <c r="J669" s="12"/>
      <c r="K669" s="12"/>
      <c r="L669" s="12"/>
      <c r="M669" s="12"/>
      <c r="N669" s="5"/>
      <c r="O669" s="5"/>
      <c r="P669" s="5"/>
      <c r="Q669" s="5"/>
      <c r="R669" s="5"/>
      <c r="S669" s="5"/>
      <c r="T669" s="5"/>
      <c r="U669" s="12"/>
      <c r="V669" s="5"/>
      <c r="W669" s="11"/>
      <c r="X669" s="11"/>
      <c r="Y669" s="13"/>
      <c r="Z669" s="5"/>
      <c r="AA669" s="14"/>
      <c r="AB669" s="5"/>
      <c r="AC669" s="5"/>
      <c r="AD669" s="5"/>
      <c r="AE669" s="5"/>
      <c r="AF669" s="5"/>
      <c r="AG669" s="5"/>
      <c r="AH669" s="5"/>
      <c r="AI669" s="5"/>
      <c r="AJ669" s="5"/>
    </row>
    <row r="670">
      <c r="A670" s="5"/>
      <c r="B670" s="5"/>
      <c r="C670" s="5"/>
      <c r="D670" s="5"/>
      <c r="E670" s="11"/>
      <c r="F670" s="12"/>
      <c r="G670" s="5"/>
      <c r="H670" s="12"/>
      <c r="I670" s="12"/>
      <c r="J670" s="12"/>
      <c r="K670" s="12"/>
      <c r="L670" s="12"/>
      <c r="M670" s="12"/>
      <c r="N670" s="5"/>
      <c r="O670" s="5"/>
      <c r="P670" s="5"/>
      <c r="Q670" s="5"/>
      <c r="R670" s="5"/>
      <c r="S670" s="5"/>
      <c r="T670" s="5"/>
      <c r="U670" s="12"/>
      <c r="V670" s="5"/>
      <c r="W670" s="11"/>
      <c r="X670" s="11"/>
      <c r="Y670" s="13"/>
      <c r="Z670" s="5"/>
      <c r="AA670" s="14"/>
      <c r="AB670" s="5"/>
      <c r="AC670" s="5"/>
      <c r="AD670" s="5"/>
      <c r="AE670" s="5"/>
      <c r="AF670" s="5"/>
      <c r="AG670" s="5"/>
      <c r="AH670" s="5"/>
      <c r="AI670" s="5"/>
      <c r="AJ670" s="5"/>
    </row>
    <row r="671">
      <c r="A671" s="5"/>
      <c r="B671" s="5"/>
      <c r="C671" s="5"/>
      <c r="D671" s="5"/>
      <c r="E671" s="11"/>
      <c r="F671" s="12"/>
      <c r="G671" s="5"/>
      <c r="H671" s="12"/>
      <c r="I671" s="12"/>
      <c r="J671" s="12"/>
      <c r="K671" s="12"/>
      <c r="L671" s="12"/>
      <c r="M671" s="12"/>
      <c r="N671" s="5"/>
      <c r="O671" s="5"/>
      <c r="P671" s="5"/>
      <c r="Q671" s="5"/>
      <c r="R671" s="5"/>
      <c r="S671" s="5"/>
      <c r="T671" s="5"/>
      <c r="U671" s="12"/>
      <c r="V671" s="5"/>
      <c r="W671" s="11"/>
      <c r="X671" s="11"/>
      <c r="Y671" s="13"/>
      <c r="Z671" s="5"/>
      <c r="AA671" s="14"/>
      <c r="AB671" s="5"/>
      <c r="AC671" s="5"/>
      <c r="AD671" s="5"/>
      <c r="AE671" s="5"/>
      <c r="AF671" s="5"/>
      <c r="AG671" s="5"/>
      <c r="AH671" s="5"/>
      <c r="AI671" s="5"/>
      <c r="AJ671" s="5"/>
    </row>
    <row r="672">
      <c r="A672" s="5"/>
      <c r="B672" s="5"/>
      <c r="C672" s="5"/>
      <c r="D672" s="5"/>
      <c r="E672" s="11"/>
      <c r="F672" s="12"/>
      <c r="G672" s="5"/>
      <c r="H672" s="12"/>
      <c r="I672" s="12"/>
      <c r="J672" s="12"/>
      <c r="K672" s="12"/>
      <c r="L672" s="12"/>
      <c r="M672" s="12"/>
      <c r="N672" s="5"/>
      <c r="O672" s="5"/>
      <c r="P672" s="5"/>
      <c r="Q672" s="5"/>
      <c r="R672" s="5"/>
      <c r="S672" s="5"/>
      <c r="T672" s="5"/>
      <c r="U672" s="12"/>
      <c r="V672" s="5"/>
      <c r="W672" s="11"/>
      <c r="X672" s="11"/>
      <c r="Y672" s="13"/>
      <c r="Z672" s="5"/>
      <c r="AA672" s="14"/>
      <c r="AB672" s="5"/>
      <c r="AC672" s="5"/>
      <c r="AD672" s="5"/>
      <c r="AE672" s="5"/>
      <c r="AF672" s="5"/>
      <c r="AG672" s="5"/>
      <c r="AH672" s="5"/>
      <c r="AI672" s="5"/>
      <c r="AJ672" s="5"/>
    </row>
    <row r="673">
      <c r="A673" s="5"/>
      <c r="B673" s="5"/>
      <c r="C673" s="5"/>
      <c r="D673" s="5"/>
      <c r="E673" s="11"/>
      <c r="F673" s="12"/>
      <c r="G673" s="5"/>
      <c r="H673" s="12"/>
      <c r="I673" s="12"/>
      <c r="J673" s="12"/>
      <c r="K673" s="12"/>
      <c r="L673" s="12"/>
      <c r="M673" s="12"/>
      <c r="N673" s="5"/>
      <c r="O673" s="5"/>
      <c r="P673" s="5"/>
      <c r="Q673" s="5"/>
      <c r="R673" s="5"/>
      <c r="S673" s="5"/>
      <c r="T673" s="5"/>
      <c r="U673" s="12"/>
      <c r="V673" s="5"/>
      <c r="W673" s="11"/>
      <c r="X673" s="11"/>
      <c r="Y673" s="13"/>
      <c r="Z673" s="5"/>
      <c r="AA673" s="14"/>
      <c r="AB673" s="5"/>
      <c r="AC673" s="5"/>
      <c r="AD673" s="5"/>
      <c r="AE673" s="5"/>
      <c r="AF673" s="5"/>
      <c r="AG673" s="5"/>
      <c r="AH673" s="5"/>
      <c r="AI673" s="5"/>
      <c r="AJ673" s="5"/>
    </row>
    <row r="674">
      <c r="A674" s="5"/>
      <c r="B674" s="5"/>
      <c r="C674" s="5"/>
      <c r="D674" s="5"/>
      <c r="E674" s="11"/>
      <c r="F674" s="12"/>
      <c r="G674" s="5"/>
      <c r="H674" s="12"/>
      <c r="I674" s="12"/>
      <c r="J674" s="12"/>
      <c r="K674" s="12"/>
      <c r="L674" s="12"/>
      <c r="M674" s="12"/>
      <c r="N674" s="5"/>
      <c r="O674" s="5"/>
      <c r="P674" s="5"/>
      <c r="Q674" s="5"/>
      <c r="R674" s="5"/>
      <c r="S674" s="5"/>
      <c r="T674" s="5"/>
      <c r="U674" s="12"/>
      <c r="V674" s="5"/>
      <c r="W674" s="11"/>
      <c r="X674" s="11"/>
      <c r="Y674" s="13"/>
      <c r="Z674" s="5"/>
      <c r="AA674" s="14"/>
      <c r="AB674" s="5"/>
      <c r="AC674" s="5"/>
      <c r="AD674" s="5"/>
      <c r="AE674" s="5"/>
      <c r="AF674" s="5"/>
      <c r="AG674" s="5"/>
      <c r="AH674" s="5"/>
      <c r="AI674" s="5"/>
      <c r="AJ674" s="5"/>
    </row>
    <row r="675">
      <c r="A675" s="5"/>
      <c r="B675" s="5"/>
      <c r="C675" s="5"/>
      <c r="D675" s="5"/>
      <c r="E675" s="11"/>
      <c r="F675" s="12"/>
      <c r="G675" s="5"/>
      <c r="H675" s="12"/>
      <c r="I675" s="12"/>
      <c r="J675" s="12"/>
      <c r="K675" s="12"/>
      <c r="L675" s="12"/>
      <c r="M675" s="12"/>
      <c r="N675" s="5"/>
      <c r="O675" s="5"/>
      <c r="P675" s="5"/>
      <c r="Q675" s="5"/>
      <c r="R675" s="5"/>
      <c r="S675" s="5"/>
      <c r="T675" s="5"/>
      <c r="U675" s="12"/>
      <c r="V675" s="5"/>
      <c r="W675" s="11"/>
      <c r="X675" s="11"/>
      <c r="Y675" s="13"/>
      <c r="Z675" s="5"/>
      <c r="AA675" s="14"/>
      <c r="AB675" s="5"/>
      <c r="AC675" s="5"/>
      <c r="AD675" s="5"/>
      <c r="AE675" s="5"/>
      <c r="AF675" s="5"/>
      <c r="AG675" s="5"/>
      <c r="AH675" s="5"/>
      <c r="AI675" s="5"/>
      <c r="AJ675" s="5"/>
    </row>
    <row r="676">
      <c r="A676" s="5"/>
      <c r="B676" s="5"/>
      <c r="C676" s="5"/>
      <c r="D676" s="5"/>
      <c r="E676" s="11"/>
      <c r="F676" s="12"/>
      <c r="G676" s="5"/>
      <c r="H676" s="12"/>
      <c r="I676" s="12"/>
      <c r="J676" s="12"/>
      <c r="K676" s="12"/>
      <c r="L676" s="12"/>
      <c r="M676" s="12"/>
      <c r="N676" s="5"/>
      <c r="O676" s="5"/>
      <c r="P676" s="5"/>
      <c r="Q676" s="5"/>
      <c r="R676" s="5"/>
      <c r="S676" s="5"/>
      <c r="T676" s="5"/>
      <c r="U676" s="12"/>
      <c r="V676" s="5"/>
      <c r="W676" s="11"/>
      <c r="X676" s="11"/>
      <c r="Y676" s="13"/>
      <c r="Z676" s="5"/>
      <c r="AA676" s="14"/>
      <c r="AB676" s="5"/>
      <c r="AC676" s="5"/>
      <c r="AD676" s="5"/>
      <c r="AE676" s="5"/>
      <c r="AF676" s="5"/>
      <c r="AG676" s="5"/>
      <c r="AH676" s="5"/>
      <c r="AI676" s="5"/>
      <c r="AJ676" s="5"/>
    </row>
    <row r="677">
      <c r="A677" s="5"/>
      <c r="B677" s="5"/>
      <c r="C677" s="5"/>
      <c r="D677" s="5"/>
      <c r="E677" s="11"/>
      <c r="F677" s="12"/>
      <c r="G677" s="5"/>
      <c r="H677" s="12"/>
      <c r="I677" s="12"/>
      <c r="J677" s="12"/>
      <c r="K677" s="12"/>
      <c r="L677" s="12"/>
      <c r="M677" s="12"/>
      <c r="N677" s="5"/>
      <c r="O677" s="5"/>
      <c r="P677" s="5"/>
      <c r="Q677" s="5"/>
      <c r="R677" s="5"/>
      <c r="S677" s="5"/>
      <c r="T677" s="5"/>
      <c r="U677" s="12"/>
      <c r="V677" s="5"/>
      <c r="W677" s="11"/>
      <c r="X677" s="11"/>
      <c r="Y677" s="13"/>
      <c r="Z677" s="5"/>
      <c r="AA677" s="14"/>
      <c r="AB677" s="5"/>
      <c r="AC677" s="5"/>
      <c r="AD677" s="5"/>
      <c r="AE677" s="5"/>
      <c r="AF677" s="5"/>
      <c r="AG677" s="5"/>
      <c r="AH677" s="5"/>
      <c r="AI677" s="5"/>
      <c r="AJ677" s="5"/>
    </row>
    <row r="678">
      <c r="A678" s="5"/>
      <c r="B678" s="5"/>
      <c r="C678" s="5"/>
      <c r="D678" s="5"/>
      <c r="E678" s="11"/>
      <c r="F678" s="12"/>
      <c r="G678" s="5"/>
      <c r="H678" s="12"/>
      <c r="I678" s="12"/>
      <c r="J678" s="12"/>
      <c r="K678" s="12"/>
      <c r="L678" s="12"/>
      <c r="M678" s="12"/>
      <c r="N678" s="5"/>
      <c r="O678" s="5"/>
      <c r="P678" s="5"/>
      <c r="Q678" s="5"/>
      <c r="R678" s="5"/>
      <c r="S678" s="5"/>
      <c r="T678" s="5"/>
      <c r="U678" s="12"/>
      <c r="V678" s="5"/>
      <c r="W678" s="11"/>
      <c r="X678" s="11"/>
      <c r="Y678" s="13"/>
      <c r="Z678" s="5"/>
      <c r="AA678" s="14"/>
      <c r="AB678" s="5"/>
      <c r="AC678" s="5"/>
      <c r="AD678" s="5"/>
      <c r="AE678" s="5"/>
      <c r="AF678" s="5"/>
      <c r="AG678" s="5"/>
      <c r="AH678" s="5"/>
      <c r="AI678" s="5"/>
      <c r="AJ678" s="5"/>
    </row>
    <row r="679">
      <c r="A679" s="5"/>
      <c r="B679" s="5"/>
      <c r="C679" s="5"/>
      <c r="D679" s="5"/>
      <c r="E679" s="11"/>
      <c r="F679" s="12"/>
      <c r="G679" s="5"/>
      <c r="H679" s="12"/>
      <c r="I679" s="12"/>
      <c r="J679" s="12"/>
      <c r="K679" s="12"/>
      <c r="L679" s="12"/>
      <c r="M679" s="12"/>
      <c r="N679" s="5"/>
      <c r="O679" s="5"/>
      <c r="P679" s="5"/>
      <c r="Q679" s="5"/>
      <c r="R679" s="5"/>
      <c r="S679" s="5"/>
      <c r="T679" s="5"/>
      <c r="U679" s="12"/>
      <c r="V679" s="5"/>
      <c r="W679" s="11"/>
      <c r="X679" s="11"/>
      <c r="Y679" s="13"/>
      <c r="Z679" s="5"/>
      <c r="AA679" s="14"/>
      <c r="AB679" s="5"/>
      <c r="AC679" s="5"/>
      <c r="AD679" s="5"/>
      <c r="AE679" s="5"/>
      <c r="AF679" s="5"/>
      <c r="AG679" s="5"/>
      <c r="AH679" s="5"/>
      <c r="AI679" s="5"/>
      <c r="AJ679" s="5"/>
    </row>
    <row r="680">
      <c r="A680" s="5"/>
      <c r="B680" s="5"/>
      <c r="C680" s="5"/>
      <c r="D680" s="5"/>
      <c r="E680" s="11"/>
      <c r="F680" s="12"/>
      <c r="G680" s="5"/>
      <c r="H680" s="12"/>
      <c r="I680" s="12"/>
      <c r="J680" s="12"/>
      <c r="K680" s="12"/>
      <c r="L680" s="12"/>
      <c r="M680" s="12"/>
      <c r="N680" s="5"/>
      <c r="O680" s="5"/>
      <c r="P680" s="5"/>
      <c r="Q680" s="5"/>
      <c r="R680" s="5"/>
      <c r="S680" s="5"/>
      <c r="T680" s="5"/>
      <c r="U680" s="12"/>
      <c r="V680" s="5"/>
      <c r="W680" s="11"/>
      <c r="X680" s="11"/>
      <c r="Y680" s="13"/>
      <c r="Z680" s="5"/>
      <c r="AA680" s="14"/>
      <c r="AB680" s="5"/>
      <c r="AC680" s="5"/>
      <c r="AD680" s="5"/>
      <c r="AE680" s="5"/>
      <c r="AF680" s="5"/>
      <c r="AG680" s="5"/>
      <c r="AH680" s="5"/>
      <c r="AI680" s="5"/>
      <c r="AJ680" s="5"/>
    </row>
    <row r="681">
      <c r="A681" s="5"/>
      <c r="B681" s="5"/>
      <c r="C681" s="5"/>
      <c r="D681" s="5"/>
      <c r="E681" s="11"/>
      <c r="F681" s="12"/>
      <c r="G681" s="5"/>
      <c r="H681" s="12"/>
      <c r="I681" s="12"/>
      <c r="J681" s="12"/>
      <c r="K681" s="12"/>
      <c r="L681" s="12"/>
      <c r="M681" s="12"/>
      <c r="N681" s="5"/>
      <c r="O681" s="5"/>
      <c r="P681" s="5"/>
      <c r="Q681" s="5"/>
      <c r="R681" s="5"/>
      <c r="S681" s="5"/>
      <c r="T681" s="5"/>
      <c r="U681" s="12"/>
      <c r="V681" s="5"/>
      <c r="W681" s="11"/>
      <c r="X681" s="11"/>
      <c r="Y681" s="13"/>
      <c r="Z681" s="5"/>
      <c r="AA681" s="14"/>
      <c r="AB681" s="5"/>
      <c r="AC681" s="5"/>
      <c r="AD681" s="5"/>
      <c r="AE681" s="5"/>
      <c r="AF681" s="5"/>
      <c r="AG681" s="5"/>
      <c r="AH681" s="5"/>
      <c r="AI681" s="5"/>
      <c r="AJ681" s="5"/>
    </row>
    <row r="682">
      <c r="A682" s="5"/>
      <c r="B682" s="5"/>
      <c r="C682" s="5"/>
      <c r="D682" s="5"/>
      <c r="E682" s="11"/>
      <c r="F682" s="12"/>
      <c r="G682" s="5"/>
      <c r="H682" s="12"/>
      <c r="I682" s="12"/>
      <c r="J682" s="12"/>
      <c r="K682" s="12"/>
      <c r="L682" s="12"/>
      <c r="M682" s="12"/>
      <c r="N682" s="5"/>
      <c r="O682" s="5"/>
      <c r="P682" s="5"/>
      <c r="Q682" s="5"/>
      <c r="R682" s="5"/>
      <c r="S682" s="5"/>
      <c r="T682" s="5"/>
      <c r="U682" s="12"/>
      <c r="V682" s="5"/>
      <c r="W682" s="11"/>
      <c r="X682" s="11"/>
      <c r="Y682" s="13"/>
      <c r="Z682" s="5"/>
      <c r="AA682" s="14"/>
      <c r="AB682" s="5"/>
      <c r="AC682" s="5"/>
      <c r="AD682" s="5"/>
      <c r="AE682" s="5"/>
      <c r="AF682" s="5"/>
      <c r="AG682" s="5"/>
      <c r="AH682" s="5"/>
      <c r="AI682" s="5"/>
      <c r="AJ682" s="5"/>
    </row>
    <row r="683">
      <c r="A683" s="5"/>
      <c r="B683" s="5"/>
      <c r="C683" s="5"/>
      <c r="D683" s="5"/>
      <c r="E683" s="11"/>
      <c r="F683" s="12"/>
      <c r="G683" s="5"/>
      <c r="H683" s="12"/>
      <c r="I683" s="12"/>
      <c r="J683" s="12"/>
      <c r="K683" s="12"/>
      <c r="L683" s="12"/>
      <c r="M683" s="12"/>
      <c r="N683" s="5"/>
      <c r="O683" s="5"/>
      <c r="P683" s="5"/>
      <c r="Q683" s="5"/>
      <c r="R683" s="5"/>
      <c r="S683" s="5"/>
      <c r="T683" s="5"/>
      <c r="U683" s="12"/>
      <c r="V683" s="5"/>
      <c r="W683" s="11"/>
      <c r="X683" s="11"/>
      <c r="Y683" s="13"/>
      <c r="Z683" s="5"/>
      <c r="AA683" s="14"/>
      <c r="AB683" s="5"/>
      <c r="AC683" s="5"/>
      <c r="AD683" s="5"/>
      <c r="AE683" s="5"/>
      <c r="AF683" s="5"/>
      <c r="AG683" s="5"/>
      <c r="AH683" s="5"/>
      <c r="AI683" s="5"/>
      <c r="AJ683" s="5"/>
    </row>
    <row r="684">
      <c r="A684" s="5"/>
      <c r="B684" s="5"/>
      <c r="C684" s="5"/>
      <c r="D684" s="5"/>
      <c r="E684" s="11"/>
      <c r="F684" s="12"/>
      <c r="G684" s="5"/>
      <c r="H684" s="12"/>
      <c r="I684" s="12"/>
      <c r="J684" s="12"/>
      <c r="K684" s="12"/>
      <c r="L684" s="12"/>
      <c r="M684" s="12"/>
      <c r="N684" s="5"/>
      <c r="O684" s="5"/>
      <c r="P684" s="5"/>
      <c r="Q684" s="5"/>
      <c r="R684" s="5"/>
      <c r="S684" s="5"/>
      <c r="T684" s="5"/>
      <c r="U684" s="12"/>
      <c r="V684" s="5"/>
      <c r="W684" s="11"/>
      <c r="X684" s="11"/>
      <c r="Y684" s="13"/>
      <c r="Z684" s="5"/>
      <c r="AA684" s="14"/>
      <c r="AB684" s="5"/>
      <c r="AC684" s="5"/>
      <c r="AD684" s="5"/>
      <c r="AE684" s="5"/>
      <c r="AF684" s="5"/>
      <c r="AG684" s="5"/>
      <c r="AH684" s="5"/>
      <c r="AI684" s="5"/>
      <c r="AJ684" s="5"/>
    </row>
    <row r="685">
      <c r="A685" s="5"/>
      <c r="B685" s="5"/>
      <c r="C685" s="5"/>
      <c r="D685" s="5"/>
      <c r="E685" s="11"/>
      <c r="F685" s="12"/>
      <c r="G685" s="5"/>
      <c r="H685" s="12"/>
      <c r="I685" s="12"/>
      <c r="J685" s="12"/>
      <c r="K685" s="12"/>
      <c r="L685" s="12"/>
      <c r="M685" s="12"/>
      <c r="N685" s="5"/>
      <c r="O685" s="5"/>
      <c r="P685" s="5"/>
      <c r="Q685" s="5"/>
      <c r="R685" s="5"/>
      <c r="S685" s="5"/>
      <c r="T685" s="5"/>
      <c r="U685" s="12"/>
      <c r="V685" s="5"/>
      <c r="W685" s="11"/>
      <c r="X685" s="11"/>
      <c r="Y685" s="13"/>
      <c r="Z685" s="5"/>
      <c r="AA685" s="14"/>
      <c r="AB685" s="5"/>
      <c r="AC685" s="5"/>
      <c r="AD685" s="5"/>
      <c r="AE685" s="5"/>
      <c r="AF685" s="5"/>
      <c r="AG685" s="5"/>
      <c r="AH685" s="5"/>
      <c r="AI685" s="5"/>
      <c r="AJ685" s="5"/>
    </row>
    <row r="686">
      <c r="A686" s="5"/>
      <c r="B686" s="5"/>
      <c r="C686" s="5"/>
      <c r="D686" s="5"/>
      <c r="E686" s="11"/>
      <c r="F686" s="12"/>
      <c r="G686" s="5"/>
      <c r="H686" s="12"/>
      <c r="I686" s="12"/>
      <c r="J686" s="12"/>
      <c r="K686" s="12"/>
      <c r="L686" s="12"/>
      <c r="M686" s="12"/>
      <c r="N686" s="5"/>
      <c r="O686" s="5"/>
      <c r="P686" s="5"/>
      <c r="Q686" s="5"/>
      <c r="R686" s="5"/>
      <c r="S686" s="5"/>
      <c r="T686" s="5"/>
      <c r="U686" s="12"/>
      <c r="V686" s="5"/>
      <c r="W686" s="11"/>
      <c r="X686" s="11"/>
      <c r="Y686" s="13"/>
      <c r="Z686" s="5"/>
      <c r="AA686" s="14"/>
      <c r="AB686" s="5"/>
      <c r="AC686" s="5"/>
      <c r="AD686" s="5"/>
      <c r="AE686" s="5"/>
      <c r="AF686" s="5"/>
      <c r="AG686" s="5"/>
      <c r="AH686" s="5"/>
      <c r="AI686" s="5"/>
      <c r="AJ686" s="5"/>
    </row>
    <row r="687">
      <c r="A687" s="5"/>
      <c r="B687" s="5"/>
      <c r="C687" s="5"/>
      <c r="D687" s="5"/>
      <c r="E687" s="11"/>
      <c r="F687" s="12"/>
      <c r="G687" s="5"/>
      <c r="H687" s="12"/>
      <c r="I687" s="12"/>
      <c r="J687" s="12"/>
      <c r="K687" s="12"/>
      <c r="L687" s="12"/>
      <c r="M687" s="12"/>
      <c r="N687" s="5"/>
      <c r="O687" s="5"/>
      <c r="P687" s="5"/>
      <c r="Q687" s="5"/>
      <c r="R687" s="5"/>
      <c r="S687" s="5"/>
      <c r="T687" s="5"/>
      <c r="U687" s="12"/>
      <c r="V687" s="5"/>
      <c r="W687" s="11"/>
      <c r="X687" s="11"/>
      <c r="Y687" s="13"/>
      <c r="Z687" s="5"/>
      <c r="AA687" s="14"/>
      <c r="AB687" s="5"/>
      <c r="AC687" s="5"/>
      <c r="AD687" s="5"/>
      <c r="AE687" s="5"/>
      <c r="AF687" s="5"/>
      <c r="AG687" s="5"/>
      <c r="AH687" s="5"/>
      <c r="AI687" s="5"/>
      <c r="AJ687" s="5"/>
    </row>
    <row r="688">
      <c r="A688" s="5"/>
      <c r="B688" s="5"/>
      <c r="C688" s="5"/>
      <c r="D688" s="5"/>
      <c r="E688" s="11"/>
      <c r="F688" s="12"/>
      <c r="G688" s="5"/>
      <c r="H688" s="12"/>
      <c r="I688" s="12"/>
      <c r="J688" s="12"/>
      <c r="K688" s="12"/>
      <c r="L688" s="12"/>
      <c r="M688" s="12"/>
      <c r="N688" s="5"/>
      <c r="O688" s="5"/>
      <c r="P688" s="5"/>
      <c r="Q688" s="5"/>
      <c r="R688" s="5"/>
      <c r="S688" s="5"/>
      <c r="T688" s="5"/>
      <c r="U688" s="12"/>
      <c r="V688" s="5"/>
      <c r="W688" s="11"/>
      <c r="X688" s="11"/>
      <c r="Y688" s="13"/>
      <c r="Z688" s="5"/>
      <c r="AA688" s="14"/>
      <c r="AB688" s="5"/>
      <c r="AC688" s="5"/>
      <c r="AD688" s="5"/>
      <c r="AE688" s="5"/>
      <c r="AF688" s="5"/>
      <c r="AG688" s="5"/>
      <c r="AH688" s="5"/>
      <c r="AI688" s="5"/>
      <c r="AJ688" s="5"/>
    </row>
    <row r="689">
      <c r="A689" s="5"/>
      <c r="B689" s="5"/>
      <c r="C689" s="5"/>
      <c r="D689" s="5"/>
      <c r="E689" s="11"/>
      <c r="F689" s="12"/>
      <c r="G689" s="5"/>
      <c r="H689" s="12"/>
      <c r="I689" s="12"/>
      <c r="J689" s="12"/>
      <c r="K689" s="12"/>
      <c r="L689" s="12"/>
      <c r="M689" s="12"/>
      <c r="N689" s="5"/>
      <c r="O689" s="5"/>
      <c r="P689" s="5"/>
      <c r="Q689" s="5"/>
      <c r="R689" s="5"/>
      <c r="S689" s="5"/>
      <c r="T689" s="5"/>
      <c r="U689" s="12"/>
      <c r="V689" s="5"/>
      <c r="W689" s="11"/>
      <c r="X689" s="11"/>
      <c r="Y689" s="13"/>
      <c r="Z689" s="5"/>
      <c r="AA689" s="14"/>
      <c r="AB689" s="5"/>
      <c r="AC689" s="5"/>
      <c r="AD689" s="5"/>
      <c r="AE689" s="5"/>
      <c r="AF689" s="5"/>
      <c r="AG689" s="5"/>
      <c r="AH689" s="5"/>
      <c r="AI689" s="5"/>
      <c r="AJ689" s="5"/>
    </row>
    <row r="690">
      <c r="A690" s="5"/>
      <c r="B690" s="5"/>
      <c r="C690" s="5"/>
      <c r="D690" s="5"/>
      <c r="E690" s="11"/>
      <c r="F690" s="12"/>
      <c r="G690" s="5"/>
      <c r="H690" s="12"/>
      <c r="I690" s="12"/>
      <c r="J690" s="12"/>
      <c r="K690" s="12"/>
      <c r="L690" s="12"/>
      <c r="M690" s="12"/>
      <c r="N690" s="5"/>
      <c r="O690" s="5"/>
      <c r="P690" s="5"/>
      <c r="Q690" s="5"/>
      <c r="R690" s="5"/>
      <c r="S690" s="5"/>
      <c r="T690" s="5"/>
      <c r="U690" s="12"/>
      <c r="V690" s="5"/>
      <c r="W690" s="11"/>
      <c r="X690" s="11"/>
      <c r="Y690" s="13"/>
      <c r="Z690" s="5"/>
      <c r="AA690" s="14"/>
      <c r="AB690" s="5"/>
      <c r="AC690" s="5"/>
      <c r="AD690" s="5"/>
      <c r="AE690" s="5"/>
      <c r="AF690" s="5"/>
      <c r="AG690" s="5"/>
      <c r="AH690" s="5"/>
      <c r="AI690" s="5"/>
      <c r="AJ690" s="5"/>
    </row>
    <row r="691">
      <c r="A691" s="5"/>
      <c r="B691" s="5"/>
      <c r="C691" s="5"/>
      <c r="D691" s="5"/>
      <c r="E691" s="11"/>
      <c r="F691" s="12"/>
      <c r="G691" s="5"/>
      <c r="H691" s="12"/>
      <c r="I691" s="12"/>
      <c r="J691" s="12"/>
      <c r="K691" s="12"/>
      <c r="L691" s="12"/>
      <c r="M691" s="12"/>
      <c r="N691" s="5"/>
      <c r="O691" s="5"/>
      <c r="P691" s="5"/>
      <c r="Q691" s="5"/>
      <c r="R691" s="5"/>
      <c r="S691" s="5"/>
      <c r="T691" s="5"/>
      <c r="U691" s="12"/>
      <c r="V691" s="5"/>
      <c r="W691" s="11"/>
      <c r="X691" s="11"/>
      <c r="Y691" s="13"/>
      <c r="Z691" s="5"/>
      <c r="AA691" s="14"/>
      <c r="AB691" s="5"/>
      <c r="AC691" s="5"/>
      <c r="AD691" s="5"/>
      <c r="AE691" s="5"/>
      <c r="AF691" s="5"/>
      <c r="AG691" s="5"/>
      <c r="AH691" s="5"/>
      <c r="AI691" s="5"/>
      <c r="AJ691" s="5"/>
    </row>
    <row r="692">
      <c r="A692" s="5"/>
      <c r="B692" s="5"/>
      <c r="C692" s="5"/>
      <c r="D692" s="5"/>
      <c r="E692" s="11"/>
      <c r="F692" s="12"/>
      <c r="G692" s="5"/>
      <c r="H692" s="12"/>
      <c r="I692" s="12"/>
      <c r="J692" s="12"/>
      <c r="K692" s="12"/>
      <c r="L692" s="12"/>
      <c r="M692" s="12"/>
      <c r="N692" s="5"/>
      <c r="O692" s="5"/>
      <c r="P692" s="5"/>
      <c r="Q692" s="5"/>
      <c r="R692" s="5"/>
      <c r="S692" s="5"/>
      <c r="T692" s="5"/>
      <c r="U692" s="12"/>
      <c r="V692" s="5"/>
      <c r="W692" s="11"/>
      <c r="X692" s="11"/>
      <c r="Y692" s="13"/>
      <c r="Z692" s="5"/>
      <c r="AA692" s="14"/>
      <c r="AB692" s="5"/>
      <c r="AC692" s="5"/>
      <c r="AD692" s="5"/>
      <c r="AE692" s="5"/>
      <c r="AF692" s="5"/>
      <c r="AG692" s="5"/>
      <c r="AH692" s="5"/>
      <c r="AI692" s="5"/>
      <c r="AJ692" s="5"/>
    </row>
    <row r="693">
      <c r="A693" s="5"/>
      <c r="B693" s="5"/>
      <c r="C693" s="5"/>
      <c r="D693" s="5"/>
      <c r="E693" s="11"/>
      <c r="F693" s="12"/>
      <c r="G693" s="5"/>
      <c r="H693" s="12"/>
      <c r="I693" s="12"/>
      <c r="J693" s="12"/>
      <c r="K693" s="12"/>
      <c r="L693" s="12"/>
      <c r="M693" s="12"/>
      <c r="N693" s="5"/>
      <c r="O693" s="5"/>
      <c r="P693" s="5"/>
      <c r="Q693" s="5"/>
      <c r="R693" s="5"/>
      <c r="S693" s="5"/>
      <c r="T693" s="5"/>
      <c r="U693" s="12"/>
      <c r="V693" s="5"/>
      <c r="W693" s="11"/>
      <c r="X693" s="11"/>
      <c r="Y693" s="13"/>
      <c r="Z693" s="5"/>
      <c r="AA693" s="14"/>
      <c r="AB693" s="5"/>
      <c r="AC693" s="5"/>
      <c r="AD693" s="5"/>
      <c r="AE693" s="5"/>
      <c r="AF693" s="5"/>
      <c r="AG693" s="5"/>
      <c r="AH693" s="5"/>
      <c r="AI693" s="5"/>
      <c r="AJ693" s="5"/>
    </row>
    <row r="694">
      <c r="A694" s="5"/>
      <c r="B694" s="5"/>
      <c r="C694" s="5"/>
      <c r="D694" s="5"/>
      <c r="E694" s="11"/>
      <c r="F694" s="12"/>
      <c r="G694" s="5"/>
      <c r="H694" s="12"/>
      <c r="I694" s="12"/>
      <c r="J694" s="12"/>
      <c r="K694" s="12"/>
      <c r="L694" s="12"/>
      <c r="M694" s="12"/>
      <c r="N694" s="5"/>
      <c r="O694" s="5"/>
      <c r="P694" s="5"/>
      <c r="Q694" s="5"/>
      <c r="R694" s="5"/>
      <c r="S694" s="5"/>
      <c r="T694" s="5"/>
      <c r="U694" s="12"/>
      <c r="V694" s="5"/>
      <c r="W694" s="11"/>
      <c r="X694" s="11"/>
      <c r="Y694" s="13"/>
      <c r="Z694" s="5"/>
      <c r="AA694" s="14"/>
      <c r="AB694" s="5"/>
      <c r="AC694" s="5"/>
      <c r="AD694" s="5"/>
      <c r="AE694" s="5"/>
      <c r="AF694" s="5"/>
      <c r="AG694" s="5"/>
      <c r="AH694" s="5"/>
      <c r="AI694" s="5"/>
      <c r="AJ694" s="5"/>
    </row>
    <row r="695">
      <c r="A695" s="5"/>
      <c r="B695" s="5"/>
      <c r="C695" s="5"/>
      <c r="D695" s="5"/>
      <c r="E695" s="11"/>
      <c r="F695" s="12"/>
      <c r="G695" s="5"/>
      <c r="H695" s="12"/>
      <c r="I695" s="12"/>
      <c r="J695" s="12"/>
      <c r="K695" s="12"/>
      <c r="L695" s="12"/>
      <c r="M695" s="12"/>
      <c r="N695" s="5"/>
      <c r="O695" s="5"/>
      <c r="P695" s="5"/>
      <c r="Q695" s="5"/>
      <c r="R695" s="5"/>
      <c r="S695" s="5"/>
      <c r="T695" s="5"/>
      <c r="U695" s="12"/>
      <c r="V695" s="5"/>
      <c r="W695" s="11"/>
      <c r="X695" s="11"/>
      <c r="Y695" s="13"/>
      <c r="Z695" s="5"/>
      <c r="AA695" s="14"/>
      <c r="AB695" s="5"/>
      <c r="AC695" s="5"/>
      <c r="AD695" s="5"/>
      <c r="AE695" s="5"/>
      <c r="AF695" s="5"/>
      <c r="AG695" s="5"/>
      <c r="AH695" s="5"/>
      <c r="AI695" s="5"/>
      <c r="AJ695" s="5"/>
    </row>
    <row r="696">
      <c r="A696" s="5"/>
      <c r="B696" s="5"/>
      <c r="C696" s="5"/>
      <c r="D696" s="5"/>
      <c r="E696" s="11"/>
      <c r="F696" s="12"/>
      <c r="G696" s="5"/>
      <c r="H696" s="12"/>
      <c r="I696" s="12"/>
      <c r="J696" s="12"/>
      <c r="K696" s="12"/>
      <c r="L696" s="12"/>
      <c r="M696" s="12"/>
      <c r="N696" s="5"/>
      <c r="O696" s="5"/>
      <c r="P696" s="5"/>
      <c r="Q696" s="5"/>
      <c r="R696" s="5"/>
      <c r="S696" s="5"/>
      <c r="T696" s="5"/>
      <c r="U696" s="12"/>
      <c r="V696" s="5"/>
      <c r="W696" s="11"/>
      <c r="X696" s="11"/>
      <c r="Y696" s="13"/>
      <c r="Z696" s="5"/>
      <c r="AA696" s="14"/>
      <c r="AB696" s="5"/>
      <c r="AC696" s="5"/>
      <c r="AD696" s="5"/>
      <c r="AE696" s="5"/>
      <c r="AF696" s="5"/>
      <c r="AG696" s="5"/>
      <c r="AH696" s="5"/>
      <c r="AI696" s="5"/>
      <c r="AJ696" s="5"/>
    </row>
    <row r="697">
      <c r="A697" s="5"/>
      <c r="B697" s="5"/>
      <c r="C697" s="5"/>
      <c r="D697" s="5"/>
      <c r="E697" s="11"/>
      <c r="F697" s="12"/>
      <c r="G697" s="5"/>
      <c r="H697" s="12"/>
      <c r="I697" s="12"/>
      <c r="J697" s="12"/>
      <c r="K697" s="12"/>
      <c r="L697" s="12"/>
      <c r="M697" s="12"/>
      <c r="N697" s="5"/>
      <c r="O697" s="5"/>
      <c r="P697" s="5"/>
      <c r="Q697" s="5"/>
      <c r="R697" s="5"/>
      <c r="S697" s="5"/>
      <c r="T697" s="5"/>
      <c r="U697" s="12"/>
      <c r="V697" s="5"/>
      <c r="W697" s="11"/>
      <c r="X697" s="11"/>
      <c r="Y697" s="13"/>
      <c r="Z697" s="5"/>
      <c r="AA697" s="14"/>
      <c r="AB697" s="5"/>
      <c r="AC697" s="5"/>
      <c r="AD697" s="5"/>
      <c r="AE697" s="5"/>
      <c r="AF697" s="5"/>
      <c r="AG697" s="5"/>
      <c r="AH697" s="5"/>
      <c r="AI697" s="5"/>
      <c r="AJ697" s="5"/>
    </row>
    <row r="698">
      <c r="A698" s="5"/>
      <c r="B698" s="5"/>
      <c r="C698" s="5"/>
      <c r="D698" s="5"/>
      <c r="E698" s="11"/>
      <c r="F698" s="12"/>
      <c r="G698" s="5"/>
      <c r="H698" s="12"/>
      <c r="I698" s="12"/>
      <c r="J698" s="12"/>
      <c r="K698" s="12"/>
      <c r="L698" s="12"/>
      <c r="M698" s="12"/>
      <c r="N698" s="5"/>
      <c r="O698" s="5"/>
      <c r="P698" s="5"/>
      <c r="Q698" s="5"/>
      <c r="R698" s="5"/>
      <c r="S698" s="5"/>
      <c r="T698" s="5"/>
      <c r="U698" s="12"/>
      <c r="V698" s="5"/>
      <c r="W698" s="11"/>
      <c r="X698" s="11"/>
      <c r="Y698" s="13"/>
      <c r="Z698" s="5"/>
      <c r="AA698" s="14"/>
      <c r="AB698" s="5"/>
      <c r="AC698" s="5"/>
      <c r="AD698" s="5"/>
      <c r="AE698" s="5"/>
      <c r="AF698" s="5"/>
      <c r="AG698" s="5"/>
      <c r="AH698" s="5"/>
      <c r="AI698" s="5"/>
      <c r="AJ698" s="5"/>
    </row>
    <row r="699">
      <c r="A699" s="5"/>
      <c r="B699" s="5"/>
      <c r="C699" s="5"/>
      <c r="D699" s="5"/>
      <c r="E699" s="11"/>
      <c r="F699" s="12"/>
      <c r="G699" s="5"/>
      <c r="H699" s="12"/>
      <c r="I699" s="12"/>
      <c r="J699" s="12"/>
      <c r="K699" s="12"/>
      <c r="L699" s="12"/>
      <c r="M699" s="12"/>
      <c r="N699" s="5"/>
      <c r="O699" s="5"/>
      <c r="P699" s="5"/>
      <c r="Q699" s="5"/>
      <c r="R699" s="5"/>
      <c r="S699" s="5"/>
      <c r="T699" s="5"/>
      <c r="U699" s="12"/>
      <c r="V699" s="5"/>
      <c r="W699" s="11"/>
      <c r="X699" s="11"/>
      <c r="Y699" s="13"/>
      <c r="Z699" s="5"/>
      <c r="AA699" s="14"/>
      <c r="AB699" s="5"/>
      <c r="AC699" s="5"/>
      <c r="AD699" s="5"/>
      <c r="AE699" s="5"/>
      <c r="AF699" s="5"/>
      <c r="AG699" s="5"/>
      <c r="AH699" s="5"/>
      <c r="AI699" s="5"/>
      <c r="AJ699" s="5"/>
    </row>
    <row r="700">
      <c r="A700" s="5"/>
      <c r="B700" s="5"/>
      <c r="C700" s="5"/>
      <c r="D700" s="5"/>
      <c r="E700" s="11"/>
      <c r="F700" s="12"/>
      <c r="G700" s="5"/>
      <c r="H700" s="12"/>
      <c r="I700" s="12"/>
      <c r="J700" s="12"/>
      <c r="K700" s="12"/>
      <c r="L700" s="12"/>
      <c r="M700" s="12"/>
      <c r="N700" s="5"/>
      <c r="O700" s="5"/>
      <c r="P700" s="5"/>
      <c r="Q700" s="5"/>
      <c r="R700" s="5"/>
      <c r="S700" s="5"/>
      <c r="T700" s="5"/>
      <c r="U700" s="12"/>
      <c r="V700" s="5"/>
      <c r="W700" s="11"/>
      <c r="X700" s="11"/>
      <c r="Y700" s="13"/>
      <c r="Z700" s="5"/>
      <c r="AA700" s="14"/>
      <c r="AB700" s="5"/>
      <c r="AC700" s="5"/>
      <c r="AD700" s="5"/>
      <c r="AE700" s="5"/>
      <c r="AF700" s="5"/>
      <c r="AG700" s="5"/>
      <c r="AH700" s="5"/>
      <c r="AI700" s="5"/>
      <c r="AJ700" s="5"/>
    </row>
    <row r="701">
      <c r="A701" s="5"/>
      <c r="B701" s="5"/>
      <c r="C701" s="5"/>
      <c r="D701" s="5"/>
      <c r="E701" s="11"/>
      <c r="F701" s="12"/>
      <c r="G701" s="5"/>
      <c r="H701" s="12"/>
      <c r="I701" s="12"/>
      <c r="J701" s="12"/>
      <c r="K701" s="12"/>
      <c r="L701" s="12"/>
      <c r="M701" s="12"/>
      <c r="N701" s="5"/>
      <c r="O701" s="5"/>
      <c r="P701" s="5"/>
      <c r="Q701" s="5"/>
      <c r="R701" s="5"/>
      <c r="S701" s="5"/>
      <c r="T701" s="5"/>
      <c r="U701" s="12"/>
      <c r="V701" s="5"/>
      <c r="W701" s="11"/>
      <c r="X701" s="11"/>
      <c r="Y701" s="13"/>
      <c r="Z701" s="5"/>
      <c r="AA701" s="14"/>
      <c r="AB701" s="5"/>
      <c r="AC701" s="5"/>
      <c r="AD701" s="5"/>
      <c r="AE701" s="5"/>
      <c r="AF701" s="5"/>
      <c r="AG701" s="5"/>
      <c r="AH701" s="5"/>
      <c r="AI701" s="5"/>
      <c r="AJ701" s="5"/>
    </row>
    <row r="702">
      <c r="A702" s="5"/>
      <c r="B702" s="5"/>
      <c r="C702" s="5"/>
      <c r="D702" s="5"/>
      <c r="E702" s="11"/>
      <c r="F702" s="12"/>
      <c r="G702" s="5"/>
      <c r="H702" s="12"/>
      <c r="I702" s="12"/>
      <c r="J702" s="12"/>
      <c r="K702" s="12"/>
      <c r="L702" s="12"/>
      <c r="M702" s="12"/>
      <c r="N702" s="5"/>
      <c r="O702" s="5"/>
      <c r="P702" s="5"/>
      <c r="Q702" s="5"/>
      <c r="R702" s="5"/>
      <c r="S702" s="5"/>
      <c r="T702" s="5"/>
      <c r="U702" s="12"/>
      <c r="V702" s="5"/>
      <c r="W702" s="11"/>
      <c r="X702" s="11"/>
      <c r="Y702" s="13"/>
      <c r="Z702" s="5"/>
      <c r="AA702" s="14"/>
      <c r="AB702" s="5"/>
      <c r="AC702" s="5"/>
      <c r="AD702" s="5"/>
      <c r="AE702" s="5"/>
      <c r="AF702" s="5"/>
      <c r="AG702" s="5"/>
      <c r="AH702" s="5"/>
      <c r="AI702" s="5"/>
      <c r="AJ702" s="5"/>
    </row>
    <row r="703">
      <c r="A703" s="5"/>
      <c r="B703" s="5"/>
      <c r="C703" s="5"/>
      <c r="D703" s="5"/>
      <c r="E703" s="11"/>
      <c r="F703" s="12"/>
      <c r="G703" s="5"/>
      <c r="H703" s="12"/>
      <c r="I703" s="12"/>
      <c r="J703" s="12"/>
      <c r="K703" s="12"/>
      <c r="L703" s="12"/>
      <c r="M703" s="12"/>
      <c r="N703" s="5"/>
      <c r="O703" s="5"/>
      <c r="P703" s="5"/>
      <c r="Q703" s="5"/>
      <c r="R703" s="5"/>
      <c r="S703" s="5"/>
      <c r="T703" s="5"/>
      <c r="U703" s="12"/>
      <c r="V703" s="5"/>
      <c r="W703" s="11"/>
      <c r="X703" s="11"/>
      <c r="Y703" s="13"/>
      <c r="Z703" s="5"/>
      <c r="AA703" s="14"/>
      <c r="AB703" s="5"/>
      <c r="AC703" s="5"/>
      <c r="AD703" s="5"/>
      <c r="AE703" s="5"/>
      <c r="AF703" s="5"/>
      <c r="AG703" s="5"/>
      <c r="AH703" s="5"/>
      <c r="AI703" s="5"/>
      <c r="AJ703" s="5"/>
    </row>
    <row r="704">
      <c r="A704" s="5"/>
      <c r="B704" s="5"/>
      <c r="C704" s="5"/>
      <c r="D704" s="5"/>
      <c r="E704" s="11"/>
      <c r="F704" s="12"/>
      <c r="G704" s="5"/>
      <c r="H704" s="12"/>
      <c r="I704" s="12"/>
      <c r="J704" s="12"/>
      <c r="K704" s="12"/>
      <c r="L704" s="12"/>
      <c r="M704" s="12"/>
      <c r="N704" s="5"/>
      <c r="O704" s="5"/>
      <c r="P704" s="5"/>
      <c r="Q704" s="5"/>
      <c r="R704" s="5"/>
      <c r="S704" s="5"/>
      <c r="T704" s="5"/>
      <c r="U704" s="12"/>
      <c r="V704" s="5"/>
      <c r="W704" s="11"/>
      <c r="X704" s="11"/>
      <c r="Y704" s="13"/>
      <c r="Z704" s="5"/>
      <c r="AA704" s="14"/>
      <c r="AB704" s="5"/>
      <c r="AC704" s="5"/>
      <c r="AD704" s="5"/>
      <c r="AE704" s="5"/>
      <c r="AF704" s="5"/>
      <c r="AG704" s="5"/>
      <c r="AH704" s="5"/>
      <c r="AI704" s="5"/>
      <c r="AJ704" s="5"/>
    </row>
    <row r="705">
      <c r="A705" s="5"/>
      <c r="B705" s="5"/>
      <c r="C705" s="5"/>
      <c r="D705" s="5"/>
      <c r="E705" s="11"/>
      <c r="F705" s="12"/>
      <c r="G705" s="5"/>
      <c r="H705" s="12"/>
      <c r="I705" s="12"/>
      <c r="J705" s="12"/>
      <c r="K705" s="12"/>
      <c r="L705" s="12"/>
      <c r="M705" s="12"/>
      <c r="N705" s="5"/>
      <c r="O705" s="5"/>
      <c r="P705" s="5"/>
      <c r="Q705" s="5"/>
      <c r="R705" s="5"/>
      <c r="S705" s="5"/>
      <c r="T705" s="5"/>
      <c r="U705" s="12"/>
      <c r="V705" s="5"/>
      <c r="W705" s="11"/>
      <c r="X705" s="11"/>
      <c r="Y705" s="13"/>
      <c r="Z705" s="5"/>
      <c r="AA705" s="14"/>
      <c r="AB705" s="5"/>
      <c r="AC705" s="5"/>
      <c r="AD705" s="5"/>
      <c r="AE705" s="5"/>
      <c r="AF705" s="5"/>
      <c r="AG705" s="5"/>
      <c r="AH705" s="5"/>
      <c r="AI705" s="5"/>
      <c r="AJ705" s="5"/>
    </row>
    <row r="706">
      <c r="A706" s="5"/>
      <c r="B706" s="5"/>
      <c r="C706" s="5"/>
      <c r="D706" s="5"/>
      <c r="E706" s="11"/>
      <c r="F706" s="12"/>
      <c r="G706" s="5"/>
      <c r="H706" s="12"/>
      <c r="I706" s="12"/>
      <c r="J706" s="12"/>
      <c r="K706" s="12"/>
      <c r="L706" s="12"/>
      <c r="M706" s="12"/>
      <c r="N706" s="5"/>
      <c r="O706" s="5"/>
      <c r="P706" s="5"/>
      <c r="Q706" s="5"/>
      <c r="R706" s="5"/>
      <c r="S706" s="5"/>
      <c r="T706" s="5"/>
      <c r="U706" s="12"/>
      <c r="V706" s="5"/>
      <c r="W706" s="11"/>
      <c r="X706" s="11"/>
      <c r="Y706" s="13"/>
      <c r="Z706" s="5"/>
      <c r="AA706" s="14"/>
      <c r="AB706" s="5"/>
      <c r="AC706" s="5"/>
      <c r="AD706" s="5"/>
      <c r="AE706" s="5"/>
      <c r="AF706" s="5"/>
      <c r="AG706" s="5"/>
      <c r="AH706" s="5"/>
      <c r="AI706" s="5"/>
      <c r="AJ706" s="5"/>
    </row>
    <row r="707">
      <c r="A707" s="5"/>
      <c r="B707" s="5"/>
      <c r="C707" s="5"/>
      <c r="D707" s="5"/>
      <c r="E707" s="11"/>
      <c r="F707" s="12"/>
      <c r="G707" s="5"/>
      <c r="H707" s="12"/>
      <c r="I707" s="12"/>
      <c r="J707" s="12"/>
      <c r="K707" s="12"/>
      <c r="L707" s="12"/>
      <c r="M707" s="12"/>
      <c r="N707" s="5"/>
      <c r="O707" s="5"/>
      <c r="P707" s="5"/>
      <c r="Q707" s="5"/>
      <c r="R707" s="5"/>
      <c r="S707" s="5"/>
      <c r="T707" s="5"/>
      <c r="U707" s="12"/>
      <c r="V707" s="5"/>
      <c r="W707" s="11"/>
      <c r="X707" s="11"/>
      <c r="Y707" s="13"/>
      <c r="Z707" s="5"/>
      <c r="AA707" s="14"/>
      <c r="AB707" s="5"/>
      <c r="AC707" s="5"/>
      <c r="AD707" s="5"/>
      <c r="AE707" s="5"/>
      <c r="AF707" s="5"/>
      <c r="AG707" s="5"/>
      <c r="AH707" s="5"/>
      <c r="AI707" s="5"/>
      <c r="AJ707" s="5"/>
    </row>
    <row r="708">
      <c r="A708" s="5"/>
      <c r="B708" s="5"/>
      <c r="C708" s="5"/>
      <c r="D708" s="5"/>
      <c r="E708" s="11"/>
      <c r="F708" s="12"/>
      <c r="G708" s="5"/>
      <c r="H708" s="12"/>
      <c r="I708" s="12"/>
      <c r="J708" s="12"/>
      <c r="K708" s="12"/>
      <c r="L708" s="12"/>
      <c r="M708" s="12"/>
      <c r="N708" s="5"/>
      <c r="O708" s="5"/>
      <c r="P708" s="5"/>
      <c r="Q708" s="5"/>
      <c r="R708" s="5"/>
      <c r="S708" s="5"/>
      <c r="T708" s="5"/>
      <c r="U708" s="12"/>
      <c r="V708" s="5"/>
      <c r="W708" s="11"/>
      <c r="X708" s="11"/>
      <c r="Y708" s="13"/>
      <c r="Z708" s="5"/>
      <c r="AA708" s="14"/>
      <c r="AB708" s="5"/>
      <c r="AC708" s="5"/>
      <c r="AD708" s="5"/>
      <c r="AE708" s="5"/>
      <c r="AF708" s="5"/>
      <c r="AG708" s="5"/>
      <c r="AH708" s="5"/>
      <c r="AI708" s="5"/>
      <c r="AJ708" s="5"/>
    </row>
    <row r="709">
      <c r="A709" s="5"/>
      <c r="B709" s="5"/>
      <c r="C709" s="5"/>
      <c r="D709" s="5"/>
      <c r="E709" s="11"/>
      <c r="F709" s="12"/>
      <c r="G709" s="5"/>
      <c r="H709" s="12"/>
      <c r="I709" s="12"/>
      <c r="J709" s="12"/>
      <c r="K709" s="12"/>
      <c r="L709" s="12"/>
      <c r="M709" s="12"/>
      <c r="N709" s="5"/>
      <c r="O709" s="5"/>
      <c r="P709" s="5"/>
      <c r="Q709" s="5"/>
      <c r="R709" s="5"/>
      <c r="S709" s="5"/>
      <c r="T709" s="5"/>
      <c r="U709" s="12"/>
      <c r="V709" s="5"/>
      <c r="W709" s="11"/>
      <c r="X709" s="11"/>
      <c r="Y709" s="13"/>
      <c r="Z709" s="5"/>
      <c r="AA709" s="14"/>
      <c r="AB709" s="5"/>
      <c r="AC709" s="5"/>
      <c r="AD709" s="5"/>
      <c r="AE709" s="5"/>
      <c r="AF709" s="5"/>
      <c r="AG709" s="5"/>
      <c r="AH709" s="5"/>
      <c r="AI709" s="5"/>
      <c r="AJ709" s="5"/>
    </row>
    <row r="710">
      <c r="A710" s="5"/>
      <c r="B710" s="5"/>
      <c r="C710" s="5"/>
      <c r="D710" s="5"/>
      <c r="E710" s="11"/>
      <c r="F710" s="12"/>
      <c r="G710" s="5"/>
      <c r="H710" s="12"/>
      <c r="I710" s="12"/>
      <c r="J710" s="12"/>
      <c r="K710" s="12"/>
      <c r="L710" s="12"/>
      <c r="M710" s="12"/>
      <c r="N710" s="5"/>
      <c r="O710" s="5"/>
      <c r="P710" s="5"/>
      <c r="Q710" s="5"/>
      <c r="R710" s="5"/>
      <c r="S710" s="5"/>
      <c r="T710" s="5"/>
      <c r="U710" s="12"/>
      <c r="V710" s="5"/>
      <c r="W710" s="11"/>
      <c r="X710" s="11"/>
      <c r="Y710" s="13"/>
      <c r="Z710" s="5"/>
      <c r="AA710" s="14"/>
      <c r="AB710" s="5"/>
      <c r="AC710" s="5"/>
      <c r="AD710" s="5"/>
      <c r="AE710" s="5"/>
      <c r="AF710" s="5"/>
      <c r="AG710" s="5"/>
      <c r="AH710" s="5"/>
      <c r="AI710" s="5"/>
      <c r="AJ710" s="5"/>
    </row>
    <row r="711">
      <c r="A711" s="5"/>
      <c r="B711" s="5"/>
      <c r="C711" s="5"/>
      <c r="D711" s="5"/>
      <c r="E711" s="11"/>
      <c r="F711" s="12"/>
      <c r="G711" s="5"/>
      <c r="H711" s="12"/>
      <c r="I711" s="12"/>
      <c r="J711" s="12"/>
      <c r="K711" s="12"/>
      <c r="L711" s="12"/>
      <c r="M711" s="12"/>
      <c r="N711" s="5"/>
      <c r="O711" s="5"/>
      <c r="P711" s="5"/>
      <c r="Q711" s="5"/>
      <c r="R711" s="5"/>
      <c r="S711" s="5"/>
      <c r="T711" s="5"/>
      <c r="U711" s="12"/>
      <c r="V711" s="5"/>
      <c r="W711" s="11"/>
      <c r="X711" s="11"/>
      <c r="Y711" s="13"/>
      <c r="Z711" s="5"/>
      <c r="AA711" s="14"/>
      <c r="AB711" s="5"/>
      <c r="AC711" s="5"/>
      <c r="AD711" s="5"/>
      <c r="AE711" s="5"/>
      <c r="AF711" s="5"/>
      <c r="AG711" s="5"/>
      <c r="AH711" s="5"/>
      <c r="AI711" s="5"/>
      <c r="AJ711" s="5"/>
    </row>
    <row r="712">
      <c r="A712" s="5"/>
      <c r="B712" s="5"/>
      <c r="C712" s="5"/>
      <c r="D712" s="5"/>
      <c r="E712" s="11"/>
      <c r="F712" s="12"/>
      <c r="G712" s="5"/>
      <c r="H712" s="12"/>
      <c r="I712" s="12"/>
      <c r="J712" s="12"/>
      <c r="K712" s="12"/>
      <c r="L712" s="12"/>
      <c r="M712" s="12"/>
      <c r="N712" s="5"/>
      <c r="O712" s="5"/>
      <c r="P712" s="5"/>
      <c r="Q712" s="5"/>
      <c r="R712" s="5"/>
      <c r="S712" s="5"/>
      <c r="T712" s="5"/>
      <c r="U712" s="12"/>
      <c r="V712" s="5"/>
      <c r="W712" s="11"/>
      <c r="X712" s="11"/>
      <c r="Y712" s="13"/>
      <c r="Z712" s="5"/>
      <c r="AA712" s="14"/>
      <c r="AB712" s="5"/>
      <c r="AC712" s="5"/>
      <c r="AD712" s="5"/>
      <c r="AE712" s="5"/>
      <c r="AF712" s="5"/>
      <c r="AG712" s="5"/>
      <c r="AH712" s="5"/>
      <c r="AI712" s="5"/>
      <c r="AJ712" s="5"/>
    </row>
    <row r="713">
      <c r="A713" s="5"/>
      <c r="B713" s="5"/>
      <c r="C713" s="5"/>
      <c r="D713" s="5"/>
      <c r="E713" s="11"/>
      <c r="F713" s="12"/>
      <c r="G713" s="5"/>
      <c r="H713" s="12"/>
      <c r="I713" s="12"/>
      <c r="J713" s="12"/>
      <c r="K713" s="12"/>
      <c r="L713" s="12"/>
      <c r="M713" s="12"/>
      <c r="N713" s="5"/>
      <c r="O713" s="5"/>
      <c r="P713" s="5"/>
      <c r="Q713" s="5"/>
      <c r="R713" s="5"/>
      <c r="S713" s="5"/>
      <c r="T713" s="5"/>
      <c r="U713" s="12"/>
      <c r="V713" s="5"/>
      <c r="W713" s="11"/>
      <c r="X713" s="11"/>
      <c r="Y713" s="13"/>
      <c r="Z713" s="5"/>
      <c r="AA713" s="14"/>
      <c r="AB713" s="5"/>
      <c r="AC713" s="5"/>
      <c r="AD713" s="5"/>
      <c r="AE713" s="5"/>
      <c r="AF713" s="5"/>
      <c r="AG713" s="5"/>
      <c r="AH713" s="5"/>
      <c r="AI713" s="5"/>
      <c r="AJ713" s="5"/>
    </row>
    <row r="714">
      <c r="A714" s="5"/>
      <c r="B714" s="5"/>
      <c r="C714" s="5"/>
      <c r="D714" s="5"/>
      <c r="E714" s="11"/>
      <c r="F714" s="12"/>
      <c r="G714" s="5"/>
      <c r="H714" s="12"/>
      <c r="I714" s="12"/>
      <c r="J714" s="12"/>
      <c r="K714" s="12"/>
      <c r="L714" s="12"/>
      <c r="M714" s="12"/>
      <c r="N714" s="5"/>
      <c r="O714" s="5"/>
      <c r="P714" s="5"/>
      <c r="Q714" s="5"/>
      <c r="R714" s="5"/>
      <c r="S714" s="5"/>
      <c r="T714" s="5"/>
      <c r="U714" s="12"/>
      <c r="V714" s="5"/>
      <c r="W714" s="11"/>
      <c r="X714" s="11"/>
      <c r="Y714" s="13"/>
      <c r="Z714" s="5"/>
      <c r="AA714" s="14"/>
      <c r="AB714" s="5"/>
      <c r="AC714" s="5"/>
      <c r="AD714" s="5"/>
      <c r="AE714" s="5"/>
      <c r="AF714" s="5"/>
      <c r="AG714" s="5"/>
      <c r="AH714" s="5"/>
      <c r="AI714" s="5"/>
      <c r="AJ714" s="5"/>
    </row>
    <row r="715">
      <c r="A715" s="5"/>
      <c r="B715" s="5"/>
      <c r="C715" s="5"/>
      <c r="D715" s="5"/>
      <c r="E715" s="11"/>
      <c r="F715" s="12"/>
      <c r="G715" s="5"/>
      <c r="H715" s="12"/>
      <c r="I715" s="12"/>
      <c r="J715" s="12"/>
      <c r="K715" s="12"/>
      <c r="L715" s="12"/>
      <c r="M715" s="12"/>
      <c r="N715" s="5"/>
      <c r="O715" s="5"/>
      <c r="P715" s="5"/>
      <c r="Q715" s="5"/>
      <c r="R715" s="5"/>
      <c r="S715" s="5"/>
      <c r="T715" s="5"/>
      <c r="U715" s="12"/>
      <c r="V715" s="5"/>
      <c r="W715" s="11"/>
      <c r="X715" s="11"/>
      <c r="Y715" s="13"/>
      <c r="Z715" s="5"/>
      <c r="AA715" s="14"/>
      <c r="AB715" s="5"/>
      <c r="AC715" s="5"/>
      <c r="AD715" s="5"/>
      <c r="AE715" s="5"/>
      <c r="AF715" s="5"/>
      <c r="AG715" s="5"/>
      <c r="AH715" s="5"/>
      <c r="AI715" s="5"/>
      <c r="AJ715" s="5"/>
    </row>
    <row r="716">
      <c r="A716" s="5"/>
      <c r="B716" s="5"/>
      <c r="C716" s="5"/>
      <c r="D716" s="5"/>
      <c r="E716" s="11"/>
      <c r="F716" s="12"/>
      <c r="G716" s="5"/>
      <c r="H716" s="12"/>
      <c r="I716" s="12"/>
      <c r="J716" s="12"/>
      <c r="K716" s="12"/>
      <c r="L716" s="12"/>
      <c r="M716" s="12"/>
      <c r="N716" s="5"/>
      <c r="O716" s="5"/>
      <c r="P716" s="5"/>
      <c r="Q716" s="5"/>
      <c r="R716" s="5"/>
      <c r="S716" s="5"/>
      <c r="T716" s="5"/>
      <c r="U716" s="12"/>
      <c r="V716" s="5"/>
      <c r="W716" s="11"/>
      <c r="X716" s="11"/>
      <c r="Y716" s="13"/>
      <c r="Z716" s="5"/>
      <c r="AA716" s="14"/>
      <c r="AB716" s="5"/>
      <c r="AC716" s="5"/>
      <c r="AD716" s="5"/>
      <c r="AE716" s="5"/>
      <c r="AF716" s="5"/>
      <c r="AG716" s="5"/>
      <c r="AH716" s="5"/>
      <c r="AI716" s="5"/>
      <c r="AJ716" s="5"/>
    </row>
    <row r="717">
      <c r="A717" s="5"/>
      <c r="B717" s="5"/>
      <c r="C717" s="5"/>
      <c r="D717" s="5"/>
      <c r="E717" s="11"/>
      <c r="F717" s="12"/>
      <c r="G717" s="5"/>
      <c r="H717" s="12"/>
      <c r="I717" s="12"/>
      <c r="J717" s="12"/>
      <c r="K717" s="12"/>
      <c r="L717" s="12"/>
      <c r="M717" s="12"/>
      <c r="N717" s="5"/>
      <c r="O717" s="5"/>
      <c r="P717" s="5"/>
      <c r="Q717" s="5"/>
      <c r="R717" s="5"/>
      <c r="S717" s="5"/>
      <c r="T717" s="5"/>
      <c r="U717" s="12"/>
      <c r="V717" s="5"/>
      <c r="W717" s="11"/>
      <c r="X717" s="11"/>
      <c r="Y717" s="13"/>
      <c r="Z717" s="5"/>
      <c r="AA717" s="14"/>
      <c r="AB717" s="5"/>
      <c r="AC717" s="5"/>
      <c r="AD717" s="5"/>
      <c r="AE717" s="5"/>
      <c r="AF717" s="5"/>
      <c r="AG717" s="5"/>
      <c r="AH717" s="5"/>
      <c r="AI717" s="5"/>
      <c r="AJ717" s="5"/>
    </row>
    <row r="718">
      <c r="A718" s="5"/>
      <c r="B718" s="5"/>
      <c r="C718" s="5"/>
      <c r="D718" s="5"/>
      <c r="E718" s="11"/>
      <c r="F718" s="12"/>
      <c r="G718" s="5"/>
      <c r="H718" s="12"/>
      <c r="I718" s="12"/>
      <c r="J718" s="12"/>
      <c r="K718" s="12"/>
      <c r="L718" s="12"/>
      <c r="M718" s="12"/>
      <c r="N718" s="5"/>
      <c r="O718" s="5"/>
      <c r="P718" s="5"/>
      <c r="Q718" s="5"/>
      <c r="R718" s="5"/>
      <c r="S718" s="5"/>
      <c r="T718" s="5"/>
      <c r="U718" s="12"/>
      <c r="V718" s="5"/>
      <c r="W718" s="11"/>
      <c r="X718" s="11"/>
      <c r="Y718" s="13"/>
      <c r="Z718" s="5"/>
      <c r="AA718" s="14"/>
      <c r="AB718" s="5"/>
      <c r="AC718" s="5"/>
      <c r="AD718" s="5"/>
      <c r="AE718" s="5"/>
      <c r="AF718" s="5"/>
      <c r="AG718" s="5"/>
      <c r="AH718" s="5"/>
      <c r="AI718" s="5"/>
      <c r="AJ718" s="5"/>
    </row>
    <row r="719">
      <c r="A719" s="5"/>
      <c r="B719" s="5"/>
      <c r="C719" s="5"/>
      <c r="D719" s="5"/>
      <c r="E719" s="11"/>
      <c r="F719" s="12"/>
      <c r="G719" s="5"/>
      <c r="H719" s="12"/>
      <c r="I719" s="12"/>
      <c r="J719" s="12"/>
      <c r="K719" s="12"/>
      <c r="L719" s="12"/>
      <c r="M719" s="12"/>
      <c r="N719" s="5"/>
      <c r="O719" s="5"/>
      <c r="P719" s="5"/>
      <c r="Q719" s="5"/>
      <c r="R719" s="5"/>
      <c r="S719" s="5"/>
      <c r="T719" s="5"/>
      <c r="U719" s="12"/>
      <c r="V719" s="5"/>
      <c r="W719" s="11"/>
      <c r="X719" s="11"/>
      <c r="Y719" s="13"/>
      <c r="Z719" s="5"/>
      <c r="AA719" s="14"/>
      <c r="AB719" s="5"/>
      <c r="AC719" s="5"/>
      <c r="AD719" s="5"/>
      <c r="AE719" s="5"/>
      <c r="AF719" s="5"/>
      <c r="AG719" s="5"/>
      <c r="AH719" s="5"/>
      <c r="AI719" s="5"/>
      <c r="AJ719" s="5"/>
    </row>
    <row r="720">
      <c r="A720" s="5"/>
      <c r="B720" s="5"/>
      <c r="C720" s="5"/>
      <c r="D720" s="5"/>
      <c r="E720" s="11"/>
      <c r="F720" s="12"/>
      <c r="G720" s="5"/>
      <c r="H720" s="12"/>
      <c r="I720" s="12"/>
      <c r="J720" s="12"/>
      <c r="K720" s="12"/>
      <c r="L720" s="12"/>
      <c r="M720" s="12"/>
      <c r="N720" s="5"/>
      <c r="O720" s="5"/>
      <c r="P720" s="5"/>
      <c r="Q720" s="5"/>
      <c r="R720" s="5"/>
      <c r="S720" s="5"/>
      <c r="T720" s="5"/>
      <c r="U720" s="12"/>
      <c r="V720" s="5"/>
      <c r="W720" s="11"/>
      <c r="X720" s="11"/>
      <c r="Y720" s="13"/>
      <c r="Z720" s="5"/>
      <c r="AA720" s="14"/>
      <c r="AB720" s="5"/>
      <c r="AC720" s="5"/>
      <c r="AD720" s="5"/>
      <c r="AE720" s="5"/>
      <c r="AF720" s="5"/>
      <c r="AG720" s="5"/>
      <c r="AH720" s="5"/>
      <c r="AI720" s="5"/>
      <c r="AJ720" s="5"/>
    </row>
    <row r="721">
      <c r="A721" s="5"/>
      <c r="B721" s="5"/>
      <c r="C721" s="5"/>
      <c r="D721" s="5"/>
      <c r="E721" s="11"/>
      <c r="F721" s="12"/>
      <c r="G721" s="5"/>
      <c r="H721" s="12"/>
      <c r="I721" s="12"/>
      <c r="J721" s="12"/>
      <c r="K721" s="12"/>
      <c r="L721" s="12"/>
      <c r="M721" s="12"/>
      <c r="N721" s="5"/>
      <c r="O721" s="5"/>
      <c r="P721" s="5"/>
      <c r="Q721" s="5"/>
      <c r="R721" s="5"/>
      <c r="S721" s="5"/>
      <c r="T721" s="5"/>
      <c r="U721" s="12"/>
      <c r="V721" s="5"/>
      <c r="W721" s="11"/>
      <c r="X721" s="11"/>
      <c r="Y721" s="13"/>
      <c r="Z721" s="5"/>
      <c r="AA721" s="14"/>
      <c r="AB721" s="5"/>
      <c r="AC721" s="5"/>
      <c r="AD721" s="5"/>
      <c r="AE721" s="5"/>
      <c r="AF721" s="5"/>
      <c r="AG721" s="5"/>
      <c r="AH721" s="5"/>
      <c r="AI721" s="5"/>
      <c r="AJ721" s="5"/>
    </row>
    <row r="722">
      <c r="A722" s="5"/>
      <c r="B722" s="5"/>
      <c r="C722" s="5"/>
      <c r="D722" s="5"/>
      <c r="E722" s="11"/>
      <c r="F722" s="12"/>
      <c r="G722" s="5"/>
      <c r="H722" s="12"/>
      <c r="I722" s="12"/>
      <c r="J722" s="12"/>
      <c r="K722" s="12"/>
      <c r="L722" s="12"/>
      <c r="M722" s="12"/>
      <c r="N722" s="5"/>
      <c r="O722" s="5"/>
      <c r="P722" s="5"/>
      <c r="Q722" s="5"/>
      <c r="R722" s="5"/>
      <c r="S722" s="5"/>
      <c r="T722" s="5"/>
      <c r="U722" s="12"/>
      <c r="V722" s="5"/>
      <c r="W722" s="11"/>
      <c r="X722" s="11"/>
      <c r="Y722" s="13"/>
      <c r="Z722" s="5"/>
      <c r="AA722" s="14"/>
      <c r="AB722" s="5"/>
      <c r="AC722" s="5"/>
      <c r="AD722" s="5"/>
      <c r="AE722" s="5"/>
      <c r="AF722" s="5"/>
      <c r="AG722" s="5"/>
      <c r="AH722" s="5"/>
      <c r="AI722" s="5"/>
      <c r="AJ722" s="5"/>
    </row>
    <row r="723">
      <c r="A723" s="5"/>
      <c r="B723" s="5"/>
      <c r="C723" s="5"/>
      <c r="D723" s="5"/>
      <c r="E723" s="11"/>
      <c r="F723" s="12"/>
      <c r="G723" s="5"/>
      <c r="H723" s="12"/>
      <c r="I723" s="12"/>
      <c r="J723" s="12"/>
      <c r="K723" s="12"/>
      <c r="L723" s="12"/>
      <c r="M723" s="12"/>
      <c r="N723" s="5"/>
      <c r="O723" s="5"/>
      <c r="P723" s="5"/>
      <c r="Q723" s="5"/>
      <c r="R723" s="5"/>
      <c r="S723" s="5"/>
      <c r="T723" s="5"/>
      <c r="U723" s="12"/>
      <c r="V723" s="5"/>
      <c r="W723" s="11"/>
      <c r="X723" s="11"/>
      <c r="Y723" s="13"/>
      <c r="Z723" s="5"/>
      <c r="AA723" s="14"/>
      <c r="AB723" s="5"/>
      <c r="AC723" s="5"/>
      <c r="AD723" s="5"/>
      <c r="AE723" s="5"/>
      <c r="AF723" s="5"/>
      <c r="AG723" s="5"/>
      <c r="AH723" s="5"/>
      <c r="AI723" s="5"/>
      <c r="AJ723" s="5"/>
    </row>
    <row r="724">
      <c r="A724" s="5"/>
      <c r="B724" s="5"/>
      <c r="C724" s="5"/>
      <c r="D724" s="5"/>
      <c r="E724" s="11"/>
      <c r="F724" s="12"/>
      <c r="G724" s="5"/>
      <c r="H724" s="12"/>
      <c r="I724" s="12"/>
      <c r="J724" s="12"/>
      <c r="K724" s="12"/>
      <c r="L724" s="12"/>
      <c r="M724" s="12"/>
      <c r="N724" s="5"/>
      <c r="O724" s="5"/>
      <c r="P724" s="5"/>
      <c r="Q724" s="5"/>
      <c r="R724" s="5"/>
      <c r="S724" s="5"/>
      <c r="T724" s="5"/>
      <c r="U724" s="12"/>
      <c r="V724" s="5"/>
      <c r="W724" s="11"/>
      <c r="X724" s="11"/>
      <c r="Y724" s="13"/>
      <c r="Z724" s="5"/>
      <c r="AA724" s="14"/>
      <c r="AB724" s="5"/>
      <c r="AC724" s="5"/>
      <c r="AD724" s="5"/>
      <c r="AE724" s="5"/>
      <c r="AF724" s="5"/>
      <c r="AG724" s="5"/>
      <c r="AH724" s="5"/>
      <c r="AI724" s="5"/>
      <c r="AJ724" s="5"/>
    </row>
    <row r="725">
      <c r="A725" s="5"/>
      <c r="B725" s="5"/>
      <c r="C725" s="5"/>
      <c r="D725" s="5"/>
      <c r="E725" s="11"/>
      <c r="F725" s="12"/>
      <c r="G725" s="5"/>
      <c r="H725" s="12"/>
      <c r="I725" s="12"/>
      <c r="J725" s="12"/>
      <c r="K725" s="12"/>
      <c r="L725" s="12"/>
      <c r="M725" s="12"/>
      <c r="N725" s="5"/>
      <c r="O725" s="5"/>
      <c r="P725" s="5"/>
      <c r="Q725" s="5"/>
      <c r="R725" s="5"/>
      <c r="S725" s="5"/>
      <c r="T725" s="5"/>
      <c r="U725" s="12"/>
      <c r="V725" s="5"/>
      <c r="W725" s="11"/>
      <c r="X725" s="11"/>
      <c r="Y725" s="13"/>
      <c r="Z725" s="5"/>
      <c r="AA725" s="14"/>
      <c r="AB725" s="5"/>
      <c r="AC725" s="5"/>
      <c r="AD725" s="5"/>
      <c r="AE725" s="5"/>
      <c r="AF725" s="5"/>
      <c r="AG725" s="5"/>
      <c r="AH725" s="5"/>
      <c r="AI725" s="5"/>
      <c r="AJ725" s="5"/>
    </row>
    <row r="726">
      <c r="A726" s="5"/>
      <c r="B726" s="5"/>
      <c r="C726" s="5"/>
      <c r="D726" s="5"/>
      <c r="E726" s="11"/>
      <c r="F726" s="12"/>
      <c r="G726" s="5"/>
      <c r="H726" s="12"/>
      <c r="I726" s="12"/>
      <c r="J726" s="12"/>
      <c r="K726" s="12"/>
      <c r="L726" s="12"/>
      <c r="M726" s="12"/>
      <c r="N726" s="5"/>
      <c r="O726" s="5"/>
      <c r="P726" s="5"/>
      <c r="Q726" s="5"/>
      <c r="R726" s="5"/>
      <c r="S726" s="5"/>
      <c r="T726" s="5"/>
      <c r="U726" s="12"/>
      <c r="V726" s="5"/>
      <c r="W726" s="11"/>
      <c r="X726" s="11"/>
      <c r="Y726" s="13"/>
      <c r="Z726" s="5"/>
      <c r="AA726" s="14"/>
      <c r="AB726" s="5"/>
      <c r="AC726" s="5"/>
      <c r="AD726" s="5"/>
      <c r="AE726" s="5"/>
      <c r="AF726" s="5"/>
      <c r="AG726" s="5"/>
      <c r="AH726" s="5"/>
      <c r="AI726" s="5"/>
      <c r="AJ726" s="5"/>
    </row>
    <row r="727">
      <c r="A727" s="5"/>
      <c r="B727" s="5"/>
      <c r="C727" s="5"/>
      <c r="D727" s="5"/>
      <c r="E727" s="11"/>
      <c r="F727" s="12"/>
      <c r="G727" s="5"/>
      <c r="H727" s="12"/>
      <c r="I727" s="12"/>
      <c r="J727" s="12"/>
      <c r="K727" s="12"/>
      <c r="L727" s="12"/>
      <c r="M727" s="12"/>
      <c r="N727" s="5"/>
      <c r="O727" s="5"/>
      <c r="P727" s="5"/>
      <c r="Q727" s="5"/>
      <c r="R727" s="5"/>
      <c r="S727" s="5"/>
      <c r="T727" s="5"/>
      <c r="U727" s="12"/>
      <c r="V727" s="5"/>
      <c r="W727" s="11"/>
      <c r="X727" s="11"/>
      <c r="Y727" s="13"/>
      <c r="Z727" s="5"/>
      <c r="AA727" s="14"/>
      <c r="AB727" s="5"/>
      <c r="AC727" s="5"/>
      <c r="AD727" s="5"/>
      <c r="AE727" s="5"/>
      <c r="AF727" s="5"/>
      <c r="AG727" s="5"/>
      <c r="AH727" s="5"/>
      <c r="AI727" s="5"/>
      <c r="AJ727" s="5"/>
    </row>
    <row r="728">
      <c r="A728" s="5"/>
      <c r="B728" s="5"/>
      <c r="C728" s="5"/>
      <c r="D728" s="5"/>
      <c r="E728" s="11"/>
      <c r="F728" s="12"/>
      <c r="G728" s="5"/>
      <c r="H728" s="12"/>
      <c r="I728" s="12"/>
      <c r="J728" s="12"/>
      <c r="K728" s="12"/>
      <c r="L728" s="12"/>
      <c r="M728" s="12"/>
      <c r="N728" s="5"/>
      <c r="O728" s="5"/>
      <c r="P728" s="5"/>
      <c r="Q728" s="5"/>
      <c r="R728" s="5"/>
      <c r="S728" s="5"/>
      <c r="T728" s="5"/>
      <c r="U728" s="12"/>
      <c r="V728" s="5"/>
      <c r="W728" s="11"/>
      <c r="X728" s="11"/>
      <c r="Y728" s="13"/>
      <c r="Z728" s="5"/>
      <c r="AA728" s="14"/>
      <c r="AB728" s="5"/>
      <c r="AC728" s="5"/>
      <c r="AD728" s="5"/>
      <c r="AE728" s="5"/>
      <c r="AF728" s="5"/>
      <c r="AG728" s="5"/>
      <c r="AH728" s="5"/>
      <c r="AI728" s="5"/>
      <c r="AJ728" s="5"/>
    </row>
    <row r="729">
      <c r="A729" s="5"/>
      <c r="B729" s="5"/>
      <c r="C729" s="5"/>
      <c r="D729" s="5"/>
      <c r="E729" s="11"/>
      <c r="F729" s="12"/>
      <c r="G729" s="5"/>
      <c r="H729" s="12"/>
      <c r="I729" s="12"/>
      <c r="J729" s="12"/>
      <c r="K729" s="12"/>
      <c r="L729" s="12"/>
      <c r="M729" s="12"/>
      <c r="N729" s="5"/>
      <c r="O729" s="5"/>
      <c r="P729" s="5"/>
      <c r="Q729" s="5"/>
      <c r="R729" s="5"/>
      <c r="S729" s="5"/>
      <c r="T729" s="5"/>
      <c r="U729" s="12"/>
      <c r="V729" s="5"/>
      <c r="W729" s="11"/>
      <c r="X729" s="11"/>
      <c r="Y729" s="13"/>
      <c r="Z729" s="5"/>
      <c r="AA729" s="14"/>
      <c r="AB729" s="5"/>
      <c r="AC729" s="5"/>
      <c r="AD729" s="5"/>
      <c r="AE729" s="5"/>
      <c r="AF729" s="5"/>
      <c r="AG729" s="5"/>
      <c r="AH729" s="5"/>
      <c r="AI729" s="5"/>
      <c r="AJ729" s="5"/>
    </row>
    <row r="730">
      <c r="A730" s="5"/>
      <c r="B730" s="5"/>
      <c r="C730" s="5"/>
      <c r="D730" s="5"/>
      <c r="E730" s="11"/>
      <c r="F730" s="12"/>
      <c r="G730" s="5"/>
      <c r="H730" s="12"/>
      <c r="I730" s="12"/>
      <c r="J730" s="12"/>
      <c r="K730" s="12"/>
      <c r="L730" s="12"/>
      <c r="M730" s="12"/>
      <c r="N730" s="5"/>
      <c r="O730" s="5"/>
      <c r="P730" s="5"/>
      <c r="Q730" s="5"/>
      <c r="R730" s="5"/>
      <c r="S730" s="5"/>
      <c r="T730" s="5"/>
      <c r="U730" s="12"/>
      <c r="V730" s="5"/>
      <c r="W730" s="11"/>
      <c r="X730" s="11"/>
      <c r="Y730" s="13"/>
      <c r="Z730" s="5"/>
      <c r="AA730" s="14"/>
      <c r="AB730" s="5"/>
      <c r="AC730" s="5"/>
      <c r="AD730" s="5"/>
      <c r="AE730" s="5"/>
      <c r="AF730" s="5"/>
      <c r="AG730" s="5"/>
      <c r="AH730" s="5"/>
      <c r="AI730" s="5"/>
      <c r="AJ730" s="5"/>
    </row>
    <row r="731">
      <c r="A731" s="5"/>
      <c r="B731" s="5"/>
      <c r="C731" s="5"/>
      <c r="D731" s="5"/>
      <c r="E731" s="11"/>
      <c r="F731" s="12"/>
      <c r="G731" s="5"/>
      <c r="H731" s="12"/>
      <c r="I731" s="12"/>
      <c r="J731" s="12"/>
      <c r="K731" s="12"/>
      <c r="L731" s="12"/>
      <c r="M731" s="12"/>
      <c r="N731" s="5"/>
      <c r="O731" s="5"/>
      <c r="P731" s="5"/>
      <c r="Q731" s="5"/>
      <c r="R731" s="5"/>
      <c r="S731" s="5"/>
      <c r="T731" s="5"/>
      <c r="U731" s="12"/>
      <c r="V731" s="5"/>
      <c r="W731" s="11"/>
      <c r="X731" s="11"/>
      <c r="Y731" s="13"/>
      <c r="Z731" s="5"/>
      <c r="AA731" s="14"/>
      <c r="AB731" s="5"/>
      <c r="AC731" s="5"/>
      <c r="AD731" s="5"/>
      <c r="AE731" s="5"/>
      <c r="AF731" s="5"/>
      <c r="AG731" s="5"/>
      <c r="AH731" s="5"/>
      <c r="AI731" s="5"/>
      <c r="AJ731" s="5"/>
    </row>
    <row r="732">
      <c r="A732" s="5"/>
      <c r="B732" s="5"/>
      <c r="C732" s="5"/>
      <c r="D732" s="5"/>
      <c r="E732" s="11"/>
      <c r="F732" s="12"/>
      <c r="G732" s="5"/>
      <c r="H732" s="12"/>
      <c r="I732" s="12"/>
      <c r="J732" s="12"/>
      <c r="K732" s="12"/>
      <c r="L732" s="12"/>
      <c r="M732" s="12"/>
      <c r="N732" s="5"/>
      <c r="O732" s="5"/>
      <c r="P732" s="5"/>
      <c r="Q732" s="5"/>
      <c r="R732" s="5"/>
      <c r="S732" s="5"/>
      <c r="T732" s="5"/>
      <c r="U732" s="12"/>
      <c r="V732" s="5"/>
      <c r="W732" s="11"/>
      <c r="X732" s="11"/>
      <c r="Y732" s="13"/>
      <c r="Z732" s="5"/>
      <c r="AA732" s="14"/>
      <c r="AB732" s="5"/>
      <c r="AC732" s="5"/>
      <c r="AD732" s="5"/>
      <c r="AE732" s="5"/>
      <c r="AF732" s="5"/>
      <c r="AG732" s="5"/>
      <c r="AH732" s="5"/>
      <c r="AI732" s="5"/>
      <c r="AJ732" s="5"/>
    </row>
    <row r="733">
      <c r="A733" s="5"/>
      <c r="B733" s="5"/>
      <c r="C733" s="5"/>
      <c r="D733" s="5"/>
      <c r="E733" s="11"/>
      <c r="F733" s="12"/>
      <c r="G733" s="5"/>
      <c r="H733" s="12"/>
      <c r="I733" s="12"/>
      <c r="J733" s="12"/>
      <c r="K733" s="12"/>
      <c r="L733" s="12"/>
      <c r="M733" s="12"/>
      <c r="N733" s="5"/>
      <c r="O733" s="5"/>
      <c r="P733" s="5"/>
      <c r="Q733" s="5"/>
      <c r="R733" s="5"/>
      <c r="S733" s="5"/>
      <c r="T733" s="5"/>
      <c r="U733" s="12"/>
      <c r="V733" s="5"/>
      <c r="W733" s="11"/>
      <c r="X733" s="11"/>
      <c r="Y733" s="13"/>
      <c r="Z733" s="5"/>
      <c r="AA733" s="14"/>
      <c r="AB733" s="5"/>
      <c r="AC733" s="5"/>
      <c r="AD733" s="5"/>
      <c r="AE733" s="5"/>
      <c r="AF733" s="5"/>
      <c r="AG733" s="5"/>
      <c r="AH733" s="5"/>
      <c r="AI733" s="5"/>
      <c r="AJ733" s="5"/>
    </row>
    <row r="734">
      <c r="A734" s="5"/>
      <c r="B734" s="5"/>
      <c r="C734" s="5"/>
      <c r="D734" s="5"/>
      <c r="E734" s="11"/>
      <c r="F734" s="12"/>
      <c r="G734" s="5"/>
      <c r="H734" s="12"/>
      <c r="I734" s="12"/>
      <c r="J734" s="12"/>
      <c r="K734" s="12"/>
      <c r="L734" s="12"/>
      <c r="M734" s="12"/>
      <c r="N734" s="5"/>
      <c r="O734" s="5"/>
      <c r="P734" s="5"/>
      <c r="Q734" s="5"/>
      <c r="R734" s="5"/>
      <c r="S734" s="5"/>
      <c r="T734" s="5"/>
      <c r="U734" s="12"/>
      <c r="V734" s="5"/>
      <c r="W734" s="11"/>
      <c r="X734" s="11"/>
      <c r="Y734" s="13"/>
      <c r="Z734" s="5"/>
      <c r="AA734" s="14"/>
      <c r="AB734" s="5"/>
      <c r="AC734" s="5"/>
      <c r="AD734" s="5"/>
      <c r="AE734" s="5"/>
      <c r="AF734" s="5"/>
      <c r="AG734" s="5"/>
      <c r="AH734" s="5"/>
      <c r="AI734" s="5"/>
      <c r="AJ734" s="5"/>
    </row>
    <row r="735">
      <c r="A735" s="5"/>
      <c r="B735" s="5"/>
      <c r="C735" s="5"/>
      <c r="D735" s="5"/>
      <c r="E735" s="11"/>
      <c r="F735" s="12"/>
      <c r="G735" s="5"/>
      <c r="H735" s="12"/>
      <c r="I735" s="12"/>
      <c r="J735" s="12"/>
      <c r="K735" s="12"/>
      <c r="L735" s="12"/>
      <c r="M735" s="12"/>
      <c r="N735" s="5"/>
      <c r="O735" s="5"/>
      <c r="P735" s="5"/>
      <c r="Q735" s="5"/>
      <c r="R735" s="5"/>
      <c r="S735" s="5"/>
      <c r="T735" s="5"/>
      <c r="U735" s="12"/>
      <c r="V735" s="5"/>
      <c r="W735" s="11"/>
      <c r="X735" s="11"/>
      <c r="Y735" s="13"/>
      <c r="Z735" s="5"/>
      <c r="AA735" s="14"/>
      <c r="AB735" s="5"/>
      <c r="AC735" s="5"/>
      <c r="AD735" s="5"/>
      <c r="AE735" s="5"/>
      <c r="AF735" s="5"/>
      <c r="AG735" s="5"/>
      <c r="AH735" s="5"/>
      <c r="AI735" s="5"/>
      <c r="AJ735" s="5"/>
    </row>
    <row r="736">
      <c r="A736" s="5"/>
      <c r="B736" s="5"/>
      <c r="C736" s="5"/>
      <c r="D736" s="5"/>
      <c r="E736" s="11"/>
      <c r="F736" s="12"/>
      <c r="G736" s="5"/>
      <c r="H736" s="12"/>
      <c r="I736" s="12"/>
      <c r="J736" s="12"/>
      <c r="K736" s="12"/>
      <c r="L736" s="12"/>
      <c r="M736" s="12"/>
      <c r="N736" s="5"/>
      <c r="O736" s="5"/>
      <c r="P736" s="5"/>
      <c r="Q736" s="5"/>
      <c r="R736" s="5"/>
      <c r="S736" s="5"/>
      <c r="T736" s="5"/>
      <c r="U736" s="12"/>
      <c r="V736" s="5"/>
      <c r="W736" s="11"/>
      <c r="X736" s="11"/>
      <c r="Y736" s="13"/>
      <c r="Z736" s="5"/>
      <c r="AA736" s="14"/>
      <c r="AB736" s="5"/>
      <c r="AC736" s="5"/>
      <c r="AD736" s="5"/>
      <c r="AE736" s="5"/>
      <c r="AF736" s="5"/>
      <c r="AG736" s="5"/>
      <c r="AH736" s="5"/>
      <c r="AI736" s="5"/>
      <c r="AJ736" s="5"/>
    </row>
    <row r="737">
      <c r="A737" s="5"/>
      <c r="B737" s="5"/>
      <c r="C737" s="5"/>
      <c r="D737" s="5"/>
      <c r="E737" s="11"/>
      <c r="F737" s="12"/>
      <c r="G737" s="5"/>
      <c r="H737" s="12"/>
      <c r="I737" s="12"/>
      <c r="J737" s="12"/>
      <c r="K737" s="12"/>
      <c r="L737" s="12"/>
      <c r="M737" s="12"/>
      <c r="N737" s="5"/>
      <c r="O737" s="5"/>
      <c r="P737" s="5"/>
      <c r="Q737" s="5"/>
      <c r="R737" s="5"/>
      <c r="S737" s="5"/>
      <c r="T737" s="5"/>
      <c r="U737" s="12"/>
      <c r="V737" s="5"/>
      <c r="W737" s="11"/>
      <c r="X737" s="11"/>
      <c r="Y737" s="13"/>
      <c r="Z737" s="5"/>
      <c r="AA737" s="14"/>
      <c r="AB737" s="5"/>
      <c r="AC737" s="5"/>
      <c r="AD737" s="5"/>
      <c r="AE737" s="5"/>
      <c r="AF737" s="5"/>
      <c r="AG737" s="5"/>
      <c r="AH737" s="5"/>
      <c r="AI737" s="5"/>
      <c r="AJ737" s="5"/>
    </row>
    <row r="738">
      <c r="A738" s="5"/>
      <c r="B738" s="5"/>
      <c r="C738" s="5"/>
      <c r="D738" s="5"/>
      <c r="E738" s="11"/>
      <c r="F738" s="12"/>
      <c r="G738" s="5"/>
      <c r="H738" s="12"/>
      <c r="I738" s="12"/>
      <c r="J738" s="12"/>
      <c r="K738" s="12"/>
      <c r="L738" s="12"/>
      <c r="M738" s="12"/>
      <c r="N738" s="5"/>
      <c r="O738" s="5"/>
      <c r="P738" s="5"/>
      <c r="Q738" s="5"/>
      <c r="R738" s="5"/>
      <c r="S738" s="5"/>
      <c r="T738" s="5"/>
      <c r="U738" s="12"/>
      <c r="V738" s="5"/>
      <c r="W738" s="11"/>
      <c r="X738" s="11"/>
      <c r="Y738" s="13"/>
      <c r="Z738" s="5"/>
      <c r="AA738" s="14"/>
      <c r="AB738" s="5"/>
      <c r="AC738" s="5"/>
      <c r="AD738" s="5"/>
      <c r="AE738" s="5"/>
      <c r="AF738" s="5"/>
      <c r="AG738" s="5"/>
      <c r="AH738" s="5"/>
      <c r="AI738" s="5"/>
      <c r="AJ738" s="5"/>
    </row>
    <row r="739">
      <c r="A739" s="5"/>
      <c r="B739" s="5"/>
      <c r="C739" s="5"/>
      <c r="D739" s="5"/>
      <c r="E739" s="11"/>
      <c r="F739" s="12"/>
      <c r="G739" s="5"/>
      <c r="H739" s="12"/>
      <c r="I739" s="12"/>
      <c r="J739" s="12"/>
      <c r="K739" s="12"/>
      <c r="L739" s="12"/>
      <c r="M739" s="12"/>
      <c r="N739" s="5"/>
      <c r="O739" s="5"/>
      <c r="P739" s="5"/>
      <c r="Q739" s="5"/>
      <c r="R739" s="5"/>
      <c r="S739" s="5"/>
      <c r="T739" s="5"/>
      <c r="U739" s="12"/>
      <c r="V739" s="5"/>
      <c r="W739" s="11"/>
      <c r="X739" s="11"/>
      <c r="Y739" s="13"/>
      <c r="Z739" s="5"/>
      <c r="AA739" s="14"/>
      <c r="AB739" s="5"/>
      <c r="AC739" s="5"/>
      <c r="AD739" s="5"/>
      <c r="AE739" s="5"/>
      <c r="AF739" s="5"/>
      <c r="AG739" s="5"/>
      <c r="AH739" s="5"/>
      <c r="AI739" s="5"/>
      <c r="AJ739" s="5"/>
    </row>
    <row r="740">
      <c r="A740" s="5"/>
      <c r="B740" s="5"/>
      <c r="C740" s="5"/>
      <c r="D740" s="5"/>
      <c r="E740" s="11"/>
      <c r="F740" s="12"/>
      <c r="G740" s="5"/>
      <c r="H740" s="12"/>
      <c r="I740" s="12"/>
      <c r="J740" s="12"/>
      <c r="K740" s="12"/>
      <c r="L740" s="12"/>
      <c r="M740" s="12"/>
      <c r="N740" s="5"/>
      <c r="O740" s="5"/>
      <c r="P740" s="5"/>
      <c r="Q740" s="5"/>
      <c r="R740" s="5"/>
      <c r="S740" s="5"/>
      <c r="T740" s="5"/>
      <c r="U740" s="12"/>
      <c r="V740" s="5"/>
      <c r="W740" s="11"/>
      <c r="X740" s="11"/>
      <c r="Y740" s="13"/>
      <c r="Z740" s="5"/>
      <c r="AA740" s="14"/>
      <c r="AB740" s="5"/>
      <c r="AC740" s="5"/>
      <c r="AD740" s="5"/>
      <c r="AE740" s="5"/>
      <c r="AF740" s="5"/>
      <c r="AG740" s="5"/>
      <c r="AH740" s="5"/>
      <c r="AI740" s="5"/>
      <c r="AJ740" s="5"/>
    </row>
    <row r="741">
      <c r="A741" s="5"/>
      <c r="B741" s="5"/>
      <c r="C741" s="5"/>
      <c r="D741" s="5"/>
      <c r="E741" s="11"/>
      <c r="F741" s="12"/>
      <c r="G741" s="5"/>
      <c r="H741" s="12"/>
      <c r="I741" s="12"/>
      <c r="J741" s="12"/>
      <c r="K741" s="12"/>
      <c r="L741" s="12"/>
      <c r="M741" s="12"/>
      <c r="N741" s="5"/>
      <c r="O741" s="5"/>
      <c r="P741" s="5"/>
      <c r="Q741" s="5"/>
      <c r="R741" s="5"/>
      <c r="S741" s="5"/>
      <c r="T741" s="5"/>
      <c r="U741" s="12"/>
      <c r="V741" s="5"/>
      <c r="W741" s="11"/>
      <c r="X741" s="11"/>
      <c r="Y741" s="13"/>
      <c r="Z741" s="5"/>
      <c r="AA741" s="14"/>
      <c r="AB741" s="5"/>
      <c r="AC741" s="5"/>
      <c r="AD741" s="5"/>
      <c r="AE741" s="5"/>
      <c r="AF741" s="5"/>
      <c r="AG741" s="5"/>
      <c r="AH741" s="5"/>
      <c r="AI741" s="5"/>
      <c r="AJ741" s="5"/>
    </row>
    <row r="742">
      <c r="A742" s="5"/>
      <c r="B742" s="5"/>
      <c r="C742" s="5"/>
      <c r="D742" s="5"/>
      <c r="E742" s="11"/>
      <c r="F742" s="12"/>
      <c r="G742" s="5"/>
      <c r="H742" s="12"/>
      <c r="I742" s="12"/>
      <c r="J742" s="12"/>
      <c r="K742" s="12"/>
      <c r="L742" s="12"/>
      <c r="M742" s="12"/>
      <c r="N742" s="5"/>
      <c r="O742" s="5"/>
      <c r="P742" s="5"/>
      <c r="Q742" s="5"/>
      <c r="R742" s="5"/>
      <c r="S742" s="5"/>
      <c r="T742" s="5"/>
      <c r="U742" s="12"/>
      <c r="V742" s="5"/>
      <c r="W742" s="11"/>
      <c r="X742" s="11"/>
      <c r="Y742" s="13"/>
      <c r="Z742" s="5"/>
      <c r="AA742" s="14"/>
      <c r="AB742" s="5"/>
      <c r="AC742" s="5"/>
      <c r="AD742" s="5"/>
      <c r="AE742" s="5"/>
      <c r="AF742" s="5"/>
      <c r="AG742" s="5"/>
      <c r="AH742" s="5"/>
      <c r="AI742" s="5"/>
      <c r="AJ742" s="5"/>
    </row>
    <row r="743">
      <c r="A743" s="5"/>
      <c r="B743" s="5"/>
      <c r="C743" s="5"/>
      <c r="D743" s="5"/>
      <c r="E743" s="11"/>
      <c r="F743" s="12"/>
      <c r="G743" s="5"/>
      <c r="H743" s="12"/>
      <c r="I743" s="12"/>
      <c r="J743" s="12"/>
      <c r="K743" s="12"/>
      <c r="L743" s="12"/>
      <c r="M743" s="12"/>
      <c r="N743" s="5"/>
      <c r="O743" s="5"/>
      <c r="P743" s="5"/>
      <c r="Q743" s="5"/>
      <c r="R743" s="5"/>
      <c r="S743" s="5"/>
      <c r="T743" s="5"/>
      <c r="U743" s="12"/>
      <c r="V743" s="5"/>
      <c r="W743" s="11"/>
      <c r="X743" s="11"/>
      <c r="Y743" s="13"/>
      <c r="Z743" s="5"/>
      <c r="AA743" s="14"/>
      <c r="AB743" s="5"/>
      <c r="AC743" s="5"/>
      <c r="AD743" s="5"/>
      <c r="AE743" s="5"/>
      <c r="AF743" s="5"/>
      <c r="AG743" s="5"/>
      <c r="AH743" s="5"/>
      <c r="AI743" s="5"/>
      <c r="AJ743" s="5"/>
    </row>
    <row r="744">
      <c r="A744" s="5"/>
      <c r="B744" s="5"/>
      <c r="C744" s="5"/>
      <c r="D744" s="5"/>
      <c r="E744" s="11"/>
      <c r="F744" s="12"/>
      <c r="G744" s="5"/>
      <c r="H744" s="12"/>
      <c r="I744" s="12"/>
      <c r="J744" s="12"/>
      <c r="K744" s="12"/>
      <c r="L744" s="12"/>
      <c r="M744" s="12"/>
      <c r="N744" s="5"/>
      <c r="O744" s="5"/>
      <c r="P744" s="5"/>
      <c r="Q744" s="5"/>
      <c r="R744" s="5"/>
      <c r="S744" s="5"/>
      <c r="T744" s="5"/>
      <c r="U744" s="12"/>
      <c r="V744" s="5"/>
      <c r="W744" s="11"/>
      <c r="X744" s="11"/>
      <c r="Y744" s="13"/>
      <c r="Z744" s="5"/>
      <c r="AA744" s="14"/>
      <c r="AB744" s="5"/>
      <c r="AC744" s="5"/>
      <c r="AD744" s="5"/>
      <c r="AE744" s="5"/>
      <c r="AF744" s="5"/>
      <c r="AG744" s="5"/>
      <c r="AH744" s="5"/>
      <c r="AI744" s="5"/>
      <c r="AJ744" s="5"/>
    </row>
    <row r="745">
      <c r="A745" s="5"/>
      <c r="B745" s="5"/>
      <c r="C745" s="5"/>
      <c r="D745" s="5"/>
      <c r="E745" s="11"/>
      <c r="F745" s="12"/>
      <c r="G745" s="5"/>
      <c r="H745" s="12"/>
      <c r="I745" s="12"/>
      <c r="J745" s="12"/>
      <c r="K745" s="12"/>
      <c r="L745" s="12"/>
      <c r="M745" s="12"/>
      <c r="N745" s="5"/>
      <c r="O745" s="5"/>
      <c r="P745" s="5"/>
      <c r="Q745" s="5"/>
      <c r="R745" s="5"/>
      <c r="S745" s="5"/>
      <c r="T745" s="5"/>
      <c r="U745" s="12"/>
      <c r="V745" s="5"/>
      <c r="W745" s="11"/>
      <c r="X745" s="11"/>
      <c r="Y745" s="13"/>
      <c r="Z745" s="5"/>
      <c r="AA745" s="14"/>
      <c r="AB745" s="5"/>
      <c r="AC745" s="5"/>
      <c r="AD745" s="5"/>
      <c r="AE745" s="5"/>
      <c r="AF745" s="5"/>
      <c r="AG745" s="5"/>
      <c r="AH745" s="5"/>
      <c r="AI745" s="5"/>
      <c r="AJ745" s="5"/>
    </row>
    <row r="746">
      <c r="A746" s="5"/>
      <c r="B746" s="5"/>
      <c r="C746" s="5"/>
      <c r="D746" s="5"/>
      <c r="E746" s="11"/>
      <c r="F746" s="12"/>
      <c r="G746" s="5"/>
      <c r="H746" s="12"/>
      <c r="I746" s="12"/>
      <c r="J746" s="12"/>
      <c r="K746" s="12"/>
      <c r="L746" s="12"/>
      <c r="M746" s="12"/>
      <c r="N746" s="5"/>
      <c r="O746" s="5"/>
      <c r="P746" s="5"/>
      <c r="Q746" s="5"/>
      <c r="R746" s="5"/>
      <c r="S746" s="5"/>
      <c r="T746" s="5"/>
      <c r="U746" s="12"/>
      <c r="V746" s="5"/>
      <c r="W746" s="11"/>
      <c r="X746" s="11"/>
      <c r="Y746" s="13"/>
      <c r="Z746" s="5"/>
      <c r="AA746" s="14"/>
      <c r="AB746" s="5"/>
      <c r="AC746" s="5"/>
      <c r="AD746" s="5"/>
      <c r="AE746" s="5"/>
      <c r="AF746" s="5"/>
      <c r="AG746" s="5"/>
      <c r="AH746" s="5"/>
      <c r="AI746" s="5"/>
      <c r="AJ746" s="5"/>
    </row>
    <row r="747">
      <c r="A747" s="5"/>
      <c r="B747" s="5"/>
      <c r="C747" s="5"/>
      <c r="D747" s="5"/>
      <c r="E747" s="11"/>
      <c r="F747" s="12"/>
      <c r="G747" s="5"/>
      <c r="H747" s="12"/>
      <c r="I747" s="12"/>
      <c r="J747" s="12"/>
      <c r="K747" s="12"/>
      <c r="L747" s="12"/>
      <c r="M747" s="12"/>
      <c r="N747" s="5"/>
      <c r="O747" s="5"/>
      <c r="P747" s="5"/>
      <c r="Q747" s="5"/>
      <c r="R747" s="5"/>
      <c r="S747" s="5"/>
      <c r="T747" s="5"/>
      <c r="U747" s="12"/>
      <c r="V747" s="5"/>
      <c r="W747" s="11"/>
      <c r="X747" s="11"/>
      <c r="Y747" s="13"/>
      <c r="Z747" s="5"/>
      <c r="AA747" s="14"/>
      <c r="AB747" s="5"/>
      <c r="AC747" s="5"/>
      <c r="AD747" s="5"/>
      <c r="AE747" s="5"/>
      <c r="AF747" s="5"/>
      <c r="AG747" s="5"/>
      <c r="AH747" s="5"/>
      <c r="AI747" s="5"/>
      <c r="AJ747" s="5"/>
    </row>
    <row r="748">
      <c r="A748" s="5"/>
      <c r="B748" s="5"/>
      <c r="C748" s="5"/>
      <c r="D748" s="5"/>
      <c r="E748" s="11"/>
      <c r="F748" s="12"/>
      <c r="G748" s="5"/>
      <c r="H748" s="12"/>
      <c r="I748" s="12"/>
      <c r="J748" s="12"/>
      <c r="K748" s="12"/>
      <c r="L748" s="12"/>
      <c r="M748" s="12"/>
      <c r="N748" s="5"/>
      <c r="O748" s="5"/>
      <c r="P748" s="5"/>
      <c r="Q748" s="5"/>
      <c r="R748" s="5"/>
      <c r="S748" s="5"/>
      <c r="T748" s="5"/>
      <c r="U748" s="12"/>
      <c r="V748" s="5"/>
      <c r="W748" s="11"/>
      <c r="X748" s="11"/>
      <c r="Y748" s="13"/>
      <c r="Z748" s="5"/>
      <c r="AA748" s="14"/>
      <c r="AB748" s="5"/>
      <c r="AC748" s="5"/>
      <c r="AD748" s="5"/>
      <c r="AE748" s="5"/>
      <c r="AF748" s="5"/>
      <c r="AG748" s="5"/>
      <c r="AH748" s="5"/>
      <c r="AI748" s="5"/>
      <c r="AJ748" s="5"/>
    </row>
    <row r="749">
      <c r="A749" s="5"/>
      <c r="B749" s="5"/>
      <c r="C749" s="5"/>
      <c r="D749" s="5"/>
      <c r="E749" s="11"/>
      <c r="F749" s="12"/>
      <c r="G749" s="5"/>
      <c r="H749" s="12"/>
      <c r="I749" s="12"/>
      <c r="J749" s="12"/>
      <c r="K749" s="12"/>
      <c r="L749" s="12"/>
      <c r="M749" s="12"/>
      <c r="N749" s="5"/>
      <c r="O749" s="5"/>
      <c r="P749" s="5"/>
      <c r="Q749" s="5"/>
      <c r="R749" s="5"/>
      <c r="S749" s="5"/>
      <c r="T749" s="5"/>
      <c r="U749" s="12"/>
      <c r="V749" s="5"/>
      <c r="W749" s="11"/>
      <c r="X749" s="11"/>
      <c r="Y749" s="13"/>
      <c r="Z749" s="5"/>
      <c r="AA749" s="14"/>
      <c r="AB749" s="5"/>
      <c r="AC749" s="5"/>
      <c r="AD749" s="5"/>
      <c r="AE749" s="5"/>
      <c r="AF749" s="5"/>
      <c r="AG749" s="5"/>
      <c r="AH749" s="5"/>
      <c r="AI749" s="5"/>
      <c r="AJ749" s="5"/>
    </row>
    <row r="750">
      <c r="A750" s="5"/>
      <c r="B750" s="5"/>
      <c r="C750" s="5"/>
      <c r="D750" s="5"/>
      <c r="E750" s="11"/>
      <c r="F750" s="12"/>
      <c r="G750" s="5"/>
      <c r="H750" s="12"/>
      <c r="I750" s="12"/>
      <c r="J750" s="12"/>
      <c r="K750" s="12"/>
      <c r="L750" s="12"/>
      <c r="M750" s="12"/>
      <c r="N750" s="5"/>
      <c r="O750" s="5"/>
      <c r="P750" s="5"/>
      <c r="Q750" s="5"/>
      <c r="R750" s="5"/>
      <c r="S750" s="5"/>
      <c r="T750" s="5"/>
      <c r="U750" s="12"/>
      <c r="V750" s="5"/>
      <c r="W750" s="11"/>
      <c r="X750" s="11"/>
      <c r="Y750" s="13"/>
      <c r="Z750" s="5"/>
      <c r="AA750" s="14"/>
      <c r="AB750" s="5"/>
      <c r="AC750" s="5"/>
      <c r="AD750" s="5"/>
      <c r="AE750" s="5"/>
      <c r="AF750" s="5"/>
      <c r="AG750" s="5"/>
      <c r="AH750" s="5"/>
      <c r="AI750" s="5"/>
      <c r="AJ750" s="5"/>
    </row>
    <row r="751">
      <c r="A751" s="5"/>
      <c r="B751" s="5"/>
      <c r="C751" s="5"/>
      <c r="D751" s="5"/>
      <c r="E751" s="11"/>
      <c r="F751" s="12"/>
      <c r="G751" s="5"/>
      <c r="H751" s="12"/>
      <c r="I751" s="12"/>
      <c r="J751" s="12"/>
      <c r="K751" s="12"/>
      <c r="L751" s="12"/>
      <c r="M751" s="12"/>
      <c r="N751" s="5"/>
      <c r="O751" s="5"/>
      <c r="P751" s="5"/>
      <c r="Q751" s="5"/>
      <c r="R751" s="5"/>
      <c r="S751" s="5"/>
      <c r="T751" s="5"/>
      <c r="U751" s="12"/>
      <c r="V751" s="5"/>
      <c r="W751" s="11"/>
      <c r="X751" s="11"/>
      <c r="Y751" s="13"/>
      <c r="Z751" s="5"/>
      <c r="AA751" s="14"/>
      <c r="AB751" s="5"/>
      <c r="AC751" s="5"/>
      <c r="AD751" s="5"/>
      <c r="AE751" s="5"/>
      <c r="AF751" s="5"/>
      <c r="AG751" s="5"/>
      <c r="AH751" s="5"/>
      <c r="AI751" s="5"/>
      <c r="AJ751" s="5"/>
    </row>
    <row r="752">
      <c r="A752" s="5"/>
      <c r="B752" s="5"/>
      <c r="C752" s="5"/>
      <c r="D752" s="5"/>
      <c r="E752" s="11"/>
      <c r="F752" s="12"/>
      <c r="G752" s="5"/>
      <c r="H752" s="12"/>
      <c r="I752" s="12"/>
      <c r="J752" s="12"/>
      <c r="K752" s="12"/>
      <c r="L752" s="12"/>
      <c r="M752" s="12"/>
      <c r="N752" s="5"/>
      <c r="O752" s="5"/>
      <c r="P752" s="5"/>
      <c r="Q752" s="5"/>
      <c r="R752" s="5"/>
      <c r="S752" s="5"/>
      <c r="T752" s="5"/>
      <c r="U752" s="12"/>
      <c r="V752" s="5"/>
      <c r="W752" s="11"/>
      <c r="X752" s="11"/>
      <c r="Y752" s="13"/>
      <c r="Z752" s="5"/>
      <c r="AA752" s="14"/>
      <c r="AB752" s="5"/>
      <c r="AC752" s="5"/>
      <c r="AD752" s="5"/>
      <c r="AE752" s="5"/>
      <c r="AF752" s="5"/>
      <c r="AG752" s="5"/>
      <c r="AH752" s="5"/>
      <c r="AI752" s="5"/>
      <c r="AJ752" s="5"/>
    </row>
    <row r="753">
      <c r="A753" s="5"/>
      <c r="B753" s="5"/>
      <c r="C753" s="5"/>
      <c r="D753" s="5"/>
      <c r="E753" s="11"/>
      <c r="F753" s="12"/>
      <c r="G753" s="5"/>
      <c r="H753" s="12"/>
      <c r="I753" s="12"/>
      <c r="J753" s="12"/>
      <c r="K753" s="12"/>
      <c r="L753" s="12"/>
      <c r="M753" s="12"/>
      <c r="N753" s="5"/>
      <c r="O753" s="5"/>
      <c r="P753" s="5"/>
      <c r="Q753" s="5"/>
      <c r="R753" s="5"/>
      <c r="S753" s="5"/>
      <c r="T753" s="5"/>
      <c r="U753" s="12"/>
      <c r="V753" s="5"/>
      <c r="W753" s="11"/>
      <c r="X753" s="11"/>
      <c r="Y753" s="13"/>
      <c r="Z753" s="5"/>
      <c r="AA753" s="14"/>
      <c r="AB753" s="5"/>
      <c r="AC753" s="5"/>
      <c r="AD753" s="5"/>
      <c r="AE753" s="5"/>
      <c r="AF753" s="5"/>
      <c r="AG753" s="5"/>
      <c r="AH753" s="5"/>
      <c r="AI753" s="5"/>
      <c r="AJ753" s="5"/>
    </row>
    <row r="754">
      <c r="A754" s="5"/>
      <c r="B754" s="5"/>
      <c r="C754" s="5"/>
      <c r="D754" s="5"/>
      <c r="E754" s="11"/>
      <c r="F754" s="12"/>
      <c r="G754" s="5"/>
      <c r="H754" s="12"/>
      <c r="I754" s="12"/>
      <c r="J754" s="12"/>
      <c r="K754" s="12"/>
      <c r="L754" s="12"/>
      <c r="M754" s="12"/>
      <c r="N754" s="5"/>
      <c r="O754" s="5"/>
      <c r="P754" s="5"/>
      <c r="Q754" s="5"/>
      <c r="R754" s="5"/>
      <c r="S754" s="5"/>
      <c r="T754" s="5"/>
      <c r="U754" s="12"/>
      <c r="V754" s="5"/>
      <c r="W754" s="11"/>
      <c r="X754" s="11"/>
      <c r="Y754" s="13"/>
      <c r="Z754" s="5"/>
      <c r="AA754" s="14"/>
      <c r="AB754" s="5"/>
      <c r="AC754" s="5"/>
      <c r="AD754" s="5"/>
      <c r="AE754" s="5"/>
      <c r="AF754" s="5"/>
      <c r="AG754" s="5"/>
      <c r="AH754" s="5"/>
      <c r="AI754" s="5"/>
      <c r="AJ754" s="5"/>
    </row>
    <row r="755">
      <c r="A755" s="5"/>
      <c r="B755" s="5"/>
      <c r="C755" s="5"/>
      <c r="D755" s="5"/>
      <c r="E755" s="11"/>
      <c r="F755" s="12"/>
      <c r="G755" s="5"/>
      <c r="H755" s="12"/>
      <c r="I755" s="12"/>
      <c r="J755" s="12"/>
      <c r="K755" s="12"/>
      <c r="L755" s="12"/>
      <c r="M755" s="12"/>
      <c r="N755" s="5"/>
      <c r="O755" s="5"/>
      <c r="P755" s="5"/>
      <c r="Q755" s="5"/>
      <c r="R755" s="5"/>
      <c r="S755" s="5"/>
      <c r="T755" s="5"/>
      <c r="U755" s="12"/>
      <c r="V755" s="5"/>
      <c r="W755" s="11"/>
      <c r="X755" s="11"/>
      <c r="Y755" s="13"/>
      <c r="Z755" s="5"/>
      <c r="AA755" s="14"/>
      <c r="AB755" s="5"/>
      <c r="AC755" s="5"/>
      <c r="AD755" s="5"/>
      <c r="AE755" s="5"/>
      <c r="AF755" s="5"/>
      <c r="AG755" s="5"/>
      <c r="AH755" s="5"/>
      <c r="AI755" s="5"/>
      <c r="AJ755" s="5"/>
    </row>
    <row r="756">
      <c r="A756" s="5"/>
      <c r="B756" s="5"/>
      <c r="C756" s="5"/>
      <c r="D756" s="5"/>
      <c r="E756" s="11"/>
      <c r="F756" s="12"/>
      <c r="G756" s="5"/>
      <c r="H756" s="12"/>
      <c r="I756" s="12"/>
      <c r="J756" s="12"/>
      <c r="K756" s="12"/>
      <c r="L756" s="12"/>
      <c r="M756" s="12"/>
      <c r="N756" s="5"/>
      <c r="O756" s="5"/>
      <c r="P756" s="5"/>
      <c r="Q756" s="5"/>
      <c r="R756" s="5"/>
      <c r="S756" s="5"/>
      <c r="T756" s="5"/>
      <c r="U756" s="12"/>
      <c r="V756" s="5"/>
      <c r="W756" s="11"/>
      <c r="X756" s="11"/>
      <c r="Y756" s="13"/>
      <c r="Z756" s="5"/>
      <c r="AA756" s="14"/>
      <c r="AB756" s="5"/>
      <c r="AC756" s="5"/>
      <c r="AD756" s="5"/>
      <c r="AE756" s="5"/>
      <c r="AF756" s="5"/>
      <c r="AG756" s="5"/>
      <c r="AH756" s="5"/>
      <c r="AI756" s="5"/>
      <c r="AJ756" s="5"/>
    </row>
    <row r="757">
      <c r="A757" s="5"/>
      <c r="B757" s="5"/>
      <c r="C757" s="5"/>
      <c r="D757" s="5"/>
      <c r="E757" s="11"/>
      <c r="F757" s="12"/>
      <c r="G757" s="5"/>
      <c r="H757" s="12"/>
      <c r="I757" s="12"/>
      <c r="J757" s="12"/>
      <c r="K757" s="12"/>
      <c r="L757" s="12"/>
      <c r="M757" s="12"/>
      <c r="N757" s="5"/>
      <c r="O757" s="5"/>
      <c r="P757" s="5"/>
      <c r="Q757" s="5"/>
      <c r="R757" s="5"/>
      <c r="S757" s="5"/>
      <c r="T757" s="5"/>
      <c r="U757" s="12"/>
      <c r="V757" s="5"/>
      <c r="W757" s="11"/>
      <c r="X757" s="11"/>
      <c r="Y757" s="13"/>
      <c r="Z757" s="5"/>
      <c r="AA757" s="14"/>
      <c r="AB757" s="5"/>
      <c r="AC757" s="5"/>
      <c r="AD757" s="5"/>
      <c r="AE757" s="5"/>
      <c r="AF757" s="5"/>
      <c r="AG757" s="5"/>
      <c r="AH757" s="5"/>
      <c r="AI757" s="5"/>
      <c r="AJ757" s="5"/>
    </row>
    <row r="758">
      <c r="A758" s="5"/>
      <c r="B758" s="5"/>
      <c r="C758" s="5"/>
      <c r="D758" s="5"/>
      <c r="E758" s="11"/>
      <c r="F758" s="12"/>
      <c r="G758" s="5"/>
      <c r="H758" s="12"/>
      <c r="I758" s="12"/>
      <c r="J758" s="12"/>
      <c r="K758" s="12"/>
      <c r="L758" s="12"/>
      <c r="M758" s="12"/>
      <c r="N758" s="5"/>
      <c r="O758" s="5"/>
      <c r="P758" s="5"/>
      <c r="Q758" s="5"/>
      <c r="R758" s="5"/>
      <c r="S758" s="5"/>
      <c r="T758" s="5"/>
      <c r="U758" s="12"/>
      <c r="V758" s="5"/>
      <c r="W758" s="11"/>
      <c r="X758" s="11"/>
      <c r="Y758" s="13"/>
      <c r="Z758" s="5"/>
      <c r="AA758" s="14"/>
      <c r="AB758" s="5"/>
      <c r="AC758" s="5"/>
      <c r="AD758" s="5"/>
      <c r="AE758" s="5"/>
      <c r="AF758" s="5"/>
      <c r="AG758" s="5"/>
      <c r="AH758" s="5"/>
      <c r="AI758" s="5"/>
      <c r="AJ758" s="5"/>
    </row>
    <row r="759">
      <c r="A759" s="5"/>
      <c r="B759" s="5"/>
      <c r="C759" s="5"/>
      <c r="D759" s="5"/>
      <c r="E759" s="11"/>
      <c r="F759" s="12"/>
      <c r="G759" s="5"/>
      <c r="H759" s="12"/>
      <c r="I759" s="12"/>
      <c r="J759" s="12"/>
      <c r="K759" s="12"/>
      <c r="L759" s="12"/>
      <c r="M759" s="12"/>
      <c r="N759" s="5"/>
      <c r="O759" s="5"/>
      <c r="P759" s="5"/>
      <c r="Q759" s="5"/>
      <c r="R759" s="5"/>
      <c r="S759" s="5"/>
      <c r="T759" s="5"/>
      <c r="U759" s="12"/>
      <c r="V759" s="5"/>
      <c r="W759" s="11"/>
      <c r="X759" s="11"/>
      <c r="Y759" s="13"/>
      <c r="Z759" s="5"/>
      <c r="AA759" s="14"/>
      <c r="AB759" s="5"/>
      <c r="AC759" s="5"/>
      <c r="AD759" s="5"/>
      <c r="AE759" s="5"/>
      <c r="AF759" s="5"/>
      <c r="AG759" s="5"/>
      <c r="AH759" s="5"/>
      <c r="AI759" s="5"/>
      <c r="AJ759" s="5"/>
    </row>
    <row r="760">
      <c r="A760" s="5"/>
      <c r="B760" s="5"/>
      <c r="C760" s="5"/>
      <c r="D760" s="5"/>
      <c r="E760" s="11"/>
      <c r="F760" s="12"/>
      <c r="G760" s="5"/>
      <c r="H760" s="12"/>
      <c r="I760" s="12"/>
      <c r="J760" s="12"/>
      <c r="K760" s="12"/>
      <c r="L760" s="12"/>
      <c r="M760" s="12"/>
      <c r="N760" s="5"/>
      <c r="O760" s="5"/>
      <c r="P760" s="5"/>
      <c r="Q760" s="5"/>
      <c r="R760" s="5"/>
      <c r="S760" s="5"/>
      <c r="T760" s="5"/>
      <c r="U760" s="12"/>
      <c r="V760" s="5"/>
      <c r="W760" s="11"/>
      <c r="X760" s="11"/>
      <c r="Y760" s="13"/>
      <c r="Z760" s="5"/>
      <c r="AA760" s="14"/>
      <c r="AB760" s="5"/>
      <c r="AC760" s="5"/>
      <c r="AD760" s="5"/>
      <c r="AE760" s="5"/>
      <c r="AF760" s="5"/>
      <c r="AG760" s="5"/>
      <c r="AH760" s="5"/>
      <c r="AI760" s="5"/>
      <c r="AJ760" s="5"/>
    </row>
    <row r="761">
      <c r="A761" s="5"/>
      <c r="B761" s="5"/>
      <c r="C761" s="5"/>
      <c r="D761" s="5"/>
      <c r="E761" s="11"/>
      <c r="F761" s="12"/>
      <c r="G761" s="5"/>
      <c r="H761" s="12"/>
      <c r="I761" s="12"/>
      <c r="J761" s="12"/>
      <c r="K761" s="12"/>
      <c r="L761" s="12"/>
      <c r="M761" s="12"/>
      <c r="N761" s="5"/>
      <c r="O761" s="5"/>
      <c r="P761" s="5"/>
      <c r="Q761" s="5"/>
      <c r="R761" s="5"/>
      <c r="S761" s="5"/>
      <c r="T761" s="5"/>
      <c r="U761" s="12"/>
      <c r="V761" s="5"/>
      <c r="W761" s="11"/>
      <c r="X761" s="11"/>
      <c r="Y761" s="13"/>
      <c r="Z761" s="5"/>
      <c r="AA761" s="14"/>
      <c r="AB761" s="5"/>
      <c r="AC761" s="5"/>
      <c r="AD761" s="5"/>
      <c r="AE761" s="5"/>
      <c r="AF761" s="5"/>
      <c r="AG761" s="5"/>
      <c r="AH761" s="5"/>
      <c r="AI761" s="5"/>
      <c r="AJ761" s="5"/>
    </row>
    <row r="762">
      <c r="A762" s="5"/>
      <c r="B762" s="5"/>
      <c r="C762" s="5"/>
      <c r="D762" s="5"/>
      <c r="E762" s="11"/>
      <c r="F762" s="12"/>
      <c r="G762" s="5"/>
      <c r="H762" s="12"/>
      <c r="I762" s="12"/>
      <c r="J762" s="12"/>
      <c r="K762" s="12"/>
      <c r="L762" s="12"/>
      <c r="M762" s="12"/>
      <c r="N762" s="5"/>
      <c r="O762" s="5"/>
      <c r="P762" s="5"/>
      <c r="Q762" s="5"/>
      <c r="R762" s="5"/>
      <c r="S762" s="5"/>
      <c r="T762" s="5"/>
      <c r="U762" s="12"/>
      <c r="V762" s="5"/>
      <c r="W762" s="11"/>
      <c r="X762" s="11"/>
      <c r="Y762" s="13"/>
      <c r="Z762" s="5"/>
      <c r="AA762" s="14"/>
      <c r="AB762" s="5"/>
      <c r="AC762" s="5"/>
      <c r="AD762" s="5"/>
      <c r="AE762" s="5"/>
      <c r="AF762" s="5"/>
      <c r="AG762" s="5"/>
      <c r="AH762" s="5"/>
      <c r="AI762" s="5"/>
      <c r="AJ762" s="5"/>
    </row>
    <row r="763">
      <c r="A763" s="5"/>
      <c r="B763" s="5"/>
      <c r="C763" s="5"/>
      <c r="D763" s="5"/>
      <c r="E763" s="11"/>
      <c r="F763" s="12"/>
      <c r="G763" s="5"/>
      <c r="H763" s="12"/>
      <c r="I763" s="12"/>
      <c r="J763" s="12"/>
      <c r="K763" s="12"/>
      <c r="L763" s="12"/>
      <c r="M763" s="12"/>
      <c r="N763" s="5"/>
      <c r="O763" s="5"/>
      <c r="P763" s="5"/>
      <c r="Q763" s="5"/>
      <c r="R763" s="5"/>
      <c r="S763" s="5"/>
      <c r="T763" s="5"/>
      <c r="U763" s="12"/>
      <c r="V763" s="5"/>
      <c r="W763" s="11"/>
      <c r="X763" s="11"/>
      <c r="Y763" s="13"/>
      <c r="Z763" s="5"/>
      <c r="AA763" s="14"/>
      <c r="AB763" s="5"/>
      <c r="AC763" s="5"/>
      <c r="AD763" s="5"/>
      <c r="AE763" s="5"/>
      <c r="AF763" s="5"/>
      <c r="AG763" s="5"/>
      <c r="AH763" s="5"/>
      <c r="AI763" s="5"/>
      <c r="AJ763" s="5"/>
    </row>
    <row r="764">
      <c r="A764" s="5"/>
      <c r="B764" s="5"/>
      <c r="C764" s="5"/>
      <c r="D764" s="5"/>
      <c r="E764" s="11"/>
      <c r="F764" s="12"/>
      <c r="G764" s="5"/>
      <c r="H764" s="12"/>
      <c r="I764" s="12"/>
      <c r="J764" s="12"/>
      <c r="K764" s="12"/>
      <c r="L764" s="12"/>
      <c r="M764" s="12"/>
      <c r="N764" s="5"/>
      <c r="O764" s="5"/>
      <c r="P764" s="5"/>
      <c r="Q764" s="5"/>
      <c r="R764" s="5"/>
      <c r="S764" s="5"/>
      <c r="T764" s="5"/>
      <c r="U764" s="12"/>
      <c r="V764" s="5"/>
      <c r="W764" s="11"/>
      <c r="X764" s="11"/>
      <c r="Y764" s="13"/>
      <c r="Z764" s="5"/>
      <c r="AA764" s="14"/>
      <c r="AB764" s="5"/>
      <c r="AC764" s="5"/>
      <c r="AD764" s="5"/>
      <c r="AE764" s="5"/>
      <c r="AF764" s="5"/>
      <c r="AG764" s="5"/>
      <c r="AH764" s="5"/>
      <c r="AI764" s="5"/>
      <c r="AJ764" s="5"/>
    </row>
    <row r="765">
      <c r="A765" s="5"/>
      <c r="B765" s="5"/>
      <c r="C765" s="5"/>
      <c r="D765" s="5"/>
      <c r="E765" s="11"/>
      <c r="F765" s="12"/>
      <c r="G765" s="5"/>
      <c r="H765" s="12"/>
      <c r="I765" s="12"/>
      <c r="J765" s="12"/>
      <c r="K765" s="12"/>
      <c r="L765" s="12"/>
      <c r="M765" s="12"/>
      <c r="N765" s="5"/>
      <c r="O765" s="5"/>
      <c r="P765" s="5"/>
      <c r="Q765" s="5"/>
      <c r="R765" s="5"/>
      <c r="S765" s="5"/>
      <c r="T765" s="5"/>
      <c r="U765" s="12"/>
      <c r="V765" s="5"/>
      <c r="W765" s="11"/>
      <c r="X765" s="11"/>
      <c r="Y765" s="13"/>
      <c r="Z765" s="5"/>
      <c r="AA765" s="14"/>
      <c r="AB765" s="5"/>
      <c r="AC765" s="5"/>
      <c r="AD765" s="5"/>
      <c r="AE765" s="5"/>
      <c r="AF765" s="5"/>
      <c r="AG765" s="5"/>
      <c r="AH765" s="5"/>
      <c r="AI765" s="5"/>
      <c r="AJ765" s="5"/>
    </row>
    <row r="766">
      <c r="A766" s="5"/>
      <c r="B766" s="5"/>
      <c r="C766" s="5"/>
      <c r="D766" s="5"/>
      <c r="E766" s="11"/>
      <c r="F766" s="12"/>
      <c r="G766" s="5"/>
      <c r="H766" s="12"/>
      <c r="I766" s="12"/>
      <c r="J766" s="12"/>
      <c r="K766" s="12"/>
      <c r="L766" s="12"/>
      <c r="M766" s="12"/>
      <c r="N766" s="5"/>
      <c r="O766" s="5"/>
      <c r="P766" s="5"/>
      <c r="Q766" s="5"/>
      <c r="R766" s="5"/>
      <c r="S766" s="5"/>
      <c r="T766" s="5"/>
      <c r="U766" s="12"/>
      <c r="V766" s="5"/>
      <c r="W766" s="11"/>
      <c r="X766" s="11"/>
      <c r="Y766" s="13"/>
      <c r="Z766" s="5"/>
      <c r="AA766" s="14"/>
      <c r="AB766" s="5"/>
      <c r="AC766" s="5"/>
      <c r="AD766" s="5"/>
      <c r="AE766" s="5"/>
      <c r="AF766" s="5"/>
      <c r="AG766" s="5"/>
      <c r="AH766" s="5"/>
      <c r="AI766" s="5"/>
      <c r="AJ766" s="5"/>
    </row>
    <row r="767">
      <c r="A767" s="5"/>
      <c r="B767" s="5"/>
      <c r="C767" s="5"/>
      <c r="D767" s="5"/>
      <c r="E767" s="11"/>
      <c r="F767" s="12"/>
      <c r="G767" s="5"/>
      <c r="H767" s="12"/>
      <c r="I767" s="12"/>
      <c r="J767" s="12"/>
      <c r="K767" s="12"/>
      <c r="L767" s="12"/>
      <c r="M767" s="12"/>
      <c r="N767" s="5"/>
      <c r="O767" s="5"/>
      <c r="P767" s="5"/>
      <c r="Q767" s="5"/>
      <c r="R767" s="5"/>
      <c r="S767" s="5"/>
      <c r="T767" s="5"/>
      <c r="U767" s="12"/>
      <c r="V767" s="5"/>
      <c r="W767" s="11"/>
      <c r="X767" s="11"/>
      <c r="Y767" s="13"/>
      <c r="Z767" s="5"/>
      <c r="AA767" s="14"/>
      <c r="AB767" s="5"/>
      <c r="AC767" s="5"/>
      <c r="AD767" s="5"/>
      <c r="AE767" s="5"/>
      <c r="AF767" s="5"/>
      <c r="AG767" s="5"/>
      <c r="AH767" s="5"/>
      <c r="AI767" s="5"/>
      <c r="AJ767" s="5"/>
    </row>
    <row r="768">
      <c r="A768" s="5"/>
      <c r="B768" s="5"/>
      <c r="C768" s="5"/>
      <c r="D768" s="5"/>
      <c r="E768" s="11"/>
      <c r="F768" s="12"/>
      <c r="G768" s="5"/>
      <c r="H768" s="12"/>
      <c r="I768" s="12"/>
      <c r="J768" s="12"/>
      <c r="K768" s="12"/>
      <c r="L768" s="12"/>
      <c r="M768" s="12"/>
      <c r="N768" s="5"/>
      <c r="O768" s="5"/>
      <c r="P768" s="5"/>
      <c r="Q768" s="5"/>
      <c r="R768" s="5"/>
      <c r="S768" s="5"/>
      <c r="T768" s="5"/>
      <c r="U768" s="12"/>
      <c r="V768" s="5"/>
      <c r="W768" s="11"/>
      <c r="X768" s="11"/>
      <c r="Y768" s="13"/>
      <c r="Z768" s="5"/>
      <c r="AA768" s="14"/>
      <c r="AB768" s="5"/>
      <c r="AC768" s="5"/>
      <c r="AD768" s="5"/>
      <c r="AE768" s="5"/>
      <c r="AF768" s="5"/>
      <c r="AG768" s="5"/>
      <c r="AH768" s="5"/>
      <c r="AI768" s="5"/>
      <c r="AJ768" s="5"/>
    </row>
    <row r="769">
      <c r="A769" s="5"/>
      <c r="B769" s="5"/>
      <c r="C769" s="5"/>
      <c r="D769" s="5"/>
      <c r="E769" s="11"/>
      <c r="F769" s="12"/>
      <c r="G769" s="5"/>
      <c r="H769" s="12"/>
      <c r="I769" s="12"/>
      <c r="J769" s="12"/>
      <c r="K769" s="12"/>
      <c r="L769" s="12"/>
      <c r="M769" s="12"/>
      <c r="N769" s="5"/>
      <c r="O769" s="5"/>
      <c r="P769" s="5"/>
      <c r="Q769" s="5"/>
      <c r="R769" s="5"/>
      <c r="S769" s="5"/>
      <c r="T769" s="5"/>
      <c r="U769" s="12"/>
      <c r="V769" s="5"/>
      <c r="W769" s="11"/>
      <c r="X769" s="11"/>
      <c r="Y769" s="13"/>
      <c r="Z769" s="5"/>
      <c r="AA769" s="14"/>
      <c r="AB769" s="5"/>
      <c r="AC769" s="5"/>
      <c r="AD769" s="5"/>
      <c r="AE769" s="5"/>
      <c r="AF769" s="5"/>
      <c r="AG769" s="5"/>
      <c r="AH769" s="5"/>
      <c r="AI769" s="5"/>
      <c r="AJ769" s="5"/>
    </row>
    <row r="770">
      <c r="A770" s="5"/>
      <c r="B770" s="5"/>
      <c r="C770" s="5"/>
      <c r="D770" s="5"/>
      <c r="E770" s="11"/>
      <c r="F770" s="12"/>
      <c r="G770" s="5"/>
      <c r="H770" s="12"/>
      <c r="I770" s="12"/>
      <c r="J770" s="12"/>
      <c r="K770" s="12"/>
      <c r="L770" s="12"/>
      <c r="M770" s="12"/>
      <c r="N770" s="5"/>
      <c r="O770" s="5"/>
      <c r="P770" s="5"/>
      <c r="Q770" s="5"/>
      <c r="R770" s="5"/>
      <c r="S770" s="5"/>
      <c r="T770" s="5"/>
      <c r="U770" s="12"/>
      <c r="V770" s="5"/>
      <c r="W770" s="11"/>
      <c r="X770" s="11"/>
      <c r="Y770" s="13"/>
      <c r="Z770" s="5"/>
      <c r="AA770" s="14"/>
      <c r="AB770" s="5"/>
      <c r="AC770" s="5"/>
      <c r="AD770" s="5"/>
      <c r="AE770" s="5"/>
      <c r="AF770" s="5"/>
      <c r="AG770" s="5"/>
      <c r="AH770" s="5"/>
      <c r="AI770" s="5"/>
      <c r="AJ770" s="5"/>
    </row>
    <row r="771">
      <c r="A771" s="5"/>
      <c r="B771" s="5"/>
      <c r="C771" s="5"/>
      <c r="D771" s="5"/>
      <c r="E771" s="11"/>
      <c r="F771" s="12"/>
      <c r="G771" s="5"/>
      <c r="H771" s="12"/>
      <c r="I771" s="12"/>
      <c r="J771" s="12"/>
      <c r="K771" s="12"/>
      <c r="L771" s="12"/>
      <c r="M771" s="12"/>
      <c r="N771" s="5"/>
      <c r="O771" s="5"/>
      <c r="P771" s="5"/>
      <c r="Q771" s="5"/>
      <c r="R771" s="5"/>
      <c r="S771" s="5"/>
      <c r="T771" s="5"/>
      <c r="U771" s="12"/>
      <c r="V771" s="5"/>
      <c r="W771" s="11"/>
      <c r="X771" s="11"/>
      <c r="Y771" s="13"/>
      <c r="Z771" s="5"/>
      <c r="AA771" s="14"/>
      <c r="AB771" s="5"/>
      <c r="AC771" s="5"/>
      <c r="AD771" s="5"/>
      <c r="AE771" s="5"/>
      <c r="AF771" s="5"/>
      <c r="AG771" s="5"/>
      <c r="AH771" s="5"/>
      <c r="AI771" s="5"/>
      <c r="AJ771" s="5"/>
    </row>
    <row r="772">
      <c r="A772" s="5"/>
      <c r="B772" s="5"/>
      <c r="C772" s="5"/>
      <c r="D772" s="5"/>
      <c r="E772" s="11"/>
      <c r="F772" s="12"/>
      <c r="G772" s="5"/>
      <c r="H772" s="12"/>
      <c r="I772" s="12"/>
      <c r="J772" s="12"/>
      <c r="K772" s="12"/>
      <c r="L772" s="12"/>
      <c r="M772" s="12"/>
      <c r="N772" s="5"/>
      <c r="O772" s="5"/>
      <c r="P772" s="5"/>
      <c r="Q772" s="5"/>
      <c r="R772" s="5"/>
      <c r="S772" s="5"/>
      <c r="T772" s="5"/>
      <c r="U772" s="12"/>
      <c r="V772" s="5"/>
      <c r="W772" s="11"/>
      <c r="X772" s="11"/>
      <c r="Y772" s="13"/>
      <c r="Z772" s="5"/>
      <c r="AA772" s="14"/>
      <c r="AB772" s="5"/>
      <c r="AC772" s="5"/>
      <c r="AD772" s="5"/>
      <c r="AE772" s="5"/>
      <c r="AF772" s="5"/>
      <c r="AG772" s="5"/>
      <c r="AH772" s="5"/>
      <c r="AI772" s="5"/>
      <c r="AJ772" s="5"/>
    </row>
    <row r="773">
      <c r="A773" s="5"/>
      <c r="B773" s="5"/>
      <c r="C773" s="5"/>
      <c r="D773" s="5"/>
      <c r="E773" s="11"/>
      <c r="F773" s="12"/>
      <c r="G773" s="5"/>
      <c r="H773" s="12"/>
      <c r="I773" s="12"/>
      <c r="J773" s="12"/>
      <c r="K773" s="12"/>
      <c r="L773" s="12"/>
      <c r="M773" s="12"/>
      <c r="N773" s="5"/>
      <c r="O773" s="5"/>
      <c r="P773" s="5"/>
      <c r="Q773" s="5"/>
      <c r="R773" s="5"/>
      <c r="S773" s="5"/>
      <c r="T773" s="5"/>
      <c r="U773" s="12"/>
      <c r="V773" s="5"/>
      <c r="W773" s="11"/>
      <c r="X773" s="11"/>
      <c r="Y773" s="13"/>
      <c r="Z773" s="5"/>
      <c r="AA773" s="14"/>
      <c r="AB773" s="5"/>
      <c r="AC773" s="5"/>
      <c r="AD773" s="5"/>
      <c r="AE773" s="5"/>
      <c r="AF773" s="5"/>
      <c r="AG773" s="5"/>
      <c r="AH773" s="5"/>
      <c r="AI773" s="5"/>
      <c r="AJ773" s="5"/>
    </row>
    <row r="774">
      <c r="A774" s="5"/>
      <c r="B774" s="5"/>
      <c r="C774" s="5"/>
      <c r="D774" s="5"/>
      <c r="E774" s="11"/>
      <c r="F774" s="12"/>
      <c r="G774" s="5"/>
      <c r="H774" s="12"/>
      <c r="I774" s="12"/>
      <c r="J774" s="12"/>
      <c r="K774" s="12"/>
      <c r="L774" s="12"/>
      <c r="M774" s="12"/>
      <c r="N774" s="5"/>
      <c r="O774" s="5"/>
      <c r="P774" s="5"/>
      <c r="Q774" s="5"/>
      <c r="R774" s="5"/>
      <c r="S774" s="5"/>
      <c r="T774" s="5"/>
      <c r="U774" s="12"/>
      <c r="V774" s="5"/>
      <c r="W774" s="11"/>
      <c r="X774" s="11"/>
      <c r="Y774" s="13"/>
      <c r="Z774" s="5"/>
      <c r="AA774" s="14"/>
      <c r="AB774" s="5"/>
      <c r="AC774" s="5"/>
      <c r="AD774" s="5"/>
      <c r="AE774" s="5"/>
      <c r="AF774" s="5"/>
      <c r="AG774" s="5"/>
      <c r="AH774" s="5"/>
      <c r="AI774" s="5"/>
      <c r="AJ774" s="5"/>
    </row>
    <row r="775">
      <c r="A775" s="5"/>
      <c r="B775" s="5"/>
      <c r="C775" s="5"/>
      <c r="D775" s="5"/>
      <c r="E775" s="11"/>
      <c r="F775" s="12"/>
      <c r="G775" s="5"/>
      <c r="H775" s="12"/>
      <c r="I775" s="12"/>
      <c r="J775" s="12"/>
      <c r="K775" s="12"/>
      <c r="L775" s="12"/>
      <c r="M775" s="12"/>
      <c r="N775" s="5"/>
      <c r="O775" s="5"/>
      <c r="P775" s="5"/>
      <c r="Q775" s="5"/>
      <c r="R775" s="5"/>
      <c r="S775" s="5"/>
      <c r="T775" s="5"/>
      <c r="U775" s="12"/>
      <c r="V775" s="5"/>
      <c r="W775" s="11"/>
      <c r="X775" s="11"/>
      <c r="Y775" s="13"/>
      <c r="Z775" s="5"/>
      <c r="AA775" s="14"/>
      <c r="AB775" s="5"/>
      <c r="AC775" s="5"/>
      <c r="AD775" s="5"/>
      <c r="AE775" s="5"/>
      <c r="AF775" s="5"/>
      <c r="AG775" s="5"/>
      <c r="AH775" s="5"/>
      <c r="AI775" s="5"/>
      <c r="AJ775" s="5"/>
    </row>
    <row r="776">
      <c r="A776" s="5"/>
      <c r="B776" s="5"/>
      <c r="C776" s="5"/>
      <c r="D776" s="5"/>
      <c r="E776" s="11"/>
      <c r="F776" s="12"/>
      <c r="G776" s="5"/>
      <c r="H776" s="12"/>
      <c r="I776" s="12"/>
      <c r="J776" s="12"/>
      <c r="K776" s="12"/>
      <c r="L776" s="12"/>
      <c r="M776" s="12"/>
      <c r="N776" s="5"/>
      <c r="O776" s="5"/>
      <c r="P776" s="5"/>
      <c r="Q776" s="5"/>
      <c r="R776" s="5"/>
      <c r="S776" s="5"/>
      <c r="T776" s="5"/>
      <c r="U776" s="12"/>
      <c r="V776" s="5"/>
      <c r="W776" s="11"/>
      <c r="X776" s="11"/>
      <c r="Y776" s="13"/>
      <c r="Z776" s="5"/>
      <c r="AA776" s="14"/>
      <c r="AB776" s="5"/>
      <c r="AC776" s="5"/>
      <c r="AD776" s="5"/>
      <c r="AE776" s="5"/>
      <c r="AF776" s="5"/>
      <c r="AG776" s="5"/>
      <c r="AH776" s="5"/>
      <c r="AI776" s="5"/>
      <c r="AJ776" s="5"/>
    </row>
    <row r="777">
      <c r="A777" s="5"/>
      <c r="B777" s="5"/>
      <c r="C777" s="5"/>
      <c r="D777" s="5"/>
      <c r="E777" s="11"/>
      <c r="F777" s="12"/>
      <c r="G777" s="5"/>
      <c r="H777" s="12"/>
      <c r="I777" s="12"/>
      <c r="J777" s="12"/>
      <c r="K777" s="12"/>
      <c r="L777" s="12"/>
      <c r="M777" s="12"/>
      <c r="N777" s="5"/>
      <c r="O777" s="5"/>
      <c r="P777" s="5"/>
      <c r="Q777" s="5"/>
      <c r="R777" s="5"/>
      <c r="S777" s="5"/>
      <c r="T777" s="5"/>
      <c r="U777" s="12"/>
      <c r="V777" s="5"/>
      <c r="W777" s="11"/>
      <c r="X777" s="11"/>
      <c r="Y777" s="13"/>
      <c r="Z777" s="5"/>
      <c r="AA777" s="14"/>
      <c r="AB777" s="5"/>
      <c r="AC777" s="5"/>
      <c r="AD777" s="5"/>
      <c r="AE777" s="5"/>
      <c r="AF777" s="5"/>
      <c r="AG777" s="5"/>
      <c r="AH777" s="5"/>
      <c r="AI777" s="5"/>
      <c r="AJ777" s="5"/>
    </row>
    <row r="778">
      <c r="A778" s="5"/>
      <c r="B778" s="5"/>
      <c r="C778" s="5"/>
      <c r="D778" s="5"/>
      <c r="E778" s="11"/>
      <c r="F778" s="12"/>
      <c r="G778" s="5"/>
      <c r="H778" s="12"/>
      <c r="I778" s="12"/>
      <c r="J778" s="12"/>
      <c r="K778" s="12"/>
      <c r="L778" s="12"/>
      <c r="M778" s="12"/>
      <c r="N778" s="5"/>
      <c r="O778" s="5"/>
      <c r="P778" s="5"/>
      <c r="Q778" s="5"/>
      <c r="R778" s="5"/>
      <c r="S778" s="5"/>
      <c r="T778" s="5"/>
      <c r="U778" s="12"/>
      <c r="V778" s="5"/>
      <c r="W778" s="11"/>
      <c r="X778" s="11"/>
      <c r="Y778" s="13"/>
      <c r="Z778" s="5"/>
      <c r="AA778" s="14"/>
      <c r="AB778" s="5"/>
      <c r="AC778" s="5"/>
      <c r="AD778" s="5"/>
      <c r="AE778" s="5"/>
      <c r="AF778" s="5"/>
      <c r="AG778" s="5"/>
      <c r="AH778" s="5"/>
      <c r="AI778" s="5"/>
      <c r="AJ778" s="5"/>
    </row>
    <row r="779">
      <c r="A779" s="5"/>
      <c r="B779" s="5"/>
      <c r="C779" s="5"/>
      <c r="D779" s="5"/>
      <c r="E779" s="11"/>
      <c r="F779" s="12"/>
      <c r="G779" s="5"/>
      <c r="H779" s="12"/>
      <c r="I779" s="12"/>
      <c r="J779" s="12"/>
      <c r="K779" s="12"/>
      <c r="L779" s="12"/>
      <c r="M779" s="12"/>
      <c r="N779" s="5"/>
      <c r="O779" s="5"/>
      <c r="P779" s="5"/>
      <c r="Q779" s="5"/>
      <c r="R779" s="5"/>
      <c r="S779" s="5"/>
      <c r="T779" s="5"/>
      <c r="U779" s="12"/>
      <c r="V779" s="5"/>
      <c r="W779" s="11"/>
      <c r="X779" s="11"/>
      <c r="Y779" s="13"/>
      <c r="Z779" s="5"/>
      <c r="AA779" s="14"/>
      <c r="AB779" s="5"/>
      <c r="AC779" s="5"/>
      <c r="AD779" s="5"/>
      <c r="AE779" s="5"/>
      <c r="AF779" s="5"/>
      <c r="AG779" s="5"/>
      <c r="AH779" s="5"/>
      <c r="AI779" s="5"/>
      <c r="AJ779" s="5"/>
    </row>
    <row r="780">
      <c r="A780" s="5"/>
      <c r="B780" s="5"/>
      <c r="C780" s="5"/>
      <c r="D780" s="5"/>
      <c r="E780" s="11"/>
      <c r="F780" s="12"/>
      <c r="G780" s="5"/>
      <c r="H780" s="12"/>
      <c r="I780" s="12"/>
      <c r="J780" s="12"/>
      <c r="K780" s="12"/>
      <c r="L780" s="12"/>
      <c r="M780" s="12"/>
      <c r="N780" s="5"/>
      <c r="O780" s="5"/>
      <c r="P780" s="5"/>
      <c r="Q780" s="5"/>
      <c r="R780" s="5"/>
      <c r="S780" s="5"/>
      <c r="T780" s="5"/>
      <c r="U780" s="12"/>
      <c r="V780" s="5"/>
      <c r="W780" s="11"/>
      <c r="X780" s="11"/>
      <c r="Y780" s="13"/>
      <c r="Z780" s="5"/>
      <c r="AA780" s="14"/>
      <c r="AB780" s="5"/>
      <c r="AC780" s="5"/>
      <c r="AD780" s="5"/>
      <c r="AE780" s="5"/>
      <c r="AF780" s="5"/>
      <c r="AG780" s="5"/>
      <c r="AH780" s="5"/>
      <c r="AI780" s="5"/>
      <c r="AJ780" s="5"/>
    </row>
    <row r="781">
      <c r="A781" s="5"/>
      <c r="B781" s="5"/>
      <c r="C781" s="5"/>
      <c r="D781" s="5"/>
      <c r="E781" s="11"/>
      <c r="F781" s="12"/>
      <c r="G781" s="5"/>
      <c r="H781" s="12"/>
      <c r="I781" s="12"/>
      <c r="J781" s="12"/>
      <c r="K781" s="12"/>
      <c r="L781" s="12"/>
      <c r="M781" s="12"/>
      <c r="N781" s="5"/>
      <c r="O781" s="5"/>
      <c r="P781" s="5"/>
      <c r="Q781" s="5"/>
      <c r="R781" s="5"/>
      <c r="S781" s="5"/>
      <c r="T781" s="5"/>
      <c r="U781" s="12"/>
      <c r="V781" s="5"/>
      <c r="W781" s="11"/>
      <c r="X781" s="11"/>
      <c r="Y781" s="13"/>
      <c r="Z781" s="5"/>
      <c r="AA781" s="14"/>
      <c r="AB781" s="5"/>
      <c r="AC781" s="5"/>
      <c r="AD781" s="5"/>
      <c r="AE781" s="5"/>
      <c r="AF781" s="5"/>
      <c r="AG781" s="5"/>
      <c r="AH781" s="5"/>
      <c r="AI781" s="5"/>
      <c r="AJ781" s="5"/>
    </row>
    <row r="782">
      <c r="A782" s="5"/>
      <c r="B782" s="5"/>
      <c r="C782" s="5"/>
      <c r="D782" s="5"/>
      <c r="E782" s="11"/>
      <c r="F782" s="12"/>
      <c r="G782" s="5"/>
      <c r="H782" s="12"/>
      <c r="I782" s="12"/>
      <c r="J782" s="12"/>
      <c r="K782" s="12"/>
      <c r="L782" s="12"/>
      <c r="M782" s="12"/>
      <c r="N782" s="5"/>
      <c r="O782" s="5"/>
      <c r="P782" s="5"/>
      <c r="Q782" s="5"/>
      <c r="R782" s="5"/>
      <c r="S782" s="5"/>
      <c r="T782" s="5"/>
      <c r="U782" s="12"/>
      <c r="V782" s="5"/>
      <c r="W782" s="11"/>
      <c r="X782" s="11"/>
      <c r="Y782" s="13"/>
      <c r="Z782" s="5"/>
      <c r="AA782" s="14"/>
      <c r="AB782" s="5"/>
      <c r="AC782" s="5"/>
      <c r="AD782" s="5"/>
      <c r="AE782" s="5"/>
      <c r="AF782" s="5"/>
      <c r="AG782" s="5"/>
      <c r="AH782" s="5"/>
      <c r="AI782" s="5"/>
      <c r="AJ782" s="5"/>
    </row>
    <row r="783">
      <c r="A783" s="5"/>
      <c r="B783" s="5"/>
      <c r="C783" s="5"/>
      <c r="D783" s="5"/>
      <c r="E783" s="11"/>
      <c r="F783" s="12"/>
      <c r="G783" s="5"/>
      <c r="H783" s="12"/>
      <c r="I783" s="12"/>
      <c r="J783" s="12"/>
      <c r="K783" s="12"/>
      <c r="L783" s="12"/>
      <c r="M783" s="12"/>
      <c r="N783" s="5"/>
      <c r="O783" s="5"/>
      <c r="P783" s="5"/>
      <c r="Q783" s="5"/>
      <c r="R783" s="5"/>
      <c r="S783" s="5"/>
      <c r="T783" s="5"/>
      <c r="U783" s="12"/>
      <c r="V783" s="5"/>
      <c r="W783" s="11"/>
      <c r="X783" s="11"/>
      <c r="Y783" s="13"/>
      <c r="Z783" s="5"/>
      <c r="AA783" s="14"/>
      <c r="AB783" s="5"/>
      <c r="AC783" s="5"/>
      <c r="AD783" s="5"/>
      <c r="AE783" s="5"/>
      <c r="AF783" s="5"/>
      <c r="AG783" s="5"/>
      <c r="AH783" s="5"/>
      <c r="AI783" s="5"/>
      <c r="AJ783" s="5"/>
    </row>
    <row r="784">
      <c r="A784" s="5"/>
      <c r="B784" s="5"/>
      <c r="C784" s="5"/>
      <c r="D784" s="5"/>
      <c r="E784" s="11"/>
      <c r="F784" s="12"/>
      <c r="G784" s="5"/>
      <c r="H784" s="12"/>
      <c r="I784" s="12"/>
      <c r="J784" s="12"/>
      <c r="K784" s="12"/>
      <c r="L784" s="12"/>
      <c r="M784" s="12"/>
      <c r="N784" s="5"/>
      <c r="O784" s="5"/>
      <c r="P784" s="5"/>
      <c r="Q784" s="5"/>
      <c r="R784" s="5"/>
      <c r="S784" s="5"/>
      <c r="T784" s="5"/>
      <c r="U784" s="12"/>
      <c r="V784" s="5"/>
      <c r="W784" s="11"/>
      <c r="X784" s="11"/>
      <c r="Y784" s="13"/>
      <c r="Z784" s="5"/>
      <c r="AA784" s="14"/>
      <c r="AB784" s="5"/>
      <c r="AC784" s="5"/>
      <c r="AD784" s="5"/>
      <c r="AE784" s="5"/>
      <c r="AF784" s="5"/>
      <c r="AG784" s="5"/>
      <c r="AH784" s="5"/>
      <c r="AI784" s="5"/>
      <c r="AJ784" s="5"/>
    </row>
    <row r="785">
      <c r="A785" s="5"/>
      <c r="B785" s="5"/>
      <c r="C785" s="5"/>
      <c r="D785" s="5"/>
      <c r="E785" s="11"/>
      <c r="F785" s="12"/>
      <c r="G785" s="5"/>
      <c r="H785" s="12"/>
      <c r="I785" s="12"/>
      <c r="J785" s="12"/>
      <c r="K785" s="12"/>
      <c r="L785" s="12"/>
      <c r="M785" s="12"/>
      <c r="N785" s="5"/>
      <c r="O785" s="5"/>
      <c r="P785" s="5"/>
      <c r="Q785" s="5"/>
      <c r="R785" s="5"/>
      <c r="S785" s="5"/>
      <c r="T785" s="5"/>
      <c r="U785" s="12"/>
      <c r="V785" s="5"/>
      <c r="W785" s="11"/>
      <c r="X785" s="11"/>
      <c r="Y785" s="13"/>
      <c r="Z785" s="5"/>
      <c r="AA785" s="14"/>
      <c r="AB785" s="5"/>
      <c r="AC785" s="5"/>
      <c r="AD785" s="5"/>
      <c r="AE785" s="5"/>
      <c r="AF785" s="5"/>
      <c r="AG785" s="5"/>
      <c r="AH785" s="5"/>
      <c r="AI785" s="5"/>
      <c r="AJ785" s="5"/>
    </row>
    <row r="786">
      <c r="A786" s="5"/>
      <c r="B786" s="5"/>
      <c r="C786" s="5"/>
      <c r="D786" s="5"/>
      <c r="E786" s="11"/>
      <c r="F786" s="12"/>
      <c r="G786" s="5"/>
      <c r="H786" s="12"/>
      <c r="I786" s="12"/>
      <c r="J786" s="12"/>
      <c r="K786" s="12"/>
      <c r="L786" s="12"/>
      <c r="M786" s="12"/>
      <c r="N786" s="5"/>
      <c r="O786" s="5"/>
      <c r="P786" s="5"/>
      <c r="Q786" s="5"/>
      <c r="R786" s="5"/>
      <c r="S786" s="5"/>
      <c r="T786" s="5"/>
      <c r="U786" s="12"/>
      <c r="V786" s="5"/>
      <c r="W786" s="11"/>
      <c r="X786" s="11"/>
      <c r="Y786" s="13"/>
      <c r="Z786" s="5"/>
      <c r="AA786" s="14"/>
      <c r="AB786" s="5"/>
      <c r="AC786" s="5"/>
      <c r="AD786" s="5"/>
      <c r="AE786" s="5"/>
      <c r="AF786" s="5"/>
      <c r="AG786" s="5"/>
      <c r="AH786" s="5"/>
      <c r="AI786" s="5"/>
      <c r="AJ786" s="5"/>
    </row>
    <row r="787">
      <c r="A787" s="5"/>
      <c r="B787" s="5"/>
      <c r="C787" s="5"/>
      <c r="D787" s="5"/>
      <c r="E787" s="11"/>
      <c r="F787" s="12"/>
      <c r="G787" s="5"/>
      <c r="H787" s="12"/>
      <c r="I787" s="12"/>
      <c r="J787" s="12"/>
      <c r="K787" s="12"/>
      <c r="L787" s="12"/>
      <c r="M787" s="12"/>
      <c r="N787" s="5"/>
      <c r="O787" s="5"/>
      <c r="P787" s="5"/>
      <c r="Q787" s="5"/>
      <c r="R787" s="5"/>
      <c r="S787" s="5"/>
      <c r="T787" s="5"/>
      <c r="U787" s="12"/>
      <c r="V787" s="5"/>
      <c r="W787" s="11"/>
      <c r="X787" s="11"/>
      <c r="Y787" s="13"/>
      <c r="Z787" s="5"/>
      <c r="AA787" s="14"/>
      <c r="AB787" s="5"/>
      <c r="AC787" s="5"/>
      <c r="AD787" s="5"/>
      <c r="AE787" s="5"/>
      <c r="AF787" s="5"/>
      <c r="AG787" s="5"/>
      <c r="AH787" s="5"/>
      <c r="AI787" s="5"/>
      <c r="AJ787" s="5"/>
    </row>
    <row r="788">
      <c r="A788" s="5"/>
      <c r="B788" s="5"/>
      <c r="C788" s="5"/>
      <c r="D788" s="5"/>
      <c r="E788" s="11"/>
      <c r="F788" s="12"/>
      <c r="G788" s="5"/>
      <c r="H788" s="12"/>
      <c r="I788" s="12"/>
      <c r="J788" s="12"/>
      <c r="K788" s="12"/>
      <c r="L788" s="12"/>
      <c r="M788" s="12"/>
      <c r="N788" s="5"/>
      <c r="O788" s="5"/>
      <c r="P788" s="5"/>
      <c r="Q788" s="5"/>
      <c r="R788" s="5"/>
      <c r="S788" s="5"/>
      <c r="T788" s="5"/>
      <c r="U788" s="12"/>
      <c r="V788" s="5"/>
      <c r="W788" s="11"/>
      <c r="X788" s="11"/>
      <c r="Y788" s="13"/>
      <c r="Z788" s="5"/>
      <c r="AA788" s="14"/>
      <c r="AB788" s="5"/>
      <c r="AC788" s="5"/>
      <c r="AD788" s="5"/>
      <c r="AE788" s="5"/>
      <c r="AF788" s="5"/>
      <c r="AG788" s="5"/>
      <c r="AH788" s="5"/>
      <c r="AI788" s="5"/>
      <c r="AJ788" s="5"/>
    </row>
    <row r="789">
      <c r="A789" s="5"/>
      <c r="B789" s="5"/>
      <c r="C789" s="5"/>
      <c r="D789" s="5"/>
      <c r="E789" s="11"/>
      <c r="F789" s="12"/>
      <c r="G789" s="5"/>
      <c r="H789" s="12"/>
      <c r="I789" s="12"/>
      <c r="J789" s="12"/>
      <c r="K789" s="12"/>
      <c r="L789" s="12"/>
      <c r="M789" s="12"/>
      <c r="N789" s="5"/>
      <c r="O789" s="5"/>
      <c r="P789" s="5"/>
      <c r="Q789" s="5"/>
      <c r="R789" s="5"/>
      <c r="S789" s="5"/>
      <c r="T789" s="5"/>
      <c r="U789" s="12"/>
      <c r="V789" s="5"/>
      <c r="W789" s="11"/>
      <c r="X789" s="11"/>
      <c r="Y789" s="13"/>
      <c r="Z789" s="5"/>
      <c r="AA789" s="14"/>
      <c r="AB789" s="5"/>
      <c r="AC789" s="5"/>
      <c r="AD789" s="5"/>
      <c r="AE789" s="5"/>
      <c r="AF789" s="5"/>
      <c r="AG789" s="5"/>
      <c r="AH789" s="5"/>
      <c r="AI789" s="5"/>
      <c r="AJ789" s="5"/>
    </row>
    <row r="790">
      <c r="A790" s="5"/>
      <c r="B790" s="5"/>
      <c r="C790" s="5"/>
      <c r="D790" s="5"/>
      <c r="E790" s="11"/>
      <c r="F790" s="12"/>
      <c r="G790" s="5"/>
      <c r="H790" s="12"/>
      <c r="I790" s="12"/>
      <c r="J790" s="12"/>
      <c r="K790" s="12"/>
      <c r="L790" s="12"/>
      <c r="M790" s="12"/>
      <c r="N790" s="5"/>
      <c r="O790" s="5"/>
      <c r="P790" s="5"/>
      <c r="Q790" s="5"/>
      <c r="R790" s="5"/>
      <c r="S790" s="5"/>
      <c r="T790" s="5"/>
      <c r="U790" s="12"/>
      <c r="V790" s="5"/>
      <c r="W790" s="11"/>
      <c r="X790" s="11"/>
      <c r="Y790" s="13"/>
      <c r="Z790" s="5"/>
      <c r="AA790" s="14"/>
      <c r="AB790" s="5"/>
      <c r="AC790" s="5"/>
      <c r="AD790" s="5"/>
      <c r="AE790" s="5"/>
      <c r="AF790" s="5"/>
      <c r="AG790" s="5"/>
      <c r="AH790" s="5"/>
      <c r="AI790" s="5"/>
      <c r="AJ790" s="5"/>
    </row>
    <row r="791">
      <c r="A791" s="5"/>
      <c r="B791" s="5"/>
      <c r="C791" s="5"/>
      <c r="D791" s="5"/>
      <c r="E791" s="11"/>
      <c r="F791" s="12"/>
      <c r="G791" s="5"/>
      <c r="H791" s="12"/>
      <c r="I791" s="12"/>
      <c r="J791" s="12"/>
      <c r="K791" s="12"/>
      <c r="L791" s="12"/>
      <c r="M791" s="12"/>
      <c r="N791" s="5"/>
      <c r="O791" s="5"/>
      <c r="P791" s="5"/>
      <c r="Q791" s="5"/>
      <c r="R791" s="5"/>
      <c r="S791" s="5"/>
      <c r="T791" s="5"/>
      <c r="U791" s="12"/>
      <c r="V791" s="5"/>
      <c r="W791" s="11"/>
      <c r="X791" s="11"/>
      <c r="Y791" s="13"/>
      <c r="Z791" s="5"/>
      <c r="AA791" s="14"/>
      <c r="AB791" s="5"/>
      <c r="AC791" s="5"/>
      <c r="AD791" s="5"/>
      <c r="AE791" s="5"/>
      <c r="AF791" s="5"/>
      <c r="AG791" s="5"/>
      <c r="AH791" s="5"/>
      <c r="AI791" s="5"/>
      <c r="AJ791" s="5"/>
    </row>
    <row r="792">
      <c r="A792" s="5"/>
      <c r="B792" s="5"/>
      <c r="C792" s="5"/>
      <c r="D792" s="5"/>
      <c r="E792" s="11"/>
      <c r="F792" s="12"/>
      <c r="G792" s="5"/>
      <c r="H792" s="12"/>
      <c r="I792" s="12"/>
      <c r="J792" s="12"/>
      <c r="K792" s="12"/>
      <c r="L792" s="12"/>
      <c r="M792" s="12"/>
      <c r="N792" s="5"/>
      <c r="O792" s="5"/>
      <c r="P792" s="5"/>
      <c r="Q792" s="5"/>
      <c r="R792" s="5"/>
      <c r="S792" s="5"/>
      <c r="T792" s="5"/>
      <c r="U792" s="12"/>
      <c r="V792" s="5"/>
      <c r="W792" s="11"/>
      <c r="X792" s="11"/>
      <c r="Y792" s="13"/>
      <c r="Z792" s="5"/>
      <c r="AA792" s="14"/>
      <c r="AB792" s="5"/>
      <c r="AC792" s="5"/>
      <c r="AD792" s="5"/>
      <c r="AE792" s="5"/>
      <c r="AF792" s="5"/>
      <c r="AG792" s="5"/>
      <c r="AH792" s="5"/>
      <c r="AI792" s="5"/>
      <c r="AJ792" s="5"/>
    </row>
    <row r="793">
      <c r="A793" s="5"/>
      <c r="B793" s="5"/>
      <c r="C793" s="5"/>
      <c r="D793" s="5"/>
      <c r="E793" s="11"/>
      <c r="F793" s="12"/>
      <c r="G793" s="5"/>
      <c r="H793" s="12"/>
      <c r="I793" s="12"/>
      <c r="J793" s="12"/>
      <c r="K793" s="12"/>
      <c r="L793" s="12"/>
      <c r="M793" s="12"/>
      <c r="N793" s="5"/>
      <c r="O793" s="5"/>
      <c r="P793" s="5"/>
      <c r="Q793" s="5"/>
      <c r="R793" s="5"/>
      <c r="S793" s="5"/>
      <c r="T793" s="5"/>
      <c r="U793" s="12"/>
      <c r="V793" s="5"/>
      <c r="W793" s="11"/>
      <c r="X793" s="11"/>
      <c r="Y793" s="13"/>
      <c r="Z793" s="5"/>
      <c r="AA793" s="14"/>
      <c r="AB793" s="5"/>
      <c r="AC793" s="5"/>
      <c r="AD793" s="5"/>
      <c r="AE793" s="5"/>
      <c r="AF793" s="5"/>
      <c r="AG793" s="5"/>
      <c r="AH793" s="5"/>
      <c r="AI793" s="5"/>
      <c r="AJ793" s="5"/>
    </row>
    <row r="794">
      <c r="A794" s="5"/>
      <c r="B794" s="5"/>
      <c r="C794" s="5"/>
      <c r="D794" s="5"/>
      <c r="E794" s="11"/>
      <c r="F794" s="12"/>
      <c r="G794" s="5"/>
      <c r="H794" s="12"/>
      <c r="I794" s="12"/>
      <c r="J794" s="12"/>
      <c r="K794" s="12"/>
      <c r="L794" s="12"/>
      <c r="M794" s="12"/>
      <c r="N794" s="5"/>
      <c r="O794" s="5"/>
      <c r="P794" s="5"/>
      <c r="Q794" s="5"/>
      <c r="R794" s="5"/>
      <c r="S794" s="5"/>
      <c r="T794" s="5"/>
      <c r="U794" s="12"/>
      <c r="V794" s="5"/>
      <c r="W794" s="11"/>
      <c r="X794" s="11"/>
      <c r="Y794" s="13"/>
      <c r="Z794" s="5"/>
      <c r="AA794" s="14"/>
      <c r="AB794" s="5"/>
      <c r="AC794" s="5"/>
      <c r="AD794" s="5"/>
      <c r="AE794" s="5"/>
      <c r="AF794" s="5"/>
      <c r="AG794" s="5"/>
      <c r="AH794" s="5"/>
      <c r="AI794" s="5"/>
      <c r="AJ794" s="5"/>
    </row>
    <row r="795">
      <c r="A795" s="5"/>
      <c r="B795" s="5"/>
      <c r="C795" s="5"/>
      <c r="D795" s="5"/>
      <c r="E795" s="11"/>
      <c r="F795" s="12"/>
      <c r="G795" s="5"/>
      <c r="H795" s="12"/>
      <c r="I795" s="12"/>
      <c r="J795" s="12"/>
      <c r="K795" s="12"/>
      <c r="L795" s="12"/>
      <c r="M795" s="12"/>
      <c r="N795" s="5"/>
      <c r="O795" s="5"/>
      <c r="P795" s="5"/>
      <c r="Q795" s="5"/>
      <c r="R795" s="5"/>
      <c r="S795" s="5"/>
      <c r="T795" s="5"/>
      <c r="U795" s="12"/>
      <c r="V795" s="5"/>
      <c r="W795" s="11"/>
      <c r="X795" s="11"/>
      <c r="Y795" s="13"/>
      <c r="Z795" s="5"/>
      <c r="AA795" s="14"/>
      <c r="AB795" s="5"/>
      <c r="AC795" s="5"/>
      <c r="AD795" s="5"/>
      <c r="AE795" s="5"/>
      <c r="AF795" s="5"/>
      <c r="AG795" s="5"/>
      <c r="AH795" s="5"/>
      <c r="AI795" s="5"/>
      <c r="AJ795" s="5"/>
    </row>
    <row r="796">
      <c r="A796" s="5"/>
      <c r="B796" s="5"/>
      <c r="C796" s="5"/>
      <c r="D796" s="5"/>
      <c r="E796" s="11"/>
      <c r="F796" s="12"/>
      <c r="G796" s="5"/>
      <c r="H796" s="12"/>
      <c r="I796" s="12"/>
      <c r="J796" s="12"/>
      <c r="K796" s="12"/>
      <c r="L796" s="12"/>
      <c r="M796" s="12"/>
      <c r="N796" s="5"/>
      <c r="O796" s="5"/>
      <c r="P796" s="5"/>
      <c r="Q796" s="5"/>
      <c r="R796" s="5"/>
      <c r="S796" s="5"/>
      <c r="T796" s="5"/>
      <c r="U796" s="12"/>
      <c r="V796" s="5"/>
      <c r="W796" s="11"/>
      <c r="X796" s="11"/>
      <c r="Y796" s="13"/>
      <c r="Z796" s="5"/>
      <c r="AA796" s="14"/>
      <c r="AB796" s="5"/>
      <c r="AC796" s="5"/>
      <c r="AD796" s="5"/>
      <c r="AE796" s="5"/>
      <c r="AF796" s="5"/>
      <c r="AG796" s="5"/>
      <c r="AH796" s="5"/>
      <c r="AI796" s="5"/>
      <c r="AJ796" s="5"/>
    </row>
    <row r="797">
      <c r="A797" s="5"/>
      <c r="B797" s="5"/>
      <c r="C797" s="5"/>
      <c r="D797" s="5"/>
      <c r="E797" s="11"/>
      <c r="F797" s="12"/>
      <c r="G797" s="5"/>
      <c r="H797" s="12"/>
      <c r="I797" s="12"/>
      <c r="J797" s="12"/>
      <c r="K797" s="12"/>
      <c r="L797" s="12"/>
      <c r="M797" s="12"/>
      <c r="N797" s="5"/>
      <c r="O797" s="5"/>
      <c r="P797" s="5"/>
      <c r="Q797" s="5"/>
      <c r="R797" s="5"/>
      <c r="S797" s="5"/>
      <c r="T797" s="5"/>
      <c r="U797" s="12"/>
      <c r="V797" s="5"/>
      <c r="W797" s="11"/>
      <c r="X797" s="11"/>
      <c r="Y797" s="13"/>
      <c r="Z797" s="5"/>
      <c r="AA797" s="14"/>
      <c r="AB797" s="5"/>
      <c r="AC797" s="5"/>
      <c r="AD797" s="5"/>
      <c r="AE797" s="5"/>
      <c r="AF797" s="5"/>
      <c r="AG797" s="5"/>
      <c r="AH797" s="5"/>
      <c r="AI797" s="5"/>
      <c r="AJ797" s="5"/>
    </row>
    <row r="798">
      <c r="A798" s="5"/>
      <c r="B798" s="5"/>
      <c r="C798" s="5"/>
      <c r="D798" s="5"/>
      <c r="E798" s="11"/>
      <c r="F798" s="12"/>
      <c r="G798" s="5"/>
      <c r="H798" s="12"/>
      <c r="I798" s="12"/>
      <c r="J798" s="12"/>
      <c r="K798" s="12"/>
      <c r="L798" s="12"/>
      <c r="M798" s="12"/>
      <c r="N798" s="5"/>
      <c r="O798" s="5"/>
      <c r="P798" s="5"/>
      <c r="Q798" s="5"/>
      <c r="R798" s="5"/>
      <c r="S798" s="5"/>
      <c r="T798" s="5"/>
      <c r="U798" s="12"/>
      <c r="V798" s="5"/>
      <c r="W798" s="11"/>
      <c r="X798" s="11"/>
      <c r="Y798" s="13"/>
      <c r="Z798" s="5"/>
      <c r="AA798" s="14"/>
      <c r="AB798" s="5"/>
      <c r="AC798" s="5"/>
      <c r="AD798" s="5"/>
      <c r="AE798" s="5"/>
      <c r="AF798" s="5"/>
      <c r="AG798" s="5"/>
      <c r="AH798" s="5"/>
      <c r="AI798" s="5"/>
      <c r="AJ798" s="5"/>
    </row>
    <row r="799">
      <c r="A799" s="5"/>
      <c r="B799" s="5"/>
      <c r="C799" s="5"/>
      <c r="D799" s="5"/>
      <c r="E799" s="11"/>
      <c r="F799" s="12"/>
      <c r="G799" s="5"/>
      <c r="H799" s="12"/>
      <c r="I799" s="12"/>
      <c r="J799" s="12"/>
      <c r="K799" s="12"/>
      <c r="L799" s="12"/>
      <c r="M799" s="12"/>
      <c r="N799" s="5"/>
      <c r="O799" s="5"/>
      <c r="P799" s="5"/>
      <c r="Q799" s="5"/>
      <c r="R799" s="5"/>
      <c r="S799" s="5"/>
      <c r="T799" s="5"/>
      <c r="U799" s="12"/>
      <c r="V799" s="5"/>
      <c r="W799" s="11"/>
      <c r="X799" s="11"/>
      <c r="Y799" s="13"/>
      <c r="Z799" s="5"/>
      <c r="AA799" s="14"/>
      <c r="AB799" s="5"/>
      <c r="AC799" s="5"/>
      <c r="AD799" s="5"/>
      <c r="AE799" s="5"/>
      <c r="AF799" s="5"/>
      <c r="AG799" s="5"/>
      <c r="AH799" s="5"/>
      <c r="AI799" s="5"/>
      <c r="AJ799" s="5"/>
    </row>
    <row r="800">
      <c r="A800" s="5"/>
      <c r="B800" s="5"/>
      <c r="C800" s="5"/>
      <c r="D800" s="5"/>
      <c r="E800" s="11"/>
      <c r="F800" s="12"/>
      <c r="G800" s="5"/>
      <c r="H800" s="12"/>
      <c r="I800" s="12"/>
      <c r="J800" s="12"/>
      <c r="K800" s="12"/>
      <c r="L800" s="12"/>
      <c r="M800" s="12"/>
      <c r="N800" s="5"/>
      <c r="O800" s="5"/>
      <c r="P800" s="5"/>
      <c r="Q800" s="5"/>
      <c r="R800" s="5"/>
      <c r="S800" s="5"/>
      <c r="T800" s="5"/>
      <c r="U800" s="12"/>
      <c r="V800" s="5"/>
      <c r="W800" s="11"/>
      <c r="X800" s="11"/>
      <c r="Y800" s="13"/>
      <c r="Z800" s="5"/>
      <c r="AA800" s="14"/>
      <c r="AB800" s="5"/>
      <c r="AC800" s="5"/>
      <c r="AD800" s="5"/>
      <c r="AE800" s="5"/>
      <c r="AF800" s="5"/>
      <c r="AG800" s="5"/>
      <c r="AH800" s="5"/>
      <c r="AI800" s="5"/>
      <c r="AJ800" s="5"/>
    </row>
    <row r="801">
      <c r="A801" s="5"/>
      <c r="B801" s="5"/>
      <c r="C801" s="5"/>
      <c r="D801" s="5"/>
      <c r="E801" s="11"/>
      <c r="F801" s="12"/>
      <c r="G801" s="5"/>
      <c r="H801" s="12"/>
      <c r="I801" s="12"/>
      <c r="J801" s="12"/>
      <c r="K801" s="12"/>
      <c r="L801" s="12"/>
      <c r="M801" s="12"/>
      <c r="N801" s="5"/>
      <c r="O801" s="5"/>
      <c r="P801" s="5"/>
      <c r="Q801" s="5"/>
      <c r="R801" s="5"/>
      <c r="S801" s="5"/>
      <c r="T801" s="5"/>
      <c r="U801" s="12"/>
      <c r="V801" s="5"/>
      <c r="W801" s="11"/>
      <c r="X801" s="11"/>
      <c r="Y801" s="13"/>
      <c r="Z801" s="5"/>
      <c r="AA801" s="14"/>
      <c r="AB801" s="5"/>
      <c r="AC801" s="5"/>
      <c r="AD801" s="5"/>
      <c r="AE801" s="5"/>
      <c r="AF801" s="5"/>
      <c r="AG801" s="5"/>
      <c r="AH801" s="5"/>
      <c r="AI801" s="5"/>
      <c r="AJ801" s="5"/>
    </row>
    <row r="802">
      <c r="A802" s="5"/>
      <c r="B802" s="5"/>
      <c r="C802" s="5"/>
      <c r="D802" s="5"/>
      <c r="E802" s="11"/>
      <c r="F802" s="12"/>
      <c r="G802" s="5"/>
      <c r="H802" s="12"/>
      <c r="I802" s="12"/>
      <c r="J802" s="12"/>
      <c r="K802" s="12"/>
      <c r="L802" s="12"/>
      <c r="M802" s="12"/>
      <c r="N802" s="5"/>
      <c r="O802" s="5"/>
      <c r="P802" s="5"/>
      <c r="Q802" s="5"/>
      <c r="R802" s="5"/>
      <c r="S802" s="5"/>
      <c r="T802" s="5"/>
      <c r="U802" s="12"/>
      <c r="V802" s="5"/>
      <c r="W802" s="11"/>
      <c r="X802" s="11"/>
      <c r="Y802" s="13"/>
      <c r="Z802" s="5"/>
      <c r="AA802" s="14"/>
      <c r="AB802" s="5"/>
      <c r="AC802" s="5"/>
      <c r="AD802" s="5"/>
      <c r="AE802" s="5"/>
      <c r="AF802" s="5"/>
      <c r="AG802" s="5"/>
      <c r="AH802" s="5"/>
      <c r="AI802" s="5"/>
      <c r="AJ802" s="5"/>
    </row>
    <row r="803">
      <c r="A803" s="5"/>
      <c r="B803" s="5"/>
      <c r="C803" s="5"/>
      <c r="D803" s="5"/>
      <c r="E803" s="11"/>
      <c r="F803" s="12"/>
      <c r="G803" s="5"/>
      <c r="H803" s="12"/>
      <c r="I803" s="12"/>
      <c r="J803" s="12"/>
      <c r="K803" s="12"/>
      <c r="L803" s="12"/>
      <c r="M803" s="12"/>
      <c r="N803" s="5"/>
      <c r="O803" s="5"/>
      <c r="P803" s="5"/>
      <c r="Q803" s="5"/>
      <c r="R803" s="5"/>
      <c r="S803" s="5"/>
      <c r="T803" s="5"/>
      <c r="U803" s="12"/>
      <c r="V803" s="5"/>
      <c r="W803" s="11"/>
      <c r="X803" s="11"/>
      <c r="Y803" s="13"/>
      <c r="Z803" s="5"/>
      <c r="AA803" s="14"/>
      <c r="AB803" s="5"/>
      <c r="AC803" s="5"/>
      <c r="AD803" s="5"/>
      <c r="AE803" s="5"/>
      <c r="AF803" s="5"/>
      <c r="AG803" s="5"/>
      <c r="AH803" s="5"/>
      <c r="AI803" s="5"/>
      <c r="AJ803" s="5"/>
    </row>
    <row r="804">
      <c r="A804" s="5"/>
      <c r="B804" s="5"/>
      <c r="C804" s="5"/>
      <c r="D804" s="5"/>
      <c r="E804" s="11"/>
      <c r="F804" s="12"/>
      <c r="G804" s="5"/>
      <c r="H804" s="12"/>
      <c r="I804" s="12"/>
      <c r="J804" s="12"/>
      <c r="K804" s="12"/>
      <c r="L804" s="12"/>
      <c r="M804" s="12"/>
      <c r="N804" s="5"/>
      <c r="O804" s="5"/>
      <c r="P804" s="5"/>
      <c r="Q804" s="5"/>
      <c r="R804" s="5"/>
      <c r="S804" s="5"/>
      <c r="T804" s="5"/>
      <c r="U804" s="12"/>
      <c r="V804" s="5"/>
      <c r="W804" s="11"/>
      <c r="X804" s="11"/>
      <c r="Y804" s="13"/>
      <c r="Z804" s="5"/>
      <c r="AA804" s="14"/>
      <c r="AB804" s="5"/>
      <c r="AC804" s="5"/>
      <c r="AD804" s="5"/>
      <c r="AE804" s="5"/>
      <c r="AF804" s="5"/>
      <c r="AG804" s="5"/>
      <c r="AH804" s="5"/>
      <c r="AI804" s="5"/>
      <c r="AJ804" s="5"/>
    </row>
    <row r="805">
      <c r="A805" s="5"/>
      <c r="B805" s="5"/>
      <c r="C805" s="5"/>
      <c r="D805" s="5"/>
      <c r="E805" s="11"/>
      <c r="F805" s="12"/>
      <c r="G805" s="5"/>
      <c r="H805" s="12"/>
      <c r="I805" s="12"/>
      <c r="J805" s="12"/>
      <c r="K805" s="12"/>
      <c r="L805" s="12"/>
      <c r="M805" s="12"/>
      <c r="N805" s="5"/>
      <c r="O805" s="5"/>
      <c r="P805" s="5"/>
      <c r="Q805" s="5"/>
      <c r="R805" s="5"/>
      <c r="S805" s="5"/>
      <c r="T805" s="5"/>
      <c r="U805" s="12"/>
      <c r="V805" s="5"/>
      <c r="W805" s="11"/>
      <c r="X805" s="11"/>
      <c r="Y805" s="13"/>
      <c r="Z805" s="5"/>
      <c r="AA805" s="14"/>
      <c r="AB805" s="5"/>
      <c r="AC805" s="5"/>
      <c r="AD805" s="5"/>
      <c r="AE805" s="5"/>
      <c r="AF805" s="5"/>
      <c r="AG805" s="5"/>
      <c r="AH805" s="5"/>
      <c r="AI805" s="5"/>
      <c r="AJ805" s="5"/>
    </row>
    <row r="806">
      <c r="A806" s="5"/>
      <c r="B806" s="5"/>
      <c r="C806" s="5"/>
      <c r="D806" s="5"/>
      <c r="E806" s="11"/>
      <c r="F806" s="12"/>
      <c r="G806" s="5"/>
      <c r="H806" s="12"/>
      <c r="I806" s="12"/>
      <c r="J806" s="12"/>
      <c r="K806" s="12"/>
      <c r="L806" s="12"/>
      <c r="M806" s="12"/>
      <c r="N806" s="5"/>
      <c r="O806" s="5"/>
      <c r="P806" s="5"/>
      <c r="Q806" s="5"/>
      <c r="R806" s="5"/>
      <c r="S806" s="5"/>
      <c r="T806" s="5"/>
      <c r="U806" s="12"/>
      <c r="V806" s="5"/>
      <c r="W806" s="11"/>
      <c r="X806" s="11"/>
      <c r="Y806" s="13"/>
      <c r="Z806" s="5"/>
      <c r="AA806" s="14"/>
      <c r="AB806" s="5"/>
      <c r="AC806" s="5"/>
      <c r="AD806" s="5"/>
      <c r="AE806" s="5"/>
      <c r="AF806" s="5"/>
      <c r="AG806" s="5"/>
      <c r="AH806" s="5"/>
      <c r="AI806" s="5"/>
      <c r="AJ806" s="5"/>
    </row>
    <row r="807">
      <c r="A807" s="5"/>
      <c r="B807" s="5"/>
      <c r="C807" s="5"/>
      <c r="D807" s="5"/>
      <c r="E807" s="11"/>
      <c r="F807" s="12"/>
      <c r="G807" s="5"/>
      <c r="H807" s="12"/>
      <c r="I807" s="12"/>
      <c r="J807" s="12"/>
      <c r="K807" s="12"/>
      <c r="L807" s="12"/>
      <c r="M807" s="12"/>
      <c r="N807" s="5"/>
      <c r="O807" s="5"/>
      <c r="P807" s="5"/>
      <c r="Q807" s="5"/>
      <c r="R807" s="5"/>
      <c r="S807" s="5"/>
      <c r="T807" s="5"/>
      <c r="U807" s="12"/>
      <c r="V807" s="5"/>
      <c r="W807" s="11"/>
      <c r="X807" s="11"/>
      <c r="Y807" s="13"/>
      <c r="Z807" s="5"/>
      <c r="AA807" s="14"/>
      <c r="AB807" s="5"/>
      <c r="AC807" s="5"/>
      <c r="AD807" s="5"/>
      <c r="AE807" s="5"/>
      <c r="AF807" s="5"/>
      <c r="AG807" s="5"/>
      <c r="AH807" s="5"/>
      <c r="AI807" s="5"/>
      <c r="AJ807" s="5"/>
    </row>
    <row r="808">
      <c r="A808" s="5"/>
      <c r="B808" s="5"/>
      <c r="C808" s="5"/>
      <c r="D808" s="5"/>
      <c r="E808" s="11"/>
      <c r="F808" s="12"/>
      <c r="G808" s="5"/>
      <c r="H808" s="12"/>
      <c r="I808" s="12"/>
      <c r="J808" s="12"/>
      <c r="K808" s="12"/>
      <c r="L808" s="12"/>
      <c r="M808" s="12"/>
      <c r="N808" s="5"/>
      <c r="O808" s="5"/>
      <c r="P808" s="5"/>
      <c r="Q808" s="5"/>
      <c r="R808" s="5"/>
      <c r="S808" s="5"/>
      <c r="T808" s="5"/>
      <c r="U808" s="12"/>
      <c r="V808" s="5"/>
      <c r="W808" s="11"/>
      <c r="X808" s="11"/>
      <c r="Y808" s="13"/>
      <c r="Z808" s="5"/>
      <c r="AA808" s="14"/>
      <c r="AB808" s="5"/>
      <c r="AC808" s="5"/>
      <c r="AD808" s="5"/>
      <c r="AE808" s="5"/>
      <c r="AF808" s="5"/>
      <c r="AG808" s="5"/>
      <c r="AH808" s="5"/>
      <c r="AI808" s="5"/>
      <c r="AJ808" s="5"/>
    </row>
    <row r="809">
      <c r="A809" s="5"/>
      <c r="B809" s="5"/>
      <c r="C809" s="5"/>
      <c r="D809" s="5"/>
      <c r="E809" s="11"/>
      <c r="F809" s="12"/>
      <c r="G809" s="5"/>
      <c r="H809" s="12"/>
      <c r="I809" s="12"/>
      <c r="J809" s="12"/>
      <c r="K809" s="12"/>
      <c r="L809" s="12"/>
      <c r="M809" s="12"/>
      <c r="N809" s="5"/>
      <c r="O809" s="5"/>
      <c r="P809" s="5"/>
      <c r="Q809" s="5"/>
      <c r="R809" s="5"/>
      <c r="S809" s="5"/>
      <c r="T809" s="5"/>
      <c r="U809" s="12"/>
      <c r="V809" s="5"/>
      <c r="W809" s="11"/>
      <c r="X809" s="11"/>
      <c r="Y809" s="13"/>
      <c r="Z809" s="5"/>
      <c r="AA809" s="14"/>
      <c r="AB809" s="5"/>
      <c r="AC809" s="5"/>
      <c r="AD809" s="5"/>
      <c r="AE809" s="5"/>
      <c r="AF809" s="5"/>
      <c r="AG809" s="5"/>
      <c r="AH809" s="5"/>
      <c r="AI809" s="5"/>
      <c r="AJ809" s="5"/>
    </row>
    <row r="810">
      <c r="A810" s="5"/>
      <c r="B810" s="5"/>
      <c r="C810" s="5"/>
      <c r="D810" s="5"/>
      <c r="E810" s="11"/>
      <c r="F810" s="12"/>
      <c r="G810" s="5"/>
      <c r="H810" s="12"/>
      <c r="I810" s="12"/>
      <c r="J810" s="12"/>
      <c r="K810" s="12"/>
      <c r="L810" s="12"/>
      <c r="M810" s="12"/>
      <c r="N810" s="5"/>
      <c r="O810" s="5"/>
      <c r="P810" s="5"/>
      <c r="Q810" s="5"/>
      <c r="R810" s="5"/>
      <c r="S810" s="5"/>
      <c r="T810" s="5"/>
      <c r="U810" s="12"/>
      <c r="V810" s="5"/>
      <c r="W810" s="11"/>
      <c r="X810" s="11"/>
      <c r="Y810" s="13"/>
      <c r="Z810" s="5"/>
      <c r="AA810" s="14"/>
      <c r="AB810" s="5"/>
      <c r="AC810" s="5"/>
      <c r="AD810" s="5"/>
      <c r="AE810" s="5"/>
      <c r="AF810" s="5"/>
      <c r="AG810" s="5"/>
      <c r="AH810" s="5"/>
      <c r="AI810" s="5"/>
      <c r="AJ810" s="5"/>
    </row>
    <row r="811">
      <c r="A811" s="5"/>
      <c r="B811" s="5"/>
      <c r="C811" s="5"/>
      <c r="D811" s="5"/>
      <c r="E811" s="11"/>
      <c r="F811" s="12"/>
      <c r="G811" s="5"/>
      <c r="H811" s="12"/>
      <c r="I811" s="12"/>
      <c r="J811" s="12"/>
      <c r="K811" s="12"/>
      <c r="L811" s="12"/>
      <c r="M811" s="12"/>
      <c r="N811" s="5"/>
      <c r="O811" s="5"/>
      <c r="P811" s="5"/>
      <c r="Q811" s="5"/>
      <c r="R811" s="5"/>
      <c r="S811" s="5"/>
      <c r="T811" s="5"/>
      <c r="U811" s="12"/>
      <c r="V811" s="5"/>
      <c r="W811" s="11"/>
      <c r="X811" s="11"/>
      <c r="Y811" s="13"/>
      <c r="Z811" s="5"/>
      <c r="AA811" s="14"/>
      <c r="AB811" s="5"/>
      <c r="AC811" s="5"/>
      <c r="AD811" s="5"/>
      <c r="AE811" s="5"/>
      <c r="AF811" s="5"/>
      <c r="AG811" s="5"/>
      <c r="AH811" s="5"/>
      <c r="AI811" s="5"/>
      <c r="AJ811" s="5"/>
    </row>
    <row r="812">
      <c r="A812" s="5"/>
      <c r="B812" s="5"/>
      <c r="C812" s="5"/>
      <c r="D812" s="5"/>
      <c r="E812" s="11"/>
      <c r="F812" s="12"/>
      <c r="G812" s="5"/>
      <c r="H812" s="12"/>
      <c r="I812" s="12"/>
      <c r="J812" s="12"/>
      <c r="K812" s="12"/>
      <c r="L812" s="12"/>
      <c r="M812" s="12"/>
      <c r="N812" s="5"/>
      <c r="O812" s="5"/>
      <c r="P812" s="5"/>
      <c r="Q812" s="5"/>
      <c r="R812" s="5"/>
      <c r="S812" s="5"/>
      <c r="T812" s="5"/>
      <c r="U812" s="12"/>
      <c r="V812" s="5"/>
      <c r="W812" s="11"/>
      <c r="X812" s="11"/>
      <c r="Y812" s="13"/>
      <c r="Z812" s="5"/>
      <c r="AA812" s="14"/>
      <c r="AB812" s="5"/>
      <c r="AC812" s="5"/>
      <c r="AD812" s="5"/>
      <c r="AE812" s="5"/>
      <c r="AF812" s="5"/>
      <c r="AG812" s="5"/>
      <c r="AH812" s="5"/>
      <c r="AI812" s="5"/>
      <c r="AJ812" s="5"/>
    </row>
    <row r="813">
      <c r="A813" s="5"/>
      <c r="B813" s="5"/>
      <c r="C813" s="5"/>
      <c r="D813" s="5"/>
      <c r="E813" s="11"/>
      <c r="F813" s="12"/>
      <c r="G813" s="5"/>
      <c r="H813" s="12"/>
      <c r="I813" s="12"/>
      <c r="J813" s="12"/>
      <c r="K813" s="12"/>
      <c r="L813" s="12"/>
      <c r="M813" s="12"/>
      <c r="N813" s="5"/>
      <c r="O813" s="5"/>
      <c r="P813" s="5"/>
      <c r="Q813" s="5"/>
      <c r="R813" s="5"/>
      <c r="S813" s="5"/>
      <c r="T813" s="5"/>
      <c r="U813" s="12"/>
      <c r="V813" s="5"/>
      <c r="W813" s="11"/>
      <c r="X813" s="11"/>
      <c r="Y813" s="13"/>
      <c r="Z813" s="5"/>
      <c r="AA813" s="14"/>
      <c r="AB813" s="5"/>
      <c r="AC813" s="5"/>
      <c r="AD813" s="5"/>
      <c r="AE813" s="5"/>
      <c r="AF813" s="5"/>
      <c r="AG813" s="5"/>
      <c r="AH813" s="5"/>
      <c r="AI813" s="5"/>
      <c r="AJ813" s="5"/>
    </row>
    <row r="814">
      <c r="A814" s="5"/>
      <c r="B814" s="5"/>
      <c r="C814" s="5"/>
      <c r="D814" s="5"/>
      <c r="E814" s="11"/>
      <c r="F814" s="12"/>
      <c r="G814" s="5"/>
      <c r="H814" s="12"/>
      <c r="I814" s="12"/>
      <c r="J814" s="12"/>
      <c r="K814" s="12"/>
      <c r="L814" s="12"/>
      <c r="M814" s="12"/>
      <c r="N814" s="5"/>
      <c r="O814" s="5"/>
      <c r="P814" s="5"/>
      <c r="Q814" s="5"/>
      <c r="R814" s="5"/>
      <c r="S814" s="5"/>
      <c r="T814" s="5"/>
      <c r="U814" s="12"/>
      <c r="V814" s="5"/>
      <c r="W814" s="11"/>
      <c r="X814" s="11"/>
      <c r="Y814" s="13"/>
      <c r="Z814" s="5"/>
      <c r="AA814" s="14"/>
      <c r="AB814" s="5"/>
      <c r="AC814" s="5"/>
      <c r="AD814" s="5"/>
      <c r="AE814" s="5"/>
      <c r="AF814" s="5"/>
      <c r="AG814" s="5"/>
      <c r="AH814" s="5"/>
      <c r="AI814" s="5"/>
      <c r="AJ814" s="5"/>
    </row>
    <row r="815">
      <c r="A815" s="5"/>
      <c r="B815" s="5"/>
      <c r="C815" s="5"/>
      <c r="D815" s="5"/>
      <c r="E815" s="11"/>
      <c r="F815" s="12"/>
      <c r="G815" s="5"/>
      <c r="H815" s="12"/>
      <c r="I815" s="12"/>
      <c r="J815" s="12"/>
      <c r="K815" s="12"/>
      <c r="L815" s="12"/>
      <c r="M815" s="12"/>
      <c r="N815" s="5"/>
      <c r="O815" s="5"/>
      <c r="P815" s="5"/>
      <c r="Q815" s="5"/>
      <c r="R815" s="5"/>
      <c r="S815" s="5"/>
      <c r="T815" s="5"/>
      <c r="U815" s="12"/>
      <c r="V815" s="5"/>
      <c r="W815" s="11"/>
      <c r="X815" s="11"/>
      <c r="Y815" s="13"/>
      <c r="Z815" s="5"/>
      <c r="AA815" s="14"/>
      <c r="AB815" s="5"/>
      <c r="AC815" s="5"/>
      <c r="AD815" s="5"/>
      <c r="AE815" s="5"/>
      <c r="AF815" s="5"/>
      <c r="AG815" s="5"/>
      <c r="AH815" s="5"/>
      <c r="AI815" s="5"/>
      <c r="AJ815" s="5"/>
    </row>
    <row r="816">
      <c r="A816" s="5"/>
      <c r="B816" s="5"/>
      <c r="C816" s="5"/>
      <c r="D816" s="5"/>
      <c r="E816" s="11"/>
      <c r="F816" s="12"/>
      <c r="G816" s="5"/>
      <c r="H816" s="12"/>
      <c r="I816" s="12"/>
      <c r="J816" s="12"/>
      <c r="K816" s="12"/>
      <c r="L816" s="12"/>
      <c r="M816" s="12"/>
      <c r="N816" s="5"/>
      <c r="O816" s="5"/>
      <c r="P816" s="5"/>
      <c r="Q816" s="5"/>
      <c r="R816" s="5"/>
      <c r="S816" s="5"/>
      <c r="T816" s="5"/>
      <c r="U816" s="12"/>
      <c r="V816" s="5"/>
      <c r="W816" s="11"/>
      <c r="X816" s="11"/>
      <c r="Y816" s="13"/>
      <c r="Z816" s="5"/>
      <c r="AA816" s="14"/>
      <c r="AB816" s="5"/>
      <c r="AC816" s="5"/>
      <c r="AD816" s="5"/>
      <c r="AE816" s="5"/>
      <c r="AF816" s="5"/>
      <c r="AG816" s="5"/>
      <c r="AH816" s="5"/>
      <c r="AI816" s="5"/>
      <c r="AJ816" s="5"/>
    </row>
    <row r="817">
      <c r="A817" s="5"/>
      <c r="B817" s="5"/>
      <c r="C817" s="5"/>
      <c r="D817" s="5"/>
      <c r="E817" s="11"/>
      <c r="F817" s="12"/>
      <c r="G817" s="5"/>
      <c r="H817" s="12"/>
      <c r="I817" s="12"/>
      <c r="J817" s="12"/>
      <c r="K817" s="12"/>
      <c r="L817" s="12"/>
      <c r="M817" s="12"/>
      <c r="N817" s="5"/>
      <c r="O817" s="5"/>
      <c r="P817" s="5"/>
      <c r="Q817" s="5"/>
      <c r="R817" s="5"/>
      <c r="S817" s="5"/>
      <c r="T817" s="5"/>
      <c r="U817" s="12"/>
      <c r="V817" s="5"/>
      <c r="W817" s="11"/>
      <c r="X817" s="11"/>
      <c r="Y817" s="13"/>
      <c r="Z817" s="5"/>
      <c r="AA817" s="14"/>
      <c r="AB817" s="5"/>
      <c r="AC817" s="5"/>
      <c r="AD817" s="5"/>
      <c r="AE817" s="5"/>
      <c r="AF817" s="5"/>
      <c r="AG817" s="5"/>
      <c r="AH817" s="5"/>
      <c r="AI817" s="5"/>
      <c r="AJ817" s="5"/>
    </row>
    <row r="818">
      <c r="A818" s="5"/>
      <c r="B818" s="5"/>
      <c r="C818" s="5"/>
      <c r="D818" s="5"/>
      <c r="E818" s="11"/>
      <c r="F818" s="12"/>
      <c r="G818" s="5"/>
      <c r="H818" s="12"/>
      <c r="I818" s="12"/>
      <c r="J818" s="12"/>
      <c r="K818" s="12"/>
      <c r="L818" s="12"/>
      <c r="M818" s="12"/>
      <c r="N818" s="5"/>
      <c r="O818" s="5"/>
      <c r="P818" s="5"/>
      <c r="Q818" s="5"/>
      <c r="R818" s="5"/>
      <c r="S818" s="5"/>
      <c r="T818" s="5"/>
      <c r="U818" s="12"/>
      <c r="V818" s="5"/>
      <c r="W818" s="11"/>
      <c r="X818" s="11"/>
      <c r="Y818" s="13"/>
      <c r="Z818" s="5"/>
      <c r="AA818" s="14"/>
      <c r="AB818" s="5"/>
      <c r="AC818" s="5"/>
      <c r="AD818" s="5"/>
      <c r="AE818" s="5"/>
      <c r="AF818" s="5"/>
      <c r="AG818" s="5"/>
      <c r="AH818" s="5"/>
      <c r="AI818" s="5"/>
      <c r="AJ818" s="5"/>
    </row>
    <row r="819">
      <c r="A819" s="5"/>
      <c r="B819" s="5"/>
      <c r="C819" s="5"/>
      <c r="D819" s="5"/>
      <c r="E819" s="11"/>
      <c r="F819" s="12"/>
      <c r="G819" s="5"/>
      <c r="H819" s="12"/>
      <c r="I819" s="12"/>
      <c r="J819" s="12"/>
      <c r="K819" s="12"/>
      <c r="L819" s="12"/>
      <c r="M819" s="12"/>
      <c r="N819" s="5"/>
      <c r="O819" s="5"/>
      <c r="P819" s="5"/>
      <c r="Q819" s="5"/>
      <c r="R819" s="5"/>
      <c r="S819" s="5"/>
      <c r="T819" s="5"/>
      <c r="U819" s="12"/>
      <c r="V819" s="5"/>
      <c r="W819" s="11"/>
      <c r="X819" s="11"/>
      <c r="Y819" s="13"/>
      <c r="Z819" s="5"/>
      <c r="AA819" s="14"/>
      <c r="AB819" s="5"/>
      <c r="AC819" s="5"/>
      <c r="AD819" s="5"/>
      <c r="AE819" s="5"/>
      <c r="AF819" s="5"/>
      <c r="AG819" s="5"/>
      <c r="AH819" s="5"/>
      <c r="AI819" s="5"/>
      <c r="AJ819" s="5"/>
    </row>
    <row r="820">
      <c r="A820" s="5"/>
      <c r="B820" s="5"/>
      <c r="C820" s="5"/>
      <c r="D820" s="5"/>
      <c r="E820" s="11"/>
      <c r="F820" s="12"/>
      <c r="G820" s="5"/>
      <c r="H820" s="12"/>
      <c r="I820" s="12"/>
      <c r="J820" s="12"/>
      <c r="K820" s="12"/>
      <c r="L820" s="12"/>
      <c r="M820" s="12"/>
      <c r="N820" s="5"/>
      <c r="O820" s="5"/>
      <c r="P820" s="5"/>
      <c r="Q820" s="5"/>
      <c r="R820" s="5"/>
      <c r="S820" s="5"/>
      <c r="T820" s="5"/>
      <c r="U820" s="12"/>
      <c r="V820" s="5"/>
      <c r="W820" s="11"/>
      <c r="X820" s="11"/>
      <c r="Y820" s="13"/>
      <c r="Z820" s="5"/>
      <c r="AA820" s="14"/>
      <c r="AB820" s="5"/>
      <c r="AC820" s="5"/>
      <c r="AD820" s="5"/>
      <c r="AE820" s="5"/>
      <c r="AF820" s="5"/>
      <c r="AG820" s="5"/>
      <c r="AH820" s="5"/>
      <c r="AI820" s="5"/>
      <c r="AJ820" s="5"/>
    </row>
    <row r="821">
      <c r="A821" s="5"/>
      <c r="B821" s="5"/>
      <c r="C821" s="5"/>
      <c r="D821" s="5"/>
      <c r="E821" s="11"/>
      <c r="F821" s="12"/>
      <c r="G821" s="5"/>
      <c r="H821" s="12"/>
      <c r="I821" s="12"/>
      <c r="J821" s="12"/>
      <c r="K821" s="12"/>
      <c r="L821" s="12"/>
      <c r="M821" s="12"/>
      <c r="N821" s="5"/>
      <c r="O821" s="5"/>
      <c r="P821" s="5"/>
      <c r="Q821" s="5"/>
      <c r="R821" s="5"/>
      <c r="S821" s="5"/>
      <c r="T821" s="5"/>
      <c r="U821" s="12"/>
      <c r="V821" s="5"/>
      <c r="W821" s="11"/>
      <c r="X821" s="11"/>
      <c r="Y821" s="13"/>
      <c r="Z821" s="5"/>
      <c r="AA821" s="14"/>
      <c r="AB821" s="5"/>
      <c r="AC821" s="5"/>
      <c r="AD821" s="5"/>
      <c r="AE821" s="5"/>
      <c r="AF821" s="5"/>
      <c r="AG821" s="5"/>
      <c r="AH821" s="5"/>
      <c r="AI821" s="5"/>
      <c r="AJ821" s="5"/>
    </row>
    <row r="822">
      <c r="A822" s="5"/>
      <c r="B822" s="5"/>
      <c r="C822" s="5"/>
      <c r="D822" s="5"/>
      <c r="E822" s="11"/>
      <c r="F822" s="12"/>
      <c r="G822" s="5"/>
      <c r="H822" s="12"/>
      <c r="I822" s="12"/>
      <c r="J822" s="12"/>
      <c r="K822" s="12"/>
      <c r="L822" s="12"/>
      <c r="M822" s="12"/>
      <c r="N822" s="5"/>
      <c r="O822" s="5"/>
      <c r="P822" s="5"/>
      <c r="Q822" s="5"/>
      <c r="R822" s="5"/>
      <c r="S822" s="5"/>
      <c r="T822" s="5"/>
      <c r="U822" s="12"/>
      <c r="V822" s="5"/>
      <c r="W822" s="11"/>
      <c r="X822" s="11"/>
      <c r="Y822" s="13"/>
      <c r="Z822" s="5"/>
      <c r="AA822" s="14"/>
      <c r="AB822" s="5"/>
      <c r="AC822" s="5"/>
      <c r="AD822" s="5"/>
      <c r="AE822" s="5"/>
      <c r="AF822" s="5"/>
      <c r="AG822" s="5"/>
      <c r="AH822" s="5"/>
      <c r="AI822" s="5"/>
      <c r="AJ822" s="5"/>
    </row>
    <row r="823">
      <c r="A823" s="5"/>
      <c r="B823" s="5"/>
      <c r="C823" s="5"/>
      <c r="D823" s="5"/>
      <c r="E823" s="11"/>
      <c r="F823" s="12"/>
      <c r="G823" s="5"/>
      <c r="H823" s="12"/>
      <c r="I823" s="12"/>
      <c r="J823" s="12"/>
      <c r="K823" s="12"/>
      <c r="L823" s="12"/>
      <c r="M823" s="12"/>
      <c r="N823" s="5"/>
      <c r="O823" s="5"/>
      <c r="P823" s="5"/>
      <c r="Q823" s="5"/>
      <c r="R823" s="5"/>
      <c r="S823" s="5"/>
      <c r="T823" s="5"/>
      <c r="U823" s="12"/>
      <c r="V823" s="5"/>
      <c r="W823" s="11"/>
      <c r="X823" s="11"/>
      <c r="Y823" s="13"/>
      <c r="Z823" s="5"/>
      <c r="AA823" s="14"/>
      <c r="AB823" s="5"/>
      <c r="AC823" s="5"/>
      <c r="AD823" s="5"/>
      <c r="AE823" s="5"/>
      <c r="AF823" s="5"/>
      <c r="AG823" s="5"/>
      <c r="AH823" s="5"/>
      <c r="AI823" s="5"/>
      <c r="AJ823" s="5"/>
    </row>
    <row r="824">
      <c r="A824" s="5"/>
      <c r="B824" s="5"/>
      <c r="C824" s="5"/>
      <c r="D824" s="5"/>
      <c r="E824" s="11"/>
      <c r="F824" s="12"/>
      <c r="G824" s="5"/>
      <c r="H824" s="12"/>
      <c r="I824" s="12"/>
      <c r="J824" s="12"/>
      <c r="K824" s="12"/>
      <c r="L824" s="12"/>
      <c r="M824" s="12"/>
      <c r="N824" s="5"/>
      <c r="O824" s="5"/>
      <c r="P824" s="5"/>
      <c r="Q824" s="5"/>
      <c r="R824" s="5"/>
      <c r="S824" s="5"/>
      <c r="T824" s="5"/>
      <c r="U824" s="12"/>
      <c r="V824" s="5"/>
      <c r="W824" s="11"/>
      <c r="X824" s="11"/>
      <c r="Y824" s="13"/>
      <c r="Z824" s="5"/>
      <c r="AA824" s="14"/>
      <c r="AB824" s="5"/>
      <c r="AC824" s="5"/>
      <c r="AD824" s="5"/>
      <c r="AE824" s="5"/>
      <c r="AF824" s="5"/>
      <c r="AG824" s="5"/>
      <c r="AH824" s="5"/>
      <c r="AI824" s="5"/>
      <c r="AJ824" s="5"/>
    </row>
    <row r="825">
      <c r="A825" s="5"/>
      <c r="B825" s="5"/>
      <c r="C825" s="5"/>
      <c r="D825" s="5"/>
      <c r="E825" s="11"/>
      <c r="F825" s="12"/>
      <c r="G825" s="5"/>
      <c r="H825" s="12"/>
      <c r="I825" s="12"/>
      <c r="J825" s="12"/>
      <c r="K825" s="12"/>
      <c r="L825" s="12"/>
      <c r="M825" s="12"/>
      <c r="N825" s="5"/>
      <c r="O825" s="5"/>
      <c r="P825" s="5"/>
      <c r="Q825" s="5"/>
      <c r="R825" s="5"/>
      <c r="S825" s="5"/>
      <c r="T825" s="5"/>
      <c r="U825" s="12"/>
      <c r="V825" s="5"/>
      <c r="W825" s="11"/>
      <c r="X825" s="11"/>
      <c r="Y825" s="13"/>
      <c r="Z825" s="5"/>
      <c r="AA825" s="14"/>
      <c r="AB825" s="5"/>
      <c r="AC825" s="5"/>
      <c r="AD825" s="5"/>
      <c r="AE825" s="5"/>
      <c r="AF825" s="5"/>
      <c r="AG825" s="5"/>
      <c r="AH825" s="5"/>
      <c r="AI825" s="5"/>
      <c r="AJ825" s="5"/>
    </row>
    <row r="826">
      <c r="A826" s="5"/>
      <c r="B826" s="5"/>
      <c r="C826" s="5"/>
      <c r="D826" s="5"/>
      <c r="E826" s="11"/>
      <c r="F826" s="12"/>
      <c r="G826" s="5"/>
      <c r="H826" s="12"/>
      <c r="I826" s="12"/>
      <c r="J826" s="12"/>
      <c r="K826" s="12"/>
      <c r="L826" s="12"/>
      <c r="M826" s="12"/>
      <c r="N826" s="5"/>
      <c r="O826" s="5"/>
      <c r="P826" s="5"/>
      <c r="Q826" s="5"/>
      <c r="R826" s="5"/>
      <c r="S826" s="5"/>
      <c r="T826" s="5"/>
      <c r="U826" s="12"/>
      <c r="V826" s="5"/>
      <c r="W826" s="11"/>
      <c r="X826" s="11"/>
      <c r="Y826" s="13"/>
      <c r="Z826" s="5"/>
      <c r="AA826" s="14"/>
      <c r="AB826" s="5"/>
      <c r="AC826" s="5"/>
      <c r="AD826" s="5"/>
      <c r="AE826" s="5"/>
      <c r="AF826" s="5"/>
      <c r="AG826" s="5"/>
      <c r="AH826" s="5"/>
      <c r="AI826" s="5"/>
      <c r="AJ826" s="5"/>
    </row>
    <row r="827">
      <c r="A827" s="5"/>
      <c r="B827" s="5"/>
      <c r="C827" s="5"/>
      <c r="D827" s="5"/>
      <c r="E827" s="11"/>
      <c r="F827" s="12"/>
      <c r="G827" s="5"/>
      <c r="H827" s="12"/>
      <c r="I827" s="12"/>
      <c r="J827" s="12"/>
      <c r="K827" s="12"/>
      <c r="L827" s="12"/>
      <c r="M827" s="12"/>
      <c r="N827" s="5"/>
      <c r="O827" s="5"/>
      <c r="P827" s="5"/>
      <c r="Q827" s="5"/>
      <c r="R827" s="5"/>
      <c r="S827" s="5"/>
      <c r="T827" s="5"/>
      <c r="U827" s="12"/>
      <c r="V827" s="5"/>
      <c r="W827" s="11"/>
      <c r="X827" s="11"/>
      <c r="Y827" s="13"/>
      <c r="Z827" s="5"/>
      <c r="AA827" s="14"/>
      <c r="AB827" s="5"/>
      <c r="AC827" s="5"/>
      <c r="AD827" s="5"/>
      <c r="AE827" s="5"/>
      <c r="AF827" s="5"/>
      <c r="AG827" s="5"/>
      <c r="AH827" s="5"/>
      <c r="AI827" s="5"/>
      <c r="AJ827" s="5"/>
    </row>
    <row r="828">
      <c r="A828" s="5"/>
      <c r="B828" s="5"/>
      <c r="C828" s="5"/>
      <c r="D828" s="5"/>
      <c r="E828" s="11"/>
      <c r="F828" s="12"/>
      <c r="G828" s="5"/>
      <c r="H828" s="12"/>
      <c r="I828" s="12"/>
      <c r="J828" s="12"/>
      <c r="K828" s="12"/>
      <c r="L828" s="12"/>
      <c r="M828" s="12"/>
      <c r="N828" s="5"/>
      <c r="O828" s="5"/>
      <c r="P828" s="5"/>
      <c r="Q828" s="5"/>
      <c r="R828" s="5"/>
      <c r="S828" s="5"/>
      <c r="T828" s="5"/>
      <c r="U828" s="12"/>
      <c r="V828" s="5"/>
      <c r="W828" s="11"/>
      <c r="X828" s="11"/>
      <c r="Y828" s="13"/>
      <c r="Z828" s="5"/>
      <c r="AA828" s="14"/>
      <c r="AB828" s="5"/>
      <c r="AC828" s="5"/>
      <c r="AD828" s="5"/>
      <c r="AE828" s="5"/>
      <c r="AF828" s="5"/>
      <c r="AG828" s="5"/>
      <c r="AH828" s="5"/>
      <c r="AI828" s="5"/>
      <c r="AJ828" s="5"/>
    </row>
    <row r="829">
      <c r="A829" s="5"/>
      <c r="B829" s="5"/>
      <c r="C829" s="5"/>
      <c r="D829" s="5"/>
      <c r="E829" s="11"/>
      <c r="F829" s="12"/>
      <c r="G829" s="5"/>
      <c r="H829" s="12"/>
      <c r="I829" s="12"/>
      <c r="J829" s="12"/>
      <c r="K829" s="12"/>
      <c r="L829" s="12"/>
      <c r="M829" s="12"/>
      <c r="N829" s="5"/>
      <c r="O829" s="5"/>
      <c r="P829" s="5"/>
      <c r="Q829" s="5"/>
      <c r="R829" s="5"/>
      <c r="S829" s="5"/>
      <c r="T829" s="5"/>
      <c r="U829" s="12"/>
      <c r="V829" s="5"/>
      <c r="W829" s="11"/>
      <c r="X829" s="11"/>
      <c r="Y829" s="13"/>
      <c r="Z829" s="5"/>
      <c r="AA829" s="14"/>
      <c r="AB829" s="5"/>
      <c r="AC829" s="5"/>
      <c r="AD829" s="5"/>
      <c r="AE829" s="5"/>
      <c r="AF829" s="5"/>
      <c r="AG829" s="5"/>
      <c r="AH829" s="5"/>
      <c r="AI829" s="5"/>
      <c r="AJ829" s="5"/>
    </row>
    <row r="830">
      <c r="A830" s="5"/>
      <c r="B830" s="5"/>
      <c r="C830" s="5"/>
      <c r="D830" s="5"/>
      <c r="E830" s="11"/>
      <c r="F830" s="12"/>
      <c r="G830" s="5"/>
      <c r="H830" s="12"/>
      <c r="I830" s="12"/>
      <c r="J830" s="12"/>
      <c r="K830" s="12"/>
      <c r="L830" s="12"/>
      <c r="M830" s="12"/>
      <c r="N830" s="5"/>
      <c r="O830" s="5"/>
      <c r="P830" s="5"/>
      <c r="Q830" s="5"/>
      <c r="R830" s="5"/>
      <c r="S830" s="5"/>
      <c r="T830" s="5"/>
      <c r="U830" s="12"/>
      <c r="V830" s="5"/>
      <c r="W830" s="11"/>
      <c r="X830" s="11"/>
      <c r="Y830" s="13"/>
      <c r="Z830" s="5"/>
      <c r="AA830" s="14"/>
      <c r="AB830" s="5"/>
      <c r="AC830" s="5"/>
      <c r="AD830" s="5"/>
      <c r="AE830" s="5"/>
      <c r="AF830" s="5"/>
      <c r="AG830" s="5"/>
      <c r="AH830" s="5"/>
      <c r="AI830" s="5"/>
      <c r="AJ830" s="5"/>
    </row>
    <row r="831">
      <c r="A831" s="5"/>
      <c r="B831" s="5"/>
      <c r="C831" s="5"/>
      <c r="D831" s="5"/>
      <c r="E831" s="11"/>
      <c r="F831" s="12"/>
      <c r="G831" s="5"/>
      <c r="H831" s="12"/>
      <c r="I831" s="12"/>
      <c r="J831" s="12"/>
      <c r="K831" s="12"/>
      <c r="L831" s="12"/>
      <c r="M831" s="12"/>
      <c r="N831" s="5"/>
      <c r="O831" s="5"/>
      <c r="P831" s="5"/>
      <c r="Q831" s="5"/>
      <c r="R831" s="5"/>
      <c r="S831" s="5"/>
      <c r="T831" s="5"/>
      <c r="U831" s="12"/>
      <c r="V831" s="5"/>
      <c r="W831" s="11"/>
      <c r="X831" s="11"/>
      <c r="Y831" s="13"/>
      <c r="Z831" s="5"/>
      <c r="AA831" s="14"/>
      <c r="AB831" s="5"/>
      <c r="AC831" s="5"/>
      <c r="AD831" s="5"/>
      <c r="AE831" s="5"/>
      <c r="AF831" s="5"/>
      <c r="AG831" s="5"/>
      <c r="AH831" s="5"/>
      <c r="AI831" s="5"/>
      <c r="AJ831" s="5"/>
    </row>
    <row r="832">
      <c r="A832" s="5"/>
      <c r="B832" s="5"/>
      <c r="C832" s="5"/>
      <c r="D832" s="5"/>
      <c r="E832" s="11"/>
      <c r="F832" s="12"/>
      <c r="G832" s="5"/>
      <c r="H832" s="12"/>
      <c r="I832" s="12"/>
      <c r="J832" s="12"/>
      <c r="K832" s="12"/>
      <c r="L832" s="12"/>
      <c r="M832" s="12"/>
      <c r="N832" s="5"/>
      <c r="O832" s="5"/>
      <c r="P832" s="5"/>
      <c r="Q832" s="5"/>
      <c r="R832" s="5"/>
      <c r="S832" s="5"/>
      <c r="T832" s="5"/>
      <c r="U832" s="12"/>
      <c r="V832" s="5"/>
      <c r="W832" s="11"/>
      <c r="X832" s="11"/>
      <c r="Y832" s="13"/>
      <c r="Z832" s="5"/>
      <c r="AA832" s="14"/>
      <c r="AB832" s="5"/>
      <c r="AC832" s="5"/>
      <c r="AD832" s="5"/>
      <c r="AE832" s="5"/>
      <c r="AF832" s="5"/>
      <c r="AG832" s="5"/>
      <c r="AH832" s="5"/>
      <c r="AI832" s="5"/>
      <c r="AJ832" s="5"/>
    </row>
    <row r="833">
      <c r="A833" s="5"/>
      <c r="B833" s="5"/>
      <c r="C833" s="5"/>
      <c r="D833" s="5"/>
      <c r="E833" s="11"/>
      <c r="F833" s="12"/>
      <c r="G833" s="5"/>
      <c r="H833" s="12"/>
      <c r="I833" s="12"/>
      <c r="J833" s="12"/>
      <c r="K833" s="12"/>
      <c r="L833" s="12"/>
      <c r="M833" s="12"/>
      <c r="N833" s="5"/>
      <c r="O833" s="5"/>
      <c r="P833" s="5"/>
      <c r="Q833" s="5"/>
      <c r="R833" s="5"/>
      <c r="S833" s="5"/>
      <c r="T833" s="5"/>
      <c r="U833" s="12"/>
      <c r="V833" s="5"/>
      <c r="W833" s="11"/>
      <c r="X833" s="11"/>
      <c r="Y833" s="13"/>
      <c r="Z833" s="5"/>
      <c r="AA833" s="14"/>
      <c r="AB833" s="5"/>
      <c r="AC833" s="5"/>
      <c r="AD833" s="5"/>
      <c r="AE833" s="5"/>
      <c r="AF833" s="5"/>
      <c r="AG833" s="5"/>
      <c r="AH833" s="5"/>
      <c r="AI833" s="5"/>
      <c r="AJ833" s="5"/>
    </row>
    <row r="834">
      <c r="A834" s="5"/>
      <c r="B834" s="5"/>
      <c r="C834" s="5"/>
      <c r="D834" s="5"/>
      <c r="E834" s="11"/>
      <c r="F834" s="12"/>
      <c r="G834" s="5"/>
      <c r="H834" s="12"/>
      <c r="I834" s="12"/>
      <c r="J834" s="12"/>
      <c r="K834" s="12"/>
      <c r="L834" s="12"/>
      <c r="M834" s="12"/>
      <c r="N834" s="5"/>
      <c r="O834" s="5"/>
      <c r="P834" s="5"/>
      <c r="Q834" s="5"/>
      <c r="R834" s="5"/>
      <c r="S834" s="5"/>
      <c r="T834" s="5"/>
      <c r="U834" s="12"/>
      <c r="V834" s="5"/>
      <c r="W834" s="11"/>
      <c r="X834" s="11"/>
      <c r="Y834" s="13"/>
      <c r="Z834" s="5"/>
      <c r="AA834" s="14"/>
      <c r="AB834" s="5"/>
      <c r="AC834" s="5"/>
      <c r="AD834" s="5"/>
      <c r="AE834" s="5"/>
      <c r="AF834" s="5"/>
      <c r="AG834" s="5"/>
      <c r="AH834" s="5"/>
      <c r="AI834" s="5"/>
      <c r="AJ834" s="5"/>
    </row>
    <row r="835">
      <c r="A835" s="5"/>
      <c r="B835" s="5"/>
      <c r="C835" s="5"/>
      <c r="D835" s="5"/>
      <c r="E835" s="11"/>
      <c r="F835" s="12"/>
      <c r="G835" s="5"/>
      <c r="H835" s="12"/>
      <c r="I835" s="12"/>
      <c r="J835" s="12"/>
      <c r="K835" s="12"/>
      <c r="L835" s="12"/>
      <c r="M835" s="12"/>
      <c r="N835" s="5"/>
      <c r="O835" s="5"/>
      <c r="P835" s="5"/>
      <c r="Q835" s="5"/>
      <c r="R835" s="5"/>
      <c r="S835" s="5"/>
      <c r="T835" s="5"/>
      <c r="U835" s="12"/>
      <c r="V835" s="5"/>
      <c r="W835" s="11"/>
      <c r="X835" s="11"/>
      <c r="Y835" s="13"/>
      <c r="Z835" s="5"/>
      <c r="AA835" s="14"/>
      <c r="AB835" s="5"/>
      <c r="AC835" s="5"/>
      <c r="AD835" s="5"/>
      <c r="AE835" s="5"/>
      <c r="AF835" s="5"/>
      <c r="AG835" s="5"/>
      <c r="AH835" s="5"/>
      <c r="AI835" s="5"/>
      <c r="AJ835" s="5"/>
    </row>
    <row r="836">
      <c r="A836" s="5"/>
      <c r="B836" s="5"/>
      <c r="C836" s="5"/>
      <c r="D836" s="5"/>
      <c r="E836" s="11"/>
      <c r="F836" s="12"/>
      <c r="G836" s="5"/>
      <c r="H836" s="12"/>
      <c r="I836" s="12"/>
      <c r="J836" s="12"/>
      <c r="K836" s="12"/>
      <c r="L836" s="12"/>
      <c r="M836" s="12"/>
      <c r="N836" s="5"/>
      <c r="O836" s="5"/>
      <c r="P836" s="5"/>
      <c r="Q836" s="5"/>
      <c r="R836" s="5"/>
      <c r="S836" s="5"/>
      <c r="T836" s="5"/>
      <c r="U836" s="12"/>
      <c r="V836" s="5"/>
      <c r="W836" s="11"/>
      <c r="X836" s="11"/>
      <c r="Y836" s="13"/>
      <c r="Z836" s="5"/>
      <c r="AA836" s="14"/>
      <c r="AB836" s="5"/>
      <c r="AC836" s="5"/>
      <c r="AD836" s="5"/>
      <c r="AE836" s="5"/>
      <c r="AF836" s="5"/>
      <c r="AG836" s="5"/>
      <c r="AH836" s="5"/>
      <c r="AI836" s="5"/>
      <c r="AJ836" s="5"/>
    </row>
    <row r="837">
      <c r="A837" s="5"/>
      <c r="B837" s="5"/>
      <c r="C837" s="5"/>
      <c r="D837" s="5"/>
      <c r="E837" s="11"/>
      <c r="F837" s="12"/>
      <c r="G837" s="5"/>
      <c r="H837" s="12"/>
      <c r="I837" s="12"/>
      <c r="J837" s="12"/>
      <c r="K837" s="12"/>
      <c r="L837" s="12"/>
      <c r="M837" s="12"/>
      <c r="N837" s="5"/>
      <c r="O837" s="5"/>
      <c r="P837" s="5"/>
      <c r="Q837" s="5"/>
      <c r="R837" s="5"/>
      <c r="S837" s="5"/>
      <c r="T837" s="5"/>
      <c r="U837" s="12"/>
      <c r="V837" s="5"/>
      <c r="W837" s="11"/>
      <c r="X837" s="11"/>
      <c r="Y837" s="13"/>
      <c r="Z837" s="5"/>
      <c r="AA837" s="14"/>
      <c r="AB837" s="5"/>
      <c r="AC837" s="5"/>
      <c r="AD837" s="5"/>
      <c r="AE837" s="5"/>
      <c r="AF837" s="5"/>
      <c r="AG837" s="5"/>
      <c r="AH837" s="5"/>
      <c r="AI837" s="5"/>
      <c r="AJ837" s="5"/>
    </row>
    <row r="838">
      <c r="A838" s="5"/>
      <c r="B838" s="5"/>
      <c r="C838" s="5"/>
      <c r="D838" s="5"/>
      <c r="E838" s="11"/>
      <c r="F838" s="12"/>
      <c r="G838" s="5"/>
      <c r="H838" s="12"/>
      <c r="I838" s="12"/>
      <c r="J838" s="12"/>
      <c r="K838" s="12"/>
      <c r="L838" s="12"/>
      <c r="M838" s="12"/>
      <c r="N838" s="5"/>
      <c r="O838" s="5"/>
      <c r="P838" s="5"/>
      <c r="Q838" s="5"/>
      <c r="R838" s="5"/>
      <c r="S838" s="5"/>
      <c r="T838" s="5"/>
      <c r="U838" s="12"/>
      <c r="V838" s="5"/>
      <c r="W838" s="11"/>
      <c r="X838" s="11"/>
      <c r="Y838" s="13"/>
      <c r="Z838" s="5"/>
      <c r="AA838" s="14"/>
      <c r="AB838" s="5"/>
      <c r="AC838" s="5"/>
      <c r="AD838" s="5"/>
      <c r="AE838" s="5"/>
      <c r="AF838" s="5"/>
      <c r="AG838" s="5"/>
      <c r="AH838" s="5"/>
      <c r="AI838" s="5"/>
      <c r="AJ838" s="5"/>
    </row>
    <row r="839">
      <c r="A839" s="5"/>
      <c r="B839" s="5"/>
      <c r="C839" s="5"/>
      <c r="D839" s="5"/>
      <c r="E839" s="11"/>
      <c r="F839" s="12"/>
      <c r="G839" s="5"/>
      <c r="H839" s="12"/>
      <c r="I839" s="12"/>
      <c r="J839" s="12"/>
      <c r="K839" s="12"/>
      <c r="L839" s="12"/>
      <c r="M839" s="12"/>
      <c r="N839" s="5"/>
      <c r="O839" s="5"/>
      <c r="P839" s="5"/>
      <c r="Q839" s="5"/>
      <c r="R839" s="5"/>
      <c r="S839" s="5"/>
      <c r="T839" s="5"/>
      <c r="U839" s="12"/>
      <c r="V839" s="5"/>
      <c r="W839" s="11"/>
      <c r="X839" s="11"/>
      <c r="Y839" s="13"/>
      <c r="Z839" s="5"/>
      <c r="AA839" s="14"/>
      <c r="AB839" s="5"/>
      <c r="AC839" s="5"/>
      <c r="AD839" s="5"/>
      <c r="AE839" s="5"/>
      <c r="AF839" s="5"/>
      <c r="AG839" s="5"/>
      <c r="AH839" s="5"/>
      <c r="AI839" s="5"/>
      <c r="AJ839" s="5"/>
    </row>
    <row r="840">
      <c r="A840" s="5"/>
      <c r="B840" s="5"/>
      <c r="C840" s="5"/>
      <c r="D840" s="5"/>
      <c r="E840" s="11"/>
      <c r="F840" s="12"/>
      <c r="G840" s="5"/>
      <c r="H840" s="12"/>
      <c r="I840" s="12"/>
      <c r="J840" s="12"/>
      <c r="K840" s="12"/>
      <c r="L840" s="12"/>
      <c r="M840" s="12"/>
      <c r="N840" s="5"/>
      <c r="O840" s="5"/>
      <c r="P840" s="5"/>
      <c r="Q840" s="5"/>
      <c r="R840" s="5"/>
      <c r="S840" s="5"/>
      <c r="T840" s="5"/>
      <c r="U840" s="12"/>
      <c r="V840" s="5"/>
      <c r="W840" s="11"/>
      <c r="X840" s="11"/>
      <c r="Y840" s="13"/>
      <c r="Z840" s="5"/>
      <c r="AA840" s="14"/>
      <c r="AB840" s="5"/>
      <c r="AC840" s="5"/>
      <c r="AD840" s="5"/>
      <c r="AE840" s="5"/>
      <c r="AF840" s="5"/>
      <c r="AG840" s="5"/>
      <c r="AH840" s="5"/>
      <c r="AI840" s="5"/>
      <c r="AJ840" s="5"/>
    </row>
    <row r="841">
      <c r="A841" s="5"/>
      <c r="B841" s="5"/>
      <c r="C841" s="5"/>
      <c r="D841" s="5"/>
      <c r="E841" s="11"/>
      <c r="F841" s="12"/>
      <c r="G841" s="5"/>
      <c r="H841" s="12"/>
      <c r="I841" s="12"/>
      <c r="J841" s="12"/>
      <c r="K841" s="12"/>
      <c r="L841" s="12"/>
      <c r="M841" s="12"/>
      <c r="N841" s="5"/>
      <c r="O841" s="5"/>
      <c r="P841" s="5"/>
      <c r="Q841" s="5"/>
      <c r="R841" s="5"/>
      <c r="S841" s="5"/>
      <c r="T841" s="5"/>
      <c r="U841" s="12"/>
      <c r="V841" s="5"/>
      <c r="W841" s="11"/>
      <c r="X841" s="11"/>
      <c r="Y841" s="13"/>
      <c r="Z841" s="5"/>
      <c r="AA841" s="14"/>
      <c r="AB841" s="5"/>
      <c r="AC841" s="5"/>
      <c r="AD841" s="5"/>
      <c r="AE841" s="5"/>
      <c r="AF841" s="5"/>
      <c r="AG841" s="5"/>
      <c r="AH841" s="5"/>
      <c r="AI841" s="5"/>
      <c r="AJ841" s="5"/>
    </row>
    <row r="842">
      <c r="A842" s="5"/>
      <c r="B842" s="5"/>
      <c r="C842" s="5"/>
      <c r="D842" s="5"/>
      <c r="E842" s="11"/>
      <c r="F842" s="12"/>
      <c r="G842" s="5"/>
      <c r="H842" s="12"/>
      <c r="I842" s="12"/>
      <c r="J842" s="12"/>
      <c r="K842" s="12"/>
      <c r="L842" s="12"/>
      <c r="M842" s="12"/>
      <c r="N842" s="5"/>
      <c r="O842" s="5"/>
      <c r="P842" s="5"/>
      <c r="Q842" s="5"/>
      <c r="R842" s="5"/>
      <c r="S842" s="5"/>
      <c r="T842" s="5"/>
      <c r="U842" s="12"/>
      <c r="V842" s="5"/>
      <c r="W842" s="11"/>
      <c r="X842" s="11"/>
      <c r="Y842" s="13"/>
      <c r="Z842" s="5"/>
      <c r="AA842" s="14"/>
      <c r="AB842" s="5"/>
      <c r="AC842" s="5"/>
      <c r="AD842" s="5"/>
      <c r="AE842" s="5"/>
      <c r="AF842" s="5"/>
      <c r="AG842" s="5"/>
      <c r="AH842" s="5"/>
      <c r="AI842" s="5"/>
      <c r="AJ842" s="5"/>
    </row>
    <row r="843">
      <c r="A843" s="5"/>
      <c r="B843" s="5"/>
      <c r="C843" s="5"/>
      <c r="D843" s="5"/>
      <c r="E843" s="11"/>
      <c r="F843" s="12"/>
      <c r="G843" s="5"/>
      <c r="H843" s="12"/>
      <c r="I843" s="12"/>
      <c r="J843" s="12"/>
      <c r="K843" s="12"/>
      <c r="L843" s="12"/>
      <c r="M843" s="12"/>
      <c r="N843" s="5"/>
      <c r="O843" s="5"/>
      <c r="P843" s="5"/>
      <c r="Q843" s="5"/>
      <c r="R843" s="5"/>
      <c r="S843" s="5"/>
      <c r="T843" s="5"/>
      <c r="U843" s="12"/>
      <c r="V843" s="5"/>
      <c r="W843" s="11"/>
      <c r="X843" s="11"/>
      <c r="Y843" s="13"/>
      <c r="Z843" s="5"/>
      <c r="AA843" s="14"/>
      <c r="AB843" s="5"/>
      <c r="AC843" s="5"/>
      <c r="AD843" s="5"/>
      <c r="AE843" s="5"/>
      <c r="AF843" s="5"/>
      <c r="AG843" s="5"/>
      <c r="AH843" s="5"/>
      <c r="AI843" s="5"/>
      <c r="AJ843" s="5"/>
    </row>
    <row r="844">
      <c r="A844" s="5"/>
      <c r="B844" s="5"/>
      <c r="C844" s="5"/>
      <c r="D844" s="5"/>
      <c r="E844" s="11"/>
      <c r="F844" s="12"/>
      <c r="G844" s="5"/>
      <c r="H844" s="12"/>
      <c r="I844" s="12"/>
      <c r="J844" s="12"/>
      <c r="K844" s="12"/>
      <c r="L844" s="12"/>
      <c r="M844" s="12"/>
      <c r="N844" s="5"/>
      <c r="O844" s="5"/>
      <c r="P844" s="5"/>
      <c r="Q844" s="5"/>
      <c r="R844" s="5"/>
      <c r="S844" s="5"/>
      <c r="T844" s="5"/>
      <c r="U844" s="12"/>
      <c r="V844" s="5"/>
      <c r="W844" s="11"/>
      <c r="X844" s="11"/>
      <c r="Y844" s="13"/>
      <c r="Z844" s="5"/>
      <c r="AA844" s="14"/>
      <c r="AB844" s="5"/>
      <c r="AC844" s="5"/>
      <c r="AD844" s="5"/>
      <c r="AE844" s="5"/>
      <c r="AF844" s="5"/>
      <c r="AG844" s="5"/>
      <c r="AH844" s="5"/>
      <c r="AI844" s="5"/>
      <c r="AJ844" s="5"/>
    </row>
    <row r="845">
      <c r="A845" s="5"/>
      <c r="B845" s="5"/>
      <c r="C845" s="5"/>
      <c r="D845" s="5"/>
      <c r="E845" s="11"/>
      <c r="F845" s="12"/>
      <c r="G845" s="5"/>
      <c r="H845" s="12"/>
      <c r="I845" s="12"/>
      <c r="J845" s="12"/>
      <c r="K845" s="12"/>
      <c r="L845" s="12"/>
      <c r="M845" s="12"/>
      <c r="N845" s="5"/>
      <c r="O845" s="5"/>
      <c r="P845" s="5"/>
      <c r="Q845" s="5"/>
      <c r="R845" s="5"/>
      <c r="S845" s="5"/>
      <c r="T845" s="5"/>
      <c r="U845" s="12"/>
      <c r="V845" s="5"/>
      <c r="W845" s="11"/>
      <c r="X845" s="11"/>
      <c r="Y845" s="13"/>
      <c r="Z845" s="5"/>
      <c r="AA845" s="14"/>
      <c r="AB845" s="5"/>
      <c r="AC845" s="5"/>
      <c r="AD845" s="5"/>
      <c r="AE845" s="5"/>
      <c r="AF845" s="5"/>
      <c r="AG845" s="5"/>
      <c r="AH845" s="5"/>
      <c r="AI845" s="5"/>
      <c r="AJ845" s="5"/>
    </row>
    <row r="846">
      <c r="A846" s="5"/>
      <c r="B846" s="5"/>
      <c r="C846" s="5"/>
      <c r="D846" s="5"/>
      <c r="E846" s="11"/>
      <c r="F846" s="12"/>
      <c r="G846" s="5"/>
      <c r="H846" s="12"/>
      <c r="I846" s="12"/>
      <c r="J846" s="12"/>
      <c r="K846" s="12"/>
      <c r="L846" s="12"/>
      <c r="M846" s="12"/>
      <c r="N846" s="5"/>
      <c r="O846" s="5"/>
      <c r="P846" s="5"/>
      <c r="Q846" s="5"/>
      <c r="R846" s="5"/>
      <c r="S846" s="5"/>
      <c r="T846" s="5"/>
      <c r="U846" s="12"/>
      <c r="V846" s="5"/>
      <c r="W846" s="11"/>
      <c r="X846" s="11"/>
      <c r="Y846" s="13"/>
      <c r="Z846" s="5"/>
      <c r="AA846" s="14"/>
      <c r="AB846" s="5"/>
      <c r="AC846" s="5"/>
      <c r="AD846" s="5"/>
      <c r="AE846" s="5"/>
      <c r="AF846" s="5"/>
      <c r="AG846" s="5"/>
      <c r="AH846" s="5"/>
      <c r="AI846" s="5"/>
      <c r="AJ846" s="5"/>
    </row>
    <row r="847">
      <c r="A847" s="5"/>
      <c r="B847" s="5"/>
      <c r="C847" s="5"/>
      <c r="D847" s="5"/>
      <c r="E847" s="11"/>
      <c r="F847" s="12"/>
      <c r="G847" s="5"/>
      <c r="H847" s="12"/>
      <c r="I847" s="12"/>
      <c r="J847" s="12"/>
      <c r="K847" s="12"/>
      <c r="L847" s="12"/>
      <c r="M847" s="12"/>
      <c r="N847" s="5"/>
      <c r="O847" s="5"/>
      <c r="P847" s="5"/>
      <c r="Q847" s="5"/>
      <c r="R847" s="5"/>
      <c r="S847" s="5"/>
      <c r="T847" s="5"/>
      <c r="U847" s="12"/>
      <c r="V847" s="5"/>
      <c r="W847" s="11"/>
      <c r="X847" s="11"/>
      <c r="Y847" s="13"/>
      <c r="Z847" s="5"/>
      <c r="AA847" s="14"/>
      <c r="AB847" s="5"/>
      <c r="AC847" s="5"/>
      <c r="AD847" s="5"/>
      <c r="AE847" s="5"/>
      <c r="AF847" s="5"/>
      <c r="AG847" s="5"/>
      <c r="AH847" s="5"/>
      <c r="AI847" s="5"/>
      <c r="AJ847" s="5"/>
    </row>
    <row r="848">
      <c r="A848" s="5"/>
      <c r="B848" s="5"/>
      <c r="C848" s="5"/>
      <c r="D848" s="5"/>
      <c r="E848" s="11"/>
      <c r="F848" s="12"/>
      <c r="G848" s="5"/>
      <c r="H848" s="12"/>
      <c r="I848" s="12"/>
      <c r="J848" s="12"/>
      <c r="K848" s="12"/>
      <c r="L848" s="12"/>
      <c r="M848" s="12"/>
      <c r="N848" s="5"/>
      <c r="O848" s="5"/>
      <c r="P848" s="5"/>
      <c r="Q848" s="5"/>
      <c r="R848" s="5"/>
      <c r="S848" s="5"/>
      <c r="T848" s="5"/>
      <c r="U848" s="12"/>
      <c r="V848" s="5"/>
      <c r="W848" s="11"/>
      <c r="X848" s="11"/>
      <c r="Y848" s="13"/>
      <c r="Z848" s="5"/>
      <c r="AA848" s="14"/>
      <c r="AB848" s="5"/>
      <c r="AC848" s="5"/>
      <c r="AD848" s="5"/>
      <c r="AE848" s="5"/>
      <c r="AF848" s="5"/>
      <c r="AG848" s="5"/>
      <c r="AH848" s="5"/>
      <c r="AI848" s="5"/>
      <c r="AJ848" s="5"/>
    </row>
    <row r="849">
      <c r="A849" s="5"/>
      <c r="B849" s="5"/>
      <c r="C849" s="5"/>
      <c r="D849" s="5"/>
      <c r="E849" s="11"/>
      <c r="F849" s="12"/>
      <c r="G849" s="5"/>
      <c r="H849" s="12"/>
      <c r="I849" s="12"/>
      <c r="J849" s="12"/>
      <c r="K849" s="12"/>
      <c r="L849" s="12"/>
      <c r="M849" s="12"/>
      <c r="N849" s="5"/>
      <c r="O849" s="5"/>
      <c r="P849" s="5"/>
      <c r="Q849" s="5"/>
      <c r="R849" s="5"/>
      <c r="S849" s="5"/>
      <c r="T849" s="5"/>
      <c r="U849" s="12"/>
      <c r="V849" s="5"/>
      <c r="W849" s="11"/>
      <c r="X849" s="11"/>
      <c r="Y849" s="13"/>
      <c r="Z849" s="5"/>
      <c r="AA849" s="14"/>
      <c r="AB849" s="5"/>
      <c r="AC849" s="5"/>
      <c r="AD849" s="5"/>
      <c r="AE849" s="5"/>
      <c r="AF849" s="5"/>
      <c r="AG849" s="5"/>
      <c r="AH849" s="5"/>
      <c r="AI849" s="5"/>
      <c r="AJ849" s="5"/>
    </row>
    <row r="850">
      <c r="A850" s="5"/>
      <c r="B850" s="5"/>
      <c r="C850" s="5"/>
      <c r="D850" s="5"/>
      <c r="E850" s="11"/>
      <c r="F850" s="12"/>
      <c r="G850" s="5"/>
      <c r="H850" s="12"/>
      <c r="I850" s="12"/>
      <c r="J850" s="12"/>
      <c r="K850" s="12"/>
      <c r="L850" s="12"/>
      <c r="M850" s="12"/>
      <c r="N850" s="5"/>
      <c r="O850" s="5"/>
      <c r="P850" s="5"/>
      <c r="Q850" s="5"/>
      <c r="R850" s="5"/>
      <c r="S850" s="5"/>
      <c r="T850" s="5"/>
      <c r="U850" s="12"/>
      <c r="V850" s="5"/>
      <c r="W850" s="11"/>
      <c r="X850" s="11"/>
      <c r="Y850" s="13"/>
      <c r="Z850" s="5"/>
      <c r="AA850" s="14"/>
      <c r="AB850" s="5"/>
      <c r="AC850" s="5"/>
      <c r="AD850" s="5"/>
      <c r="AE850" s="5"/>
      <c r="AF850" s="5"/>
      <c r="AG850" s="5"/>
      <c r="AH850" s="5"/>
      <c r="AI850" s="5"/>
      <c r="AJ850" s="5"/>
    </row>
    <row r="851">
      <c r="A851" s="5"/>
      <c r="B851" s="5"/>
      <c r="C851" s="5"/>
      <c r="D851" s="5"/>
      <c r="E851" s="11"/>
      <c r="F851" s="12"/>
      <c r="G851" s="5"/>
      <c r="H851" s="12"/>
      <c r="I851" s="12"/>
      <c r="J851" s="12"/>
      <c r="K851" s="12"/>
      <c r="L851" s="12"/>
      <c r="M851" s="12"/>
      <c r="N851" s="5"/>
      <c r="O851" s="5"/>
      <c r="P851" s="5"/>
      <c r="Q851" s="5"/>
      <c r="R851" s="5"/>
      <c r="S851" s="5"/>
      <c r="T851" s="5"/>
      <c r="U851" s="12"/>
      <c r="V851" s="5"/>
      <c r="W851" s="11"/>
      <c r="X851" s="11"/>
      <c r="Y851" s="13"/>
      <c r="Z851" s="5"/>
      <c r="AA851" s="14"/>
      <c r="AB851" s="5"/>
      <c r="AC851" s="5"/>
      <c r="AD851" s="5"/>
      <c r="AE851" s="5"/>
      <c r="AF851" s="5"/>
      <c r="AG851" s="5"/>
      <c r="AH851" s="5"/>
      <c r="AI851" s="5"/>
      <c r="AJ851" s="5"/>
    </row>
    <row r="852">
      <c r="A852" s="5"/>
      <c r="B852" s="5"/>
      <c r="C852" s="5"/>
      <c r="D852" s="5"/>
      <c r="E852" s="11"/>
      <c r="F852" s="12"/>
      <c r="G852" s="5"/>
      <c r="H852" s="12"/>
      <c r="I852" s="12"/>
      <c r="J852" s="12"/>
      <c r="K852" s="12"/>
      <c r="L852" s="12"/>
      <c r="M852" s="12"/>
      <c r="N852" s="5"/>
      <c r="O852" s="5"/>
      <c r="P852" s="5"/>
      <c r="Q852" s="5"/>
      <c r="R852" s="5"/>
      <c r="S852" s="5"/>
      <c r="T852" s="5"/>
      <c r="U852" s="12"/>
      <c r="V852" s="5"/>
      <c r="W852" s="11"/>
      <c r="X852" s="11"/>
      <c r="Y852" s="13"/>
      <c r="Z852" s="5"/>
      <c r="AA852" s="14"/>
      <c r="AB852" s="5"/>
      <c r="AC852" s="5"/>
      <c r="AD852" s="5"/>
      <c r="AE852" s="5"/>
      <c r="AF852" s="5"/>
      <c r="AG852" s="5"/>
      <c r="AH852" s="5"/>
      <c r="AI852" s="5"/>
      <c r="AJ852" s="5"/>
    </row>
    <row r="853">
      <c r="A853" s="5"/>
      <c r="B853" s="5"/>
      <c r="C853" s="5"/>
      <c r="D853" s="5"/>
      <c r="E853" s="11"/>
      <c r="F853" s="12"/>
      <c r="G853" s="5"/>
      <c r="H853" s="12"/>
      <c r="I853" s="12"/>
      <c r="J853" s="12"/>
      <c r="K853" s="12"/>
      <c r="L853" s="12"/>
      <c r="M853" s="12"/>
      <c r="N853" s="5"/>
      <c r="O853" s="5"/>
      <c r="P853" s="5"/>
      <c r="Q853" s="5"/>
      <c r="R853" s="5"/>
      <c r="S853" s="5"/>
      <c r="T853" s="5"/>
      <c r="U853" s="12"/>
      <c r="V853" s="5"/>
      <c r="W853" s="11"/>
      <c r="X853" s="11"/>
      <c r="Y853" s="13"/>
      <c r="Z853" s="5"/>
      <c r="AA853" s="14"/>
      <c r="AB853" s="5"/>
      <c r="AC853" s="5"/>
      <c r="AD853" s="5"/>
      <c r="AE853" s="5"/>
      <c r="AF853" s="5"/>
      <c r="AG853" s="5"/>
      <c r="AH853" s="5"/>
      <c r="AI853" s="5"/>
      <c r="AJ853" s="5"/>
    </row>
    <row r="854">
      <c r="A854" s="5"/>
      <c r="B854" s="5"/>
      <c r="C854" s="5"/>
      <c r="D854" s="5"/>
      <c r="E854" s="11"/>
      <c r="F854" s="12"/>
      <c r="G854" s="5"/>
      <c r="H854" s="12"/>
      <c r="I854" s="12"/>
      <c r="J854" s="12"/>
      <c r="K854" s="12"/>
      <c r="L854" s="12"/>
      <c r="M854" s="12"/>
      <c r="N854" s="5"/>
      <c r="O854" s="5"/>
      <c r="P854" s="5"/>
      <c r="Q854" s="5"/>
      <c r="R854" s="5"/>
      <c r="S854" s="5"/>
      <c r="T854" s="5"/>
      <c r="U854" s="12"/>
      <c r="V854" s="5"/>
      <c r="W854" s="11"/>
      <c r="X854" s="11"/>
      <c r="Y854" s="13"/>
      <c r="Z854" s="5"/>
      <c r="AA854" s="14"/>
      <c r="AB854" s="5"/>
      <c r="AC854" s="5"/>
      <c r="AD854" s="5"/>
      <c r="AE854" s="5"/>
      <c r="AF854" s="5"/>
      <c r="AG854" s="5"/>
      <c r="AH854" s="5"/>
      <c r="AI854" s="5"/>
      <c r="AJ854" s="5"/>
    </row>
    <row r="855">
      <c r="A855" s="5"/>
      <c r="B855" s="5"/>
      <c r="C855" s="5"/>
      <c r="D855" s="5"/>
      <c r="E855" s="11"/>
      <c r="F855" s="12"/>
      <c r="G855" s="5"/>
      <c r="H855" s="12"/>
      <c r="I855" s="12"/>
      <c r="J855" s="12"/>
      <c r="K855" s="12"/>
      <c r="L855" s="12"/>
      <c r="M855" s="12"/>
      <c r="N855" s="5"/>
      <c r="O855" s="5"/>
      <c r="P855" s="5"/>
      <c r="Q855" s="5"/>
      <c r="R855" s="5"/>
      <c r="S855" s="5"/>
      <c r="T855" s="5"/>
      <c r="U855" s="12"/>
      <c r="V855" s="5"/>
      <c r="W855" s="11"/>
      <c r="X855" s="11"/>
      <c r="Y855" s="13"/>
      <c r="Z855" s="5"/>
      <c r="AA855" s="14"/>
      <c r="AB855" s="5"/>
      <c r="AC855" s="5"/>
      <c r="AD855" s="5"/>
      <c r="AE855" s="5"/>
      <c r="AF855" s="5"/>
      <c r="AG855" s="5"/>
      <c r="AH855" s="5"/>
      <c r="AI855" s="5"/>
      <c r="AJ855" s="5"/>
    </row>
    <row r="856">
      <c r="A856" s="5"/>
      <c r="B856" s="5"/>
      <c r="C856" s="5"/>
      <c r="D856" s="5"/>
      <c r="E856" s="11"/>
      <c r="F856" s="12"/>
      <c r="G856" s="5"/>
      <c r="H856" s="12"/>
      <c r="I856" s="12"/>
      <c r="J856" s="12"/>
      <c r="K856" s="12"/>
      <c r="L856" s="12"/>
      <c r="M856" s="12"/>
      <c r="N856" s="5"/>
      <c r="O856" s="5"/>
      <c r="P856" s="5"/>
      <c r="Q856" s="5"/>
      <c r="R856" s="5"/>
      <c r="S856" s="5"/>
      <c r="T856" s="5"/>
      <c r="U856" s="12"/>
      <c r="V856" s="5"/>
      <c r="W856" s="11"/>
      <c r="X856" s="11"/>
      <c r="Y856" s="13"/>
      <c r="Z856" s="5"/>
      <c r="AA856" s="14"/>
      <c r="AB856" s="5"/>
      <c r="AC856" s="5"/>
      <c r="AD856" s="5"/>
      <c r="AE856" s="5"/>
      <c r="AF856" s="5"/>
      <c r="AG856" s="5"/>
      <c r="AH856" s="5"/>
      <c r="AI856" s="5"/>
      <c r="AJ856" s="5"/>
    </row>
    <row r="857">
      <c r="A857" s="5"/>
      <c r="B857" s="5"/>
      <c r="C857" s="5"/>
      <c r="D857" s="5"/>
      <c r="E857" s="11"/>
      <c r="F857" s="12"/>
      <c r="G857" s="5"/>
      <c r="H857" s="12"/>
      <c r="I857" s="12"/>
      <c r="J857" s="12"/>
      <c r="K857" s="12"/>
      <c r="L857" s="12"/>
      <c r="M857" s="12"/>
      <c r="N857" s="5"/>
      <c r="O857" s="5"/>
      <c r="P857" s="5"/>
      <c r="Q857" s="5"/>
      <c r="R857" s="5"/>
      <c r="S857" s="5"/>
      <c r="T857" s="5"/>
      <c r="U857" s="12"/>
      <c r="V857" s="5"/>
      <c r="W857" s="11"/>
      <c r="X857" s="11"/>
      <c r="Y857" s="13"/>
      <c r="Z857" s="5"/>
      <c r="AA857" s="14"/>
      <c r="AB857" s="5"/>
      <c r="AC857" s="5"/>
      <c r="AD857" s="5"/>
      <c r="AE857" s="5"/>
      <c r="AF857" s="5"/>
      <c r="AG857" s="5"/>
      <c r="AH857" s="5"/>
      <c r="AI857" s="5"/>
      <c r="AJ857" s="5"/>
    </row>
    <row r="858">
      <c r="A858" s="5"/>
      <c r="B858" s="5"/>
      <c r="C858" s="5"/>
      <c r="D858" s="5"/>
      <c r="E858" s="11"/>
      <c r="F858" s="12"/>
      <c r="G858" s="5"/>
      <c r="H858" s="12"/>
      <c r="I858" s="12"/>
      <c r="J858" s="12"/>
      <c r="K858" s="12"/>
      <c r="L858" s="12"/>
      <c r="M858" s="12"/>
      <c r="N858" s="5"/>
      <c r="O858" s="5"/>
      <c r="P858" s="5"/>
      <c r="Q858" s="5"/>
      <c r="R858" s="5"/>
      <c r="S858" s="5"/>
      <c r="T858" s="5"/>
      <c r="U858" s="12"/>
      <c r="V858" s="5"/>
      <c r="W858" s="11"/>
      <c r="X858" s="11"/>
      <c r="Y858" s="13"/>
      <c r="Z858" s="5"/>
      <c r="AA858" s="14"/>
      <c r="AB858" s="5"/>
      <c r="AC858" s="5"/>
      <c r="AD858" s="5"/>
      <c r="AE858" s="5"/>
      <c r="AF858" s="5"/>
      <c r="AG858" s="5"/>
      <c r="AH858" s="5"/>
      <c r="AI858" s="5"/>
      <c r="AJ858" s="5"/>
    </row>
    <row r="859">
      <c r="A859" s="5"/>
      <c r="B859" s="5"/>
      <c r="C859" s="5"/>
      <c r="D859" s="5"/>
      <c r="E859" s="11"/>
      <c r="F859" s="12"/>
      <c r="G859" s="5"/>
      <c r="H859" s="12"/>
      <c r="I859" s="12"/>
      <c r="J859" s="12"/>
      <c r="K859" s="12"/>
      <c r="L859" s="12"/>
      <c r="M859" s="12"/>
      <c r="N859" s="5"/>
      <c r="O859" s="5"/>
      <c r="P859" s="5"/>
      <c r="Q859" s="5"/>
      <c r="R859" s="5"/>
      <c r="S859" s="5"/>
      <c r="T859" s="5"/>
      <c r="U859" s="12"/>
      <c r="V859" s="5"/>
      <c r="W859" s="11"/>
      <c r="X859" s="11"/>
      <c r="Y859" s="13"/>
      <c r="Z859" s="5"/>
      <c r="AA859" s="14"/>
      <c r="AB859" s="5"/>
      <c r="AC859" s="5"/>
      <c r="AD859" s="5"/>
      <c r="AE859" s="5"/>
      <c r="AF859" s="5"/>
      <c r="AG859" s="5"/>
      <c r="AH859" s="5"/>
      <c r="AI859" s="5"/>
      <c r="AJ859" s="5"/>
    </row>
    <row r="860">
      <c r="A860" s="5"/>
      <c r="B860" s="5"/>
      <c r="C860" s="5"/>
      <c r="D860" s="5"/>
      <c r="E860" s="11"/>
      <c r="F860" s="12"/>
      <c r="G860" s="5"/>
      <c r="H860" s="12"/>
      <c r="I860" s="12"/>
      <c r="J860" s="12"/>
      <c r="K860" s="12"/>
      <c r="L860" s="12"/>
      <c r="M860" s="12"/>
      <c r="N860" s="5"/>
      <c r="O860" s="5"/>
      <c r="P860" s="5"/>
      <c r="Q860" s="5"/>
      <c r="R860" s="5"/>
      <c r="S860" s="5"/>
      <c r="T860" s="5"/>
      <c r="U860" s="12"/>
      <c r="V860" s="5"/>
      <c r="W860" s="11"/>
      <c r="X860" s="11"/>
      <c r="Y860" s="13"/>
      <c r="Z860" s="5"/>
      <c r="AA860" s="14"/>
      <c r="AB860" s="5"/>
      <c r="AC860" s="5"/>
      <c r="AD860" s="5"/>
      <c r="AE860" s="5"/>
      <c r="AF860" s="5"/>
      <c r="AG860" s="5"/>
      <c r="AH860" s="5"/>
      <c r="AI860" s="5"/>
      <c r="AJ860" s="5"/>
    </row>
    <row r="861">
      <c r="A861" s="5"/>
      <c r="B861" s="5"/>
      <c r="C861" s="5"/>
      <c r="D861" s="5"/>
      <c r="E861" s="11"/>
      <c r="F861" s="12"/>
      <c r="G861" s="5"/>
      <c r="H861" s="12"/>
      <c r="I861" s="12"/>
      <c r="J861" s="12"/>
      <c r="K861" s="12"/>
      <c r="L861" s="12"/>
      <c r="M861" s="12"/>
      <c r="N861" s="5"/>
      <c r="O861" s="5"/>
      <c r="P861" s="5"/>
      <c r="Q861" s="5"/>
      <c r="R861" s="5"/>
      <c r="S861" s="5"/>
      <c r="T861" s="5"/>
      <c r="U861" s="12"/>
      <c r="V861" s="5"/>
      <c r="W861" s="11"/>
      <c r="X861" s="11"/>
      <c r="Y861" s="13"/>
      <c r="Z861" s="5"/>
      <c r="AA861" s="14"/>
      <c r="AB861" s="5"/>
      <c r="AC861" s="5"/>
      <c r="AD861" s="5"/>
      <c r="AE861" s="5"/>
      <c r="AF861" s="5"/>
      <c r="AG861" s="5"/>
      <c r="AH861" s="5"/>
      <c r="AI861" s="5"/>
      <c r="AJ861" s="5"/>
    </row>
    <row r="862">
      <c r="A862" s="5"/>
      <c r="B862" s="5"/>
      <c r="C862" s="5"/>
      <c r="D862" s="5"/>
      <c r="E862" s="11"/>
      <c r="F862" s="12"/>
      <c r="G862" s="5"/>
      <c r="H862" s="12"/>
      <c r="I862" s="12"/>
      <c r="J862" s="12"/>
      <c r="K862" s="12"/>
      <c r="L862" s="12"/>
      <c r="M862" s="12"/>
      <c r="N862" s="5"/>
      <c r="O862" s="5"/>
      <c r="P862" s="5"/>
      <c r="Q862" s="5"/>
      <c r="R862" s="5"/>
      <c r="S862" s="5"/>
      <c r="T862" s="5"/>
      <c r="U862" s="12"/>
      <c r="V862" s="5"/>
      <c r="W862" s="11"/>
      <c r="X862" s="11"/>
      <c r="Y862" s="13"/>
      <c r="Z862" s="5"/>
      <c r="AA862" s="14"/>
      <c r="AB862" s="5"/>
      <c r="AC862" s="5"/>
      <c r="AD862" s="5"/>
      <c r="AE862" s="5"/>
      <c r="AF862" s="5"/>
      <c r="AG862" s="5"/>
      <c r="AH862" s="5"/>
      <c r="AI862" s="5"/>
      <c r="AJ862" s="5"/>
    </row>
    <row r="863">
      <c r="A863" s="5"/>
      <c r="B863" s="5"/>
      <c r="C863" s="5"/>
      <c r="D863" s="5"/>
      <c r="E863" s="11"/>
      <c r="F863" s="12"/>
      <c r="G863" s="5"/>
      <c r="H863" s="12"/>
      <c r="I863" s="12"/>
      <c r="J863" s="12"/>
      <c r="K863" s="12"/>
      <c r="L863" s="12"/>
      <c r="M863" s="12"/>
      <c r="N863" s="5"/>
      <c r="O863" s="5"/>
      <c r="P863" s="5"/>
      <c r="Q863" s="5"/>
      <c r="R863" s="5"/>
      <c r="S863" s="5"/>
      <c r="T863" s="5"/>
      <c r="U863" s="12"/>
      <c r="V863" s="5"/>
      <c r="W863" s="11"/>
      <c r="X863" s="11"/>
      <c r="Y863" s="13"/>
      <c r="Z863" s="5"/>
      <c r="AA863" s="14"/>
      <c r="AB863" s="5"/>
      <c r="AC863" s="5"/>
      <c r="AD863" s="5"/>
      <c r="AE863" s="5"/>
      <c r="AF863" s="5"/>
      <c r="AG863" s="5"/>
      <c r="AH863" s="5"/>
      <c r="AI863" s="5"/>
      <c r="AJ863" s="5"/>
    </row>
    <row r="864">
      <c r="A864" s="5"/>
      <c r="B864" s="5"/>
      <c r="C864" s="5"/>
      <c r="D864" s="5"/>
      <c r="E864" s="11"/>
      <c r="F864" s="12"/>
      <c r="G864" s="5"/>
      <c r="H864" s="12"/>
      <c r="I864" s="12"/>
      <c r="J864" s="12"/>
      <c r="K864" s="12"/>
      <c r="L864" s="12"/>
      <c r="M864" s="12"/>
      <c r="N864" s="5"/>
      <c r="O864" s="5"/>
      <c r="P864" s="5"/>
      <c r="Q864" s="5"/>
      <c r="R864" s="5"/>
      <c r="S864" s="5"/>
      <c r="T864" s="5"/>
      <c r="U864" s="12"/>
      <c r="V864" s="5"/>
      <c r="W864" s="11"/>
      <c r="X864" s="11"/>
      <c r="Y864" s="13"/>
      <c r="Z864" s="5"/>
      <c r="AA864" s="14"/>
      <c r="AB864" s="5"/>
      <c r="AC864" s="5"/>
      <c r="AD864" s="5"/>
      <c r="AE864" s="5"/>
      <c r="AF864" s="5"/>
      <c r="AG864" s="5"/>
      <c r="AH864" s="5"/>
      <c r="AI864" s="5"/>
      <c r="AJ864" s="5"/>
    </row>
    <row r="865">
      <c r="A865" s="5"/>
      <c r="B865" s="5"/>
      <c r="C865" s="5"/>
      <c r="D865" s="5"/>
      <c r="E865" s="11"/>
      <c r="F865" s="12"/>
      <c r="G865" s="5"/>
      <c r="H865" s="12"/>
      <c r="I865" s="12"/>
      <c r="J865" s="12"/>
      <c r="K865" s="12"/>
      <c r="L865" s="12"/>
      <c r="M865" s="12"/>
      <c r="N865" s="5"/>
      <c r="O865" s="5"/>
      <c r="P865" s="5"/>
      <c r="Q865" s="5"/>
      <c r="R865" s="5"/>
      <c r="S865" s="5"/>
      <c r="T865" s="5"/>
      <c r="U865" s="12"/>
      <c r="V865" s="5"/>
      <c r="W865" s="11"/>
      <c r="X865" s="11"/>
      <c r="Y865" s="13"/>
      <c r="Z865" s="5"/>
      <c r="AA865" s="14"/>
      <c r="AB865" s="5"/>
      <c r="AC865" s="5"/>
      <c r="AD865" s="5"/>
      <c r="AE865" s="5"/>
      <c r="AF865" s="5"/>
      <c r="AG865" s="5"/>
      <c r="AH865" s="5"/>
      <c r="AI865" s="5"/>
      <c r="AJ865" s="5"/>
    </row>
    <row r="866">
      <c r="A866" s="5"/>
      <c r="B866" s="5"/>
      <c r="C866" s="5"/>
      <c r="D866" s="5"/>
      <c r="E866" s="11"/>
      <c r="F866" s="12"/>
      <c r="G866" s="5"/>
      <c r="H866" s="12"/>
      <c r="I866" s="12"/>
      <c r="J866" s="12"/>
      <c r="K866" s="12"/>
      <c r="L866" s="12"/>
      <c r="M866" s="12"/>
      <c r="N866" s="5"/>
      <c r="O866" s="5"/>
      <c r="P866" s="5"/>
      <c r="Q866" s="5"/>
      <c r="R866" s="5"/>
      <c r="S866" s="5"/>
      <c r="T866" s="5"/>
      <c r="U866" s="12"/>
      <c r="V866" s="5"/>
      <c r="W866" s="11"/>
      <c r="X866" s="11"/>
      <c r="Y866" s="13"/>
      <c r="Z866" s="5"/>
      <c r="AA866" s="14"/>
      <c r="AB866" s="5"/>
      <c r="AC866" s="5"/>
      <c r="AD866" s="5"/>
      <c r="AE866" s="5"/>
      <c r="AF866" s="5"/>
      <c r="AG866" s="5"/>
      <c r="AH866" s="5"/>
      <c r="AI866" s="5"/>
      <c r="AJ866" s="5"/>
    </row>
    <row r="867">
      <c r="A867" s="5"/>
      <c r="B867" s="5"/>
      <c r="C867" s="5"/>
      <c r="D867" s="5"/>
      <c r="E867" s="11"/>
      <c r="F867" s="12"/>
      <c r="G867" s="5"/>
      <c r="H867" s="12"/>
      <c r="I867" s="12"/>
      <c r="J867" s="12"/>
      <c r="K867" s="12"/>
      <c r="L867" s="12"/>
      <c r="M867" s="12"/>
      <c r="N867" s="5"/>
      <c r="O867" s="5"/>
      <c r="P867" s="5"/>
      <c r="Q867" s="5"/>
      <c r="R867" s="5"/>
      <c r="S867" s="5"/>
      <c r="T867" s="5"/>
      <c r="U867" s="12"/>
      <c r="V867" s="5"/>
      <c r="W867" s="11"/>
      <c r="X867" s="11"/>
      <c r="Y867" s="13"/>
      <c r="Z867" s="5"/>
      <c r="AA867" s="14"/>
      <c r="AB867" s="5"/>
      <c r="AC867" s="5"/>
      <c r="AD867" s="5"/>
      <c r="AE867" s="5"/>
      <c r="AF867" s="5"/>
      <c r="AG867" s="5"/>
      <c r="AH867" s="5"/>
      <c r="AI867" s="5"/>
      <c r="AJ867" s="5"/>
    </row>
    <row r="868">
      <c r="A868" s="5"/>
      <c r="B868" s="5"/>
      <c r="C868" s="5"/>
      <c r="D868" s="5"/>
      <c r="E868" s="11"/>
      <c r="F868" s="12"/>
      <c r="G868" s="5"/>
      <c r="H868" s="12"/>
      <c r="I868" s="12"/>
      <c r="J868" s="12"/>
      <c r="K868" s="12"/>
      <c r="L868" s="12"/>
      <c r="M868" s="12"/>
      <c r="N868" s="5"/>
      <c r="O868" s="5"/>
      <c r="P868" s="5"/>
      <c r="Q868" s="5"/>
      <c r="R868" s="5"/>
      <c r="S868" s="5"/>
      <c r="T868" s="5"/>
      <c r="U868" s="12"/>
      <c r="V868" s="5"/>
      <c r="W868" s="11"/>
      <c r="X868" s="11"/>
      <c r="Y868" s="13"/>
      <c r="Z868" s="5"/>
      <c r="AA868" s="14"/>
      <c r="AB868" s="5"/>
      <c r="AC868" s="5"/>
      <c r="AD868" s="5"/>
      <c r="AE868" s="5"/>
      <c r="AF868" s="5"/>
      <c r="AG868" s="5"/>
      <c r="AH868" s="5"/>
      <c r="AI868" s="5"/>
      <c r="AJ868" s="5"/>
    </row>
    <row r="869">
      <c r="A869" s="5"/>
      <c r="B869" s="5"/>
      <c r="C869" s="5"/>
      <c r="D869" s="5"/>
      <c r="E869" s="11"/>
      <c r="F869" s="12"/>
      <c r="G869" s="5"/>
      <c r="H869" s="12"/>
      <c r="I869" s="12"/>
      <c r="J869" s="12"/>
      <c r="K869" s="12"/>
      <c r="L869" s="12"/>
      <c r="M869" s="12"/>
      <c r="N869" s="5"/>
      <c r="O869" s="5"/>
      <c r="P869" s="5"/>
      <c r="Q869" s="5"/>
      <c r="R869" s="5"/>
      <c r="S869" s="5"/>
      <c r="T869" s="5"/>
      <c r="U869" s="12"/>
      <c r="V869" s="5"/>
      <c r="W869" s="11"/>
      <c r="X869" s="11"/>
      <c r="Y869" s="13"/>
      <c r="Z869" s="5"/>
      <c r="AA869" s="14"/>
      <c r="AB869" s="5"/>
      <c r="AC869" s="5"/>
      <c r="AD869" s="5"/>
      <c r="AE869" s="5"/>
      <c r="AF869" s="5"/>
      <c r="AG869" s="5"/>
      <c r="AH869" s="5"/>
      <c r="AI869" s="5"/>
      <c r="AJ869" s="5"/>
    </row>
    <row r="870">
      <c r="A870" s="5"/>
      <c r="B870" s="5"/>
      <c r="C870" s="5"/>
      <c r="D870" s="5"/>
      <c r="E870" s="11"/>
      <c r="F870" s="12"/>
      <c r="G870" s="5"/>
      <c r="H870" s="12"/>
      <c r="I870" s="12"/>
      <c r="J870" s="12"/>
      <c r="K870" s="12"/>
      <c r="L870" s="12"/>
      <c r="M870" s="12"/>
      <c r="N870" s="5"/>
      <c r="O870" s="5"/>
      <c r="P870" s="5"/>
      <c r="Q870" s="5"/>
      <c r="R870" s="5"/>
      <c r="S870" s="5"/>
      <c r="T870" s="5"/>
      <c r="U870" s="12"/>
      <c r="V870" s="5"/>
      <c r="W870" s="11"/>
      <c r="X870" s="11"/>
      <c r="Y870" s="13"/>
      <c r="Z870" s="5"/>
      <c r="AA870" s="14"/>
      <c r="AB870" s="5"/>
      <c r="AC870" s="5"/>
      <c r="AD870" s="5"/>
      <c r="AE870" s="5"/>
      <c r="AF870" s="5"/>
      <c r="AG870" s="5"/>
      <c r="AH870" s="5"/>
      <c r="AI870" s="5"/>
      <c r="AJ870" s="5"/>
    </row>
    <row r="871">
      <c r="A871" s="5"/>
      <c r="B871" s="5"/>
      <c r="C871" s="5"/>
      <c r="D871" s="5"/>
      <c r="E871" s="11"/>
      <c r="F871" s="12"/>
      <c r="G871" s="5"/>
      <c r="H871" s="12"/>
      <c r="I871" s="12"/>
      <c r="J871" s="12"/>
      <c r="K871" s="12"/>
      <c r="L871" s="12"/>
      <c r="M871" s="12"/>
      <c r="N871" s="5"/>
      <c r="O871" s="5"/>
      <c r="P871" s="5"/>
      <c r="Q871" s="5"/>
      <c r="R871" s="5"/>
      <c r="S871" s="5"/>
      <c r="T871" s="5"/>
      <c r="U871" s="12"/>
      <c r="V871" s="5"/>
      <c r="W871" s="11"/>
      <c r="X871" s="11"/>
      <c r="Y871" s="13"/>
      <c r="Z871" s="5"/>
      <c r="AA871" s="14"/>
      <c r="AB871" s="5"/>
      <c r="AC871" s="5"/>
      <c r="AD871" s="5"/>
      <c r="AE871" s="5"/>
      <c r="AF871" s="5"/>
      <c r="AG871" s="5"/>
      <c r="AH871" s="5"/>
      <c r="AI871" s="5"/>
      <c r="AJ871" s="5"/>
    </row>
    <row r="872">
      <c r="A872" s="5"/>
      <c r="B872" s="5"/>
      <c r="C872" s="5"/>
      <c r="D872" s="5"/>
      <c r="E872" s="11"/>
      <c r="F872" s="12"/>
      <c r="G872" s="5"/>
      <c r="H872" s="12"/>
      <c r="I872" s="12"/>
      <c r="J872" s="12"/>
      <c r="K872" s="12"/>
      <c r="L872" s="12"/>
      <c r="M872" s="12"/>
      <c r="N872" s="5"/>
      <c r="O872" s="5"/>
      <c r="P872" s="5"/>
      <c r="Q872" s="5"/>
      <c r="R872" s="5"/>
      <c r="S872" s="5"/>
      <c r="T872" s="5"/>
      <c r="U872" s="12"/>
      <c r="V872" s="5"/>
      <c r="W872" s="11"/>
      <c r="X872" s="11"/>
      <c r="Y872" s="13"/>
      <c r="Z872" s="5"/>
      <c r="AA872" s="14"/>
      <c r="AB872" s="5"/>
      <c r="AC872" s="5"/>
      <c r="AD872" s="5"/>
      <c r="AE872" s="5"/>
      <c r="AF872" s="5"/>
      <c r="AG872" s="5"/>
      <c r="AH872" s="5"/>
      <c r="AI872" s="5"/>
      <c r="AJ872" s="5"/>
    </row>
    <row r="873">
      <c r="A873" s="5"/>
      <c r="B873" s="5"/>
      <c r="C873" s="5"/>
      <c r="D873" s="5"/>
      <c r="E873" s="11"/>
      <c r="F873" s="12"/>
      <c r="G873" s="5"/>
      <c r="H873" s="12"/>
      <c r="I873" s="12"/>
      <c r="J873" s="12"/>
      <c r="K873" s="12"/>
      <c r="L873" s="12"/>
      <c r="M873" s="12"/>
      <c r="N873" s="5"/>
      <c r="O873" s="5"/>
      <c r="P873" s="5"/>
      <c r="Q873" s="5"/>
      <c r="R873" s="5"/>
      <c r="S873" s="5"/>
      <c r="T873" s="5"/>
      <c r="U873" s="12"/>
      <c r="V873" s="5"/>
      <c r="W873" s="11"/>
      <c r="X873" s="11"/>
      <c r="Y873" s="13"/>
      <c r="Z873" s="5"/>
      <c r="AA873" s="14"/>
      <c r="AB873" s="5"/>
      <c r="AC873" s="5"/>
      <c r="AD873" s="5"/>
      <c r="AE873" s="5"/>
      <c r="AF873" s="5"/>
      <c r="AG873" s="5"/>
      <c r="AH873" s="5"/>
      <c r="AI873" s="5"/>
      <c r="AJ873" s="5"/>
    </row>
    <row r="874">
      <c r="A874" s="5"/>
      <c r="B874" s="5"/>
      <c r="C874" s="5"/>
      <c r="D874" s="5"/>
      <c r="E874" s="11"/>
      <c r="F874" s="12"/>
      <c r="G874" s="5"/>
      <c r="H874" s="12"/>
      <c r="I874" s="12"/>
      <c r="J874" s="12"/>
      <c r="K874" s="12"/>
      <c r="L874" s="12"/>
      <c r="M874" s="12"/>
      <c r="N874" s="5"/>
      <c r="O874" s="5"/>
      <c r="P874" s="5"/>
      <c r="Q874" s="5"/>
      <c r="R874" s="5"/>
      <c r="S874" s="5"/>
      <c r="T874" s="5"/>
      <c r="U874" s="12"/>
      <c r="V874" s="5"/>
      <c r="W874" s="11"/>
      <c r="X874" s="11"/>
      <c r="Y874" s="13"/>
      <c r="Z874" s="5"/>
      <c r="AA874" s="14"/>
      <c r="AB874" s="5"/>
      <c r="AC874" s="5"/>
      <c r="AD874" s="5"/>
      <c r="AE874" s="5"/>
      <c r="AF874" s="5"/>
      <c r="AG874" s="5"/>
      <c r="AH874" s="5"/>
      <c r="AI874" s="5"/>
      <c r="AJ874" s="5"/>
    </row>
    <row r="875">
      <c r="A875" s="5"/>
      <c r="B875" s="5"/>
      <c r="C875" s="5"/>
      <c r="D875" s="5"/>
      <c r="E875" s="11"/>
      <c r="F875" s="12"/>
      <c r="G875" s="5"/>
      <c r="H875" s="12"/>
      <c r="I875" s="12"/>
      <c r="J875" s="12"/>
      <c r="K875" s="12"/>
      <c r="L875" s="12"/>
      <c r="M875" s="12"/>
      <c r="N875" s="5"/>
      <c r="O875" s="5"/>
      <c r="P875" s="5"/>
      <c r="Q875" s="5"/>
      <c r="R875" s="5"/>
      <c r="S875" s="5"/>
      <c r="T875" s="5"/>
      <c r="U875" s="12"/>
      <c r="V875" s="5"/>
      <c r="W875" s="11"/>
      <c r="X875" s="11"/>
      <c r="Y875" s="13"/>
      <c r="Z875" s="5"/>
      <c r="AA875" s="14"/>
      <c r="AB875" s="5"/>
      <c r="AC875" s="5"/>
      <c r="AD875" s="5"/>
      <c r="AE875" s="5"/>
      <c r="AF875" s="5"/>
      <c r="AG875" s="5"/>
      <c r="AH875" s="5"/>
      <c r="AI875" s="5"/>
      <c r="AJ875" s="5"/>
    </row>
    <row r="876">
      <c r="A876" s="5"/>
      <c r="B876" s="5"/>
      <c r="C876" s="5"/>
      <c r="D876" s="5"/>
      <c r="E876" s="11"/>
      <c r="F876" s="12"/>
      <c r="G876" s="5"/>
      <c r="H876" s="12"/>
      <c r="I876" s="12"/>
      <c r="J876" s="12"/>
      <c r="K876" s="12"/>
      <c r="L876" s="12"/>
      <c r="M876" s="12"/>
      <c r="N876" s="5"/>
      <c r="O876" s="5"/>
      <c r="P876" s="5"/>
      <c r="Q876" s="5"/>
      <c r="R876" s="5"/>
      <c r="S876" s="5"/>
      <c r="T876" s="5"/>
      <c r="U876" s="12"/>
      <c r="V876" s="5"/>
      <c r="W876" s="11"/>
      <c r="X876" s="11"/>
      <c r="Y876" s="13"/>
      <c r="Z876" s="5"/>
      <c r="AA876" s="14"/>
      <c r="AB876" s="5"/>
      <c r="AC876" s="5"/>
      <c r="AD876" s="5"/>
      <c r="AE876" s="5"/>
      <c r="AF876" s="5"/>
      <c r="AG876" s="5"/>
      <c r="AH876" s="5"/>
      <c r="AI876" s="5"/>
      <c r="AJ876" s="5"/>
    </row>
    <row r="877">
      <c r="A877" s="5"/>
      <c r="B877" s="5"/>
      <c r="C877" s="5"/>
      <c r="D877" s="5"/>
      <c r="E877" s="11"/>
      <c r="F877" s="12"/>
      <c r="G877" s="5"/>
      <c r="H877" s="12"/>
      <c r="I877" s="12"/>
      <c r="J877" s="12"/>
      <c r="K877" s="12"/>
      <c r="L877" s="12"/>
      <c r="M877" s="12"/>
      <c r="N877" s="5"/>
      <c r="O877" s="5"/>
      <c r="P877" s="5"/>
      <c r="Q877" s="5"/>
      <c r="R877" s="5"/>
      <c r="S877" s="5"/>
      <c r="T877" s="5"/>
      <c r="U877" s="12"/>
      <c r="V877" s="5"/>
      <c r="W877" s="11"/>
      <c r="X877" s="11"/>
      <c r="Y877" s="13"/>
      <c r="Z877" s="5"/>
      <c r="AA877" s="14"/>
      <c r="AB877" s="5"/>
      <c r="AC877" s="5"/>
      <c r="AD877" s="5"/>
      <c r="AE877" s="5"/>
      <c r="AF877" s="5"/>
      <c r="AG877" s="5"/>
      <c r="AH877" s="5"/>
      <c r="AI877" s="5"/>
      <c r="AJ877" s="5"/>
    </row>
    <row r="878">
      <c r="A878" s="5"/>
      <c r="B878" s="5"/>
      <c r="C878" s="5"/>
      <c r="D878" s="5"/>
      <c r="E878" s="11"/>
      <c r="F878" s="12"/>
      <c r="G878" s="5"/>
      <c r="H878" s="12"/>
      <c r="I878" s="12"/>
      <c r="J878" s="12"/>
      <c r="K878" s="12"/>
      <c r="L878" s="12"/>
      <c r="M878" s="12"/>
      <c r="N878" s="5"/>
      <c r="O878" s="5"/>
      <c r="P878" s="5"/>
      <c r="Q878" s="5"/>
      <c r="R878" s="5"/>
      <c r="S878" s="5"/>
      <c r="T878" s="5"/>
      <c r="U878" s="12"/>
      <c r="V878" s="5"/>
      <c r="W878" s="11"/>
      <c r="X878" s="11"/>
      <c r="Y878" s="13"/>
      <c r="Z878" s="5"/>
      <c r="AA878" s="14"/>
      <c r="AB878" s="5"/>
      <c r="AC878" s="5"/>
      <c r="AD878" s="5"/>
      <c r="AE878" s="5"/>
      <c r="AF878" s="5"/>
      <c r="AG878" s="5"/>
      <c r="AH878" s="5"/>
      <c r="AI878" s="5"/>
      <c r="AJ878" s="5"/>
    </row>
    <row r="879">
      <c r="A879" s="5"/>
      <c r="B879" s="5"/>
      <c r="C879" s="5"/>
      <c r="D879" s="5"/>
      <c r="E879" s="11"/>
      <c r="F879" s="12"/>
      <c r="G879" s="5"/>
      <c r="H879" s="12"/>
      <c r="I879" s="12"/>
      <c r="J879" s="12"/>
      <c r="K879" s="12"/>
      <c r="L879" s="12"/>
      <c r="M879" s="12"/>
      <c r="N879" s="5"/>
      <c r="O879" s="5"/>
      <c r="P879" s="5"/>
      <c r="Q879" s="5"/>
      <c r="R879" s="5"/>
      <c r="S879" s="5"/>
      <c r="T879" s="5"/>
      <c r="U879" s="12"/>
      <c r="V879" s="5"/>
      <c r="W879" s="11"/>
      <c r="X879" s="11"/>
      <c r="Y879" s="13"/>
      <c r="Z879" s="5"/>
      <c r="AA879" s="14"/>
      <c r="AB879" s="5"/>
      <c r="AC879" s="5"/>
      <c r="AD879" s="5"/>
      <c r="AE879" s="5"/>
      <c r="AF879" s="5"/>
      <c r="AG879" s="5"/>
      <c r="AH879" s="5"/>
      <c r="AI879" s="5"/>
      <c r="AJ879" s="5"/>
    </row>
    <row r="880">
      <c r="A880" s="5"/>
      <c r="B880" s="5"/>
      <c r="C880" s="5"/>
      <c r="D880" s="5"/>
      <c r="E880" s="11"/>
      <c r="F880" s="12"/>
      <c r="G880" s="5"/>
      <c r="H880" s="12"/>
      <c r="I880" s="12"/>
      <c r="J880" s="12"/>
      <c r="K880" s="12"/>
      <c r="L880" s="12"/>
      <c r="M880" s="12"/>
      <c r="N880" s="5"/>
      <c r="O880" s="5"/>
      <c r="P880" s="5"/>
      <c r="Q880" s="5"/>
      <c r="R880" s="5"/>
      <c r="S880" s="5"/>
      <c r="T880" s="5"/>
      <c r="U880" s="12"/>
      <c r="V880" s="5"/>
      <c r="W880" s="11"/>
      <c r="X880" s="11"/>
      <c r="Y880" s="13"/>
      <c r="Z880" s="5"/>
      <c r="AA880" s="14"/>
      <c r="AB880" s="5"/>
      <c r="AC880" s="5"/>
      <c r="AD880" s="5"/>
      <c r="AE880" s="5"/>
      <c r="AF880" s="5"/>
      <c r="AG880" s="5"/>
      <c r="AH880" s="5"/>
      <c r="AI880" s="5"/>
      <c r="AJ880" s="5"/>
    </row>
    <row r="881">
      <c r="A881" s="5"/>
      <c r="B881" s="5"/>
      <c r="C881" s="5"/>
      <c r="D881" s="5"/>
      <c r="E881" s="11"/>
      <c r="F881" s="12"/>
      <c r="G881" s="5"/>
      <c r="H881" s="12"/>
      <c r="I881" s="12"/>
      <c r="J881" s="12"/>
      <c r="K881" s="12"/>
      <c r="L881" s="12"/>
      <c r="M881" s="12"/>
      <c r="N881" s="5"/>
      <c r="O881" s="5"/>
      <c r="P881" s="5"/>
      <c r="Q881" s="5"/>
      <c r="R881" s="5"/>
      <c r="S881" s="5"/>
      <c r="T881" s="5"/>
      <c r="U881" s="12"/>
      <c r="V881" s="5"/>
      <c r="W881" s="11"/>
      <c r="X881" s="11"/>
      <c r="Y881" s="13"/>
      <c r="Z881" s="5"/>
      <c r="AA881" s="14"/>
      <c r="AB881" s="5"/>
      <c r="AC881" s="5"/>
      <c r="AD881" s="5"/>
      <c r="AE881" s="5"/>
      <c r="AF881" s="5"/>
      <c r="AG881" s="5"/>
      <c r="AH881" s="5"/>
      <c r="AI881" s="5"/>
      <c r="AJ881" s="5"/>
    </row>
    <row r="882">
      <c r="A882" s="5"/>
      <c r="B882" s="5"/>
      <c r="C882" s="5"/>
      <c r="D882" s="5"/>
      <c r="E882" s="11"/>
      <c r="F882" s="12"/>
      <c r="G882" s="5"/>
      <c r="H882" s="12"/>
      <c r="I882" s="12"/>
      <c r="J882" s="12"/>
      <c r="K882" s="12"/>
      <c r="L882" s="12"/>
      <c r="M882" s="12"/>
      <c r="N882" s="5"/>
      <c r="O882" s="5"/>
      <c r="P882" s="5"/>
      <c r="Q882" s="5"/>
      <c r="R882" s="5"/>
      <c r="S882" s="5"/>
      <c r="T882" s="5"/>
      <c r="U882" s="12"/>
      <c r="V882" s="5"/>
      <c r="W882" s="11"/>
      <c r="X882" s="11"/>
      <c r="Y882" s="13"/>
      <c r="Z882" s="5"/>
      <c r="AA882" s="14"/>
      <c r="AB882" s="5"/>
      <c r="AC882" s="5"/>
      <c r="AD882" s="5"/>
      <c r="AE882" s="5"/>
      <c r="AF882" s="5"/>
      <c r="AG882" s="5"/>
      <c r="AH882" s="5"/>
      <c r="AI882" s="5"/>
      <c r="AJ882" s="5"/>
    </row>
    <row r="883">
      <c r="A883" s="5"/>
      <c r="B883" s="5"/>
      <c r="C883" s="5"/>
      <c r="D883" s="5"/>
      <c r="E883" s="11"/>
      <c r="F883" s="12"/>
      <c r="G883" s="5"/>
      <c r="H883" s="12"/>
      <c r="I883" s="12"/>
      <c r="J883" s="12"/>
      <c r="K883" s="12"/>
      <c r="L883" s="12"/>
      <c r="M883" s="12"/>
      <c r="N883" s="5"/>
      <c r="O883" s="5"/>
      <c r="P883" s="5"/>
      <c r="Q883" s="5"/>
      <c r="R883" s="5"/>
      <c r="S883" s="5"/>
      <c r="T883" s="5"/>
      <c r="U883" s="12"/>
      <c r="V883" s="5"/>
      <c r="W883" s="11"/>
      <c r="X883" s="11"/>
      <c r="Y883" s="13"/>
      <c r="Z883" s="5"/>
      <c r="AA883" s="14"/>
      <c r="AB883" s="5"/>
      <c r="AC883" s="5"/>
      <c r="AD883" s="5"/>
      <c r="AE883" s="5"/>
      <c r="AF883" s="5"/>
      <c r="AG883" s="5"/>
      <c r="AH883" s="5"/>
      <c r="AI883" s="5"/>
      <c r="AJ883" s="5"/>
    </row>
    <row r="884">
      <c r="A884" s="5"/>
      <c r="B884" s="5"/>
      <c r="C884" s="5"/>
      <c r="D884" s="5"/>
      <c r="E884" s="11"/>
      <c r="F884" s="12"/>
      <c r="G884" s="5"/>
      <c r="H884" s="12"/>
      <c r="I884" s="12"/>
      <c r="J884" s="12"/>
      <c r="K884" s="12"/>
      <c r="L884" s="12"/>
      <c r="M884" s="12"/>
      <c r="N884" s="5"/>
      <c r="O884" s="5"/>
      <c r="P884" s="5"/>
      <c r="Q884" s="5"/>
      <c r="R884" s="5"/>
      <c r="S884" s="5"/>
      <c r="T884" s="5"/>
      <c r="U884" s="12"/>
      <c r="V884" s="5"/>
      <c r="W884" s="11"/>
      <c r="X884" s="11"/>
      <c r="Y884" s="13"/>
      <c r="Z884" s="5"/>
      <c r="AA884" s="14"/>
      <c r="AB884" s="5"/>
      <c r="AC884" s="5"/>
      <c r="AD884" s="5"/>
      <c r="AE884" s="5"/>
      <c r="AF884" s="5"/>
      <c r="AG884" s="5"/>
      <c r="AH884" s="5"/>
      <c r="AI884" s="5"/>
      <c r="AJ884" s="5"/>
    </row>
    <row r="885">
      <c r="A885" s="5"/>
      <c r="B885" s="5"/>
      <c r="C885" s="5"/>
      <c r="D885" s="5"/>
      <c r="E885" s="11"/>
      <c r="F885" s="12"/>
      <c r="G885" s="5"/>
      <c r="H885" s="12"/>
      <c r="I885" s="12"/>
      <c r="J885" s="12"/>
      <c r="K885" s="12"/>
      <c r="L885" s="12"/>
      <c r="M885" s="12"/>
      <c r="N885" s="5"/>
      <c r="O885" s="5"/>
      <c r="P885" s="5"/>
      <c r="Q885" s="5"/>
      <c r="R885" s="5"/>
      <c r="S885" s="5"/>
      <c r="T885" s="5"/>
      <c r="U885" s="12"/>
      <c r="V885" s="5"/>
      <c r="W885" s="11"/>
      <c r="X885" s="11"/>
      <c r="Y885" s="13"/>
      <c r="Z885" s="5"/>
      <c r="AA885" s="14"/>
      <c r="AB885" s="5"/>
      <c r="AC885" s="5"/>
      <c r="AD885" s="5"/>
      <c r="AE885" s="5"/>
      <c r="AF885" s="5"/>
      <c r="AG885" s="5"/>
      <c r="AH885" s="5"/>
      <c r="AI885" s="5"/>
      <c r="AJ885" s="5"/>
    </row>
    <row r="886">
      <c r="A886" s="5"/>
      <c r="B886" s="5"/>
      <c r="C886" s="5"/>
      <c r="D886" s="5"/>
      <c r="E886" s="11"/>
      <c r="F886" s="12"/>
      <c r="G886" s="5"/>
      <c r="H886" s="12"/>
      <c r="I886" s="12"/>
      <c r="J886" s="12"/>
      <c r="K886" s="12"/>
      <c r="L886" s="12"/>
      <c r="M886" s="12"/>
      <c r="N886" s="5"/>
      <c r="O886" s="5"/>
      <c r="P886" s="5"/>
      <c r="Q886" s="5"/>
      <c r="R886" s="5"/>
      <c r="S886" s="5"/>
      <c r="T886" s="5"/>
      <c r="U886" s="12"/>
      <c r="V886" s="5"/>
      <c r="W886" s="11"/>
      <c r="X886" s="11"/>
      <c r="Y886" s="13"/>
      <c r="Z886" s="5"/>
      <c r="AA886" s="14"/>
      <c r="AB886" s="5"/>
      <c r="AC886" s="5"/>
      <c r="AD886" s="5"/>
      <c r="AE886" s="5"/>
      <c r="AF886" s="5"/>
      <c r="AG886" s="5"/>
      <c r="AH886" s="5"/>
      <c r="AI886" s="5"/>
      <c r="AJ886" s="5"/>
    </row>
    <row r="887">
      <c r="A887" s="5"/>
      <c r="B887" s="5"/>
      <c r="C887" s="5"/>
      <c r="D887" s="5"/>
      <c r="E887" s="11"/>
      <c r="F887" s="12"/>
      <c r="G887" s="5"/>
      <c r="H887" s="12"/>
      <c r="I887" s="12"/>
      <c r="J887" s="12"/>
      <c r="K887" s="12"/>
      <c r="L887" s="12"/>
      <c r="M887" s="12"/>
      <c r="N887" s="5"/>
      <c r="O887" s="5"/>
      <c r="P887" s="5"/>
      <c r="Q887" s="5"/>
      <c r="R887" s="5"/>
      <c r="S887" s="5"/>
      <c r="T887" s="5"/>
      <c r="U887" s="12"/>
      <c r="V887" s="5"/>
      <c r="W887" s="11"/>
      <c r="X887" s="11"/>
      <c r="Y887" s="13"/>
      <c r="Z887" s="5"/>
      <c r="AA887" s="14"/>
      <c r="AB887" s="5"/>
      <c r="AC887" s="5"/>
      <c r="AD887" s="5"/>
      <c r="AE887" s="5"/>
      <c r="AF887" s="5"/>
      <c r="AG887" s="5"/>
      <c r="AH887" s="5"/>
      <c r="AI887" s="5"/>
      <c r="AJ887" s="5"/>
    </row>
    <row r="888">
      <c r="A888" s="5"/>
      <c r="B888" s="5"/>
      <c r="C888" s="5"/>
      <c r="D888" s="5"/>
      <c r="E888" s="11"/>
      <c r="F888" s="12"/>
      <c r="G888" s="5"/>
      <c r="H888" s="12"/>
      <c r="I888" s="12"/>
      <c r="J888" s="12"/>
      <c r="K888" s="12"/>
      <c r="L888" s="12"/>
      <c r="M888" s="12"/>
      <c r="N888" s="5"/>
      <c r="O888" s="5"/>
      <c r="P888" s="5"/>
      <c r="Q888" s="5"/>
      <c r="R888" s="5"/>
      <c r="S888" s="5"/>
      <c r="T888" s="5"/>
      <c r="U888" s="12"/>
      <c r="V888" s="5"/>
      <c r="W888" s="11"/>
      <c r="X888" s="11"/>
      <c r="Y888" s="13"/>
      <c r="Z888" s="5"/>
      <c r="AA888" s="14"/>
      <c r="AB888" s="5"/>
      <c r="AC888" s="5"/>
      <c r="AD888" s="5"/>
      <c r="AE888" s="5"/>
      <c r="AF888" s="5"/>
      <c r="AG888" s="5"/>
      <c r="AH888" s="5"/>
      <c r="AI888" s="5"/>
      <c r="AJ888" s="5"/>
    </row>
    <row r="889">
      <c r="A889" s="5"/>
      <c r="B889" s="5"/>
      <c r="C889" s="5"/>
      <c r="D889" s="5"/>
      <c r="E889" s="11"/>
      <c r="F889" s="12"/>
      <c r="G889" s="5"/>
      <c r="H889" s="12"/>
      <c r="I889" s="12"/>
      <c r="J889" s="12"/>
      <c r="K889" s="12"/>
      <c r="L889" s="12"/>
      <c r="M889" s="12"/>
      <c r="N889" s="5"/>
      <c r="O889" s="5"/>
      <c r="P889" s="5"/>
      <c r="Q889" s="5"/>
      <c r="R889" s="5"/>
      <c r="S889" s="5"/>
      <c r="T889" s="5"/>
      <c r="U889" s="12"/>
      <c r="V889" s="5"/>
      <c r="W889" s="11"/>
      <c r="X889" s="11"/>
      <c r="Y889" s="13"/>
      <c r="Z889" s="5"/>
      <c r="AA889" s="14"/>
      <c r="AB889" s="5"/>
      <c r="AC889" s="5"/>
      <c r="AD889" s="5"/>
      <c r="AE889" s="5"/>
      <c r="AF889" s="5"/>
      <c r="AG889" s="5"/>
      <c r="AH889" s="5"/>
      <c r="AI889" s="5"/>
      <c r="AJ889" s="5"/>
    </row>
    <row r="890">
      <c r="A890" s="5"/>
      <c r="B890" s="5"/>
      <c r="C890" s="5"/>
      <c r="D890" s="5"/>
      <c r="E890" s="11"/>
      <c r="F890" s="12"/>
      <c r="G890" s="5"/>
      <c r="H890" s="12"/>
      <c r="I890" s="12"/>
      <c r="J890" s="12"/>
      <c r="K890" s="12"/>
      <c r="L890" s="12"/>
      <c r="M890" s="12"/>
      <c r="N890" s="5"/>
      <c r="O890" s="5"/>
      <c r="P890" s="5"/>
      <c r="Q890" s="5"/>
      <c r="R890" s="5"/>
      <c r="S890" s="5"/>
      <c r="T890" s="5"/>
      <c r="U890" s="12"/>
      <c r="V890" s="5"/>
      <c r="W890" s="11"/>
      <c r="X890" s="11"/>
      <c r="Y890" s="13"/>
      <c r="Z890" s="5"/>
      <c r="AA890" s="14"/>
      <c r="AB890" s="5"/>
      <c r="AC890" s="5"/>
      <c r="AD890" s="5"/>
      <c r="AE890" s="5"/>
      <c r="AF890" s="5"/>
      <c r="AG890" s="5"/>
      <c r="AH890" s="5"/>
      <c r="AI890" s="5"/>
      <c r="AJ890" s="5"/>
    </row>
    <row r="891">
      <c r="A891" s="5"/>
      <c r="B891" s="5"/>
      <c r="C891" s="5"/>
      <c r="D891" s="5"/>
      <c r="E891" s="11"/>
      <c r="F891" s="12"/>
      <c r="G891" s="5"/>
      <c r="H891" s="12"/>
      <c r="I891" s="12"/>
      <c r="J891" s="12"/>
      <c r="K891" s="12"/>
      <c r="L891" s="12"/>
      <c r="M891" s="12"/>
      <c r="N891" s="5"/>
      <c r="O891" s="5"/>
      <c r="P891" s="5"/>
      <c r="Q891" s="5"/>
      <c r="R891" s="5"/>
      <c r="S891" s="5"/>
      <c r="T891" s="5"/>
      <c r="U891" s="12"/>
      <c r="V891" s="5"/>
      <c r="W891" s="11"/>
      <c r="X891" s="11"/>
      <c r="Y891" s="13"/>
      <c r="Z891" s="5"/>
      <c r="AA891" s="14"/>
      <c r="AB891" s="5"/>
      <c r="AC891" s="5"/>
      <c r="AD891" s="5"/>
      <c r="AE891" s="5"/>
      <c r="AF891" s="5"/>
      <c r="AG891" s="5"/>
      <c r="AH891" s="5"/>
      <c r="AI891" s="5"/>
      <c r="AJ891" s="5"/>
    </row>
    <row r="892">
      <c r="A892" s="5"/>
      <c r="B892" s="5"/>
      <c r="C892" s="5"/>
      <c r="D892" s="5"/>
      <c r="E892" s="11"/>
      <c r="F892" s="12"/>
      <c r="G892" s="5"/>
      <c r="H892" s="12"/>
      <c r="I892" s="12"/>
      <c r="J892" s="12"/>
      <c r="K892" s="12"/>
      <c r="L892" s="12"/>
      <c r="M892" s="12"/>
      <c r="N892" s="5"/>
      <c r="O892" s="5"/>
      <c r="P892" s="5"/>
      <c r="Q892" s="5"/>
      <c r="R892" s="5"/>
      <c r="S892" s="5"/>
      <c r="T892" s="5"/>
      <c r="U892" s="12"/>
      <c r="V892" s="5"/>
      <c r="W892" s="11"/>
      <c r="X892" s="11"/>
      <c r="Y892" s="13"/>
      <c r="Z892" s="5"/>
      <c r="AA892" s="14"/>
      <c r="AB892" s="5"/>
      <c r="AC892" s="5"/>
      <c r="AD892" s="5"/>
      <c r="AE892" s="5"/>
      <c r="AF892" s="5"/>
      <c r="AG892" s="5"/>
      <c r="AH892" s="5"/>
      <c r="AI892" s="5"/>
      <c r="AJ892" s="5"/>
    </row>
    <row r="893">
      <c r="A893" s="5"/>
      <c r="B893" s="5"/>
      <c r="C893" s="5"/>
      <c r="D893" s="5"/>
      <c r="E893" s="11"/>
      <c r="F893" s="12"/>
      <c r="G893" s="5"/>
      <c r="H893" s="12"/>
      <c r="I893" s="12"/>
      <c r="J893" s="12"/>
      <c r="K893" s="12"/>
      <c r="L893" s="12"/>
      <c r="M893" s="12"/>
      <c r="N893" s="5"/>
      <c r="O893" s="5"/>
      <c r="P893" s="5"/>
      <c r="Q893" s="5"/>
      <c r="R893" s="5"/>
      <c r="S893" s="5"/>
      <c r="T893" s="5"/>
      <c r="U893" s="12"/>
      <c r="V893" s="5"/>
      <c r="W893" s="11"/>
      <c r="X893" s="11"/>
      <c r="Y893" s="13"/>
      <c r="Z893" s="5"/>
      <c r="AA893" s="14"/>
      <c r="AB893" s="5"/>
      <c r="AC893" s="5"/>
      <c r="AD893" s="5"/>
      <c r="AE893" s="5"/>
      <c r="AF893" s="5"/>
      <c r="AG893" s="5"/>
      <c r="AH893" s="5"/>
      <c r="AI893" s="5"/>
      <c r="AJ893" s="5"/>
    </row>
    <row r="894">
      <c r="A894" s="5"/>
      <c r="B894" s="5"/>
      <c r="C894" s="5"/>
      <c r="D894" s="5"/>
      <c r="E894" s="11"/>
      <c r="F894" s="12"/>
      <c r="G894" s="5"/>
      <c r="H894" s="12"/>
      <c r="I894" s="12"/>
      <c r="J894" s="12"/>
      <c r="K894" s="12"/>
      <c r="L894" s="12"/>
      <c r="M894" s="12"/>
      <c r="N894" s="5"/>
      <c r="O894" s="5"/>
      <c r="P894" s="5"/>
      <c r="Q894" s="5"/>
      <c r="R894" s="5"/>
      <c r="S894" s="5"/>
      <c r="T894" s="5"/>
      <c r="U894" s="12"/>
      <c r="V894" s="5"/>
      <c r="W894" s="11"/>
      <c r="X894" s="11"/>
      <c r="Y894" s="13"/>
      <c r="Z894" s="5"/>
      <c r="AA894" s="14"/>
      <c r="AB894" s="5"/>
      <c r="AC894" s="5"/>
      <c r="AD894" s="5"/>
      <c r="AE894" s="5"/>
      <c r="AF894" s="5"/>
      <c r="AG894" s="5"/>
      <c r="AH894" s="5"/>
      <c r="AI894" s="5"/>
      <c r="AJ894" s="5"/>
    </row>
    <row r="895">
      <c r="A895" s="5"/>
      <c r="B895" s="5"/>
      <c r="C895" s="5"/>
      <c r="D895" s="5"/>
      <c r="E895" s="11"/>
      <c r="F895" s="12"/>
      <c r="G895" s="5"/>
      <c r="H895" s="12"/>
      <c r="I895" s="12"/>
      <c r="J895" s="12"/>
      <c r="K895" s="12"/>
      <c r="L895" s="12"/>
      <c r="M895" s="12"/>
      <c r="N895" s="5"/>
      <c r="O895" s="5"/>
      <c r="P895" s="5"/>
      <c r="Q895" s="5"/>
      <c r="R895" s="5"/>
      <c r="S895" s="5"/>
      <c r="T895" s="5"/>
      <c r="U895" s="12"/>
      <c r="V895" s="5"/>
      <c r="W895" s="11"/>
      <c r="X895" s="11"/>
      <c r="Y895" s="13"/>
      <c r="Z895" s="5"/>
      <c r="AA895" s="14"/>
      <c r="AB895" s="5"/>
      <c r="AC895" s="5"/>
      <c r="AD895" s="5"/>
      <c r="AE895" s="5"/>
      <c r="AF895" s="5"/>
      <c r="AG895" s="5"/>
      <c r="AH895" s="5"/>
      <c r="AI895" s="5"/>
      <c r="AJ895" s="5"/>
    </row>
    <row r="896">
      <c r="A896" s="5"/>
      <c r="B896" s="5"/>
      <c r="C896" s="5"/>
      <c r="D896" s="5"/>
      <c r="E896" s="11"/>
      <c r="F896" s="12"/>
      <c r="G896" s="5"/>
      <c r="H896" s="12"/>
      <c r="I896" s="12"/>
      <c r="J896" s="12"/>
      <c r="K896" s="12"/>
      <c r="L896" s="12"/>
      <c r="M896" s="12"/>
      <c r="N896" s="5"/>
      <c r="O896" s="5"/>
      <c r="P896" s="5"/>
      <c r="Q896" s="5"/>
      <c r="R896" s="5"/>
      <c r="S896" s="5"/>
      <c r="T896" s="5"/>
      <c r="U896" s="12"/>
      <c r="V896" s="5"/>
      <c r="W896" s="11"/>
      <c r="X896" s="11"/>
      <c r="Y896" s="13"/>
      <c r="Z896" s="5"/>
      <c r="AA896" s="14"/>
      <c r="AB896" s="5"/>
      <c r="AC896" s="5"/>
      <c r="AD896" s="5"/>
      <c r="AE896" s="5"/>
      <c r="AF896" s="5"/>
      <c r="AG896" s="5"/>
      <c r="AH896" s="5"/>
      <c r="AI896" s="5"/>
      <c r="AJ896" s="5"/>
    </row>
    <row r="897">
      <c r="A897" s="5"/>
      <c r="B897" s="5"/>
      <c r="C897" s="5"/>
      <c r="D897" s="5"/>
      <c r="E897" s="11"/>
      <c r="F897" s="12"/>
      <c r="G897" s="5"/>
      <c r="H897" s="12"/>
      <c r="I897" s="12"/>
      <c r="J897" s="12"/>
      <c r="K897" s="12"/>
      <c r="L897" s="12"/>
      <c r="M897" s="12"/>
      <c r="N897" s="5"/>
      <c r="O897" s="5"/>
      <c r="P897" s="5"/>
      <c r="Q897" s="5"/>
      <c r="R897" s="5"/>
      <c r="S897" s="5"/>
      <c r="T897" s="5"/>
      <c r="U897" s="12"/>
      <c r="V897" s="5"/>
      <c r="W897" s="11"/>
      <c r="X897" s="11"/>
      <c r="Y897" s="13"/>
      <c r="Z897" s="5"/>
      <c r="AA897" s="14"/>
      <c r="AB897" s="5"/>
      <c r="AC897" s="5"/>
      <c r="AD897" s="5"/>
      <c r="AE897" s="5"/>
      <c r="AF897" s="5"/>
      <c r="AG897" s="5"/>
      <c r="AH897" s="5"/>
      <c r="AI897" s="5"/>
      <c r="AJ897" s="5"/>
    </row>
    <row r="898">
      <c r="A898" s="5"/>
      <c r="B898" s="5"/>
      <c r="C898" s="5"/>
      <c r="D898" s="5"/>
      <c r="E898" s="11"/>
      <c r="F898" s="12"/>
      <c r="G898" s="5"/>
      <c r="H898" s="12"/>
      <c r="I898" s="12"/>
      <c r="J898" s="12"/>
      <c r="K898" s="12"/>
      <c r="L898" s="12"/>
      <c r="M898" s="12"/>
      <c r="N898" s="5"/>
      <c r="O898" s="5"/>
      <c r="P898" s="5"/>
      <c r="Q898" s="5"/>
      <c r="R898" s="5"/>
      <c r="S898" s="5"/>
      <c r="T898" s="5"/>
      <c r="U898" s="12"/>
      <c r="V898" s="5"/>
      <c r="W898" s="11"/>
      <c r="X898" s="11"/>
      <c r="Y898" s="13"/>
      <c r="Z898" s="5"/>
      <c r="AA898" s="14"/>
      <c r="AB898" s="5"/>
      <c r="AC898" s="5"/>
      <c r="AD898" s="5"/>
      <c r="AE898" s="5"/>
      <c r="AF898" s="5"/>
      <c r="AG898" s="5"/>
      <c r="AH898" s="5"/>
      <c r="AI898" s="5"/>
      <c r="AJ898" s="5"/>
    </row>
    <row r="899">
      <c r="A899" s="5"/>
      <c r="B899" s="5"/>
      <c r="C899" s="5"/>
      <c r="D899" s="5"/>
      <c r="E899" s="11"/>
      <c r="F899" s="12"/>
      <c r="G899" s="5"/>
      <c r="H899" s="12"/>
      <c r="I899" s="12"/>
      <c r="J899" s="12"/>
      <c r="K899" s="12"/>
      <c r="L899" s="12"/>
      <c r="M899" s="12"/>
      <c r="N899" s="5"/>
      <c r="O899" s="5"/>
      <c r="P899" s="5"/>
      <c r="Q899" s="5"/>
      <c r="R899" s="5"/>
      <c r="S899" s="5"/>
      <c r="T899" s="5"/>
      <c r="U899" s="12"/>
      <c r="V899" s="5"/>
      <c r="W899" s="11"/>
      <c r="X899" s="11"/>
      <c r="Y899" s="13"/>
      <c r="Z899" s="5"/>
      <c r="AA899" s="14"/>
      <c r="AB899" s="5"/>
      <c r="AC899" s="5"/>
      <c r="AD899" s="5"/>
      <c r="AE899" s="5"/>
      <c r="AF899" s="5"/>
      <c r="AG899" s="5"/>
      <c r="AH899" s="5"/>
      <c r="AI899" s="5"/>
      <c r="AJ899" s="5"/>
    </row>
    <row r="900">
      <c r="A900" s="5"/>
      <c r="B900" s="5"/>
      <c r="C900" s="5"/>
      <c r="D900" s="5"/>
      <c r="E900" s="11"/>
      <c r="F900" s="12"/>
      <c r="G900" s="5"/>
      <c r="H900" s="12"/>
      <c r="I900" s="12"/>
      <c r="J900" s="12"/>
      <c r="K900" s="12"/>
      <c r="L900" s="12"/>
      <c r="M900" s="12"/>
      <c r="N900" s="5"/>
      <c r="O900" s="5"/>
      <c r="P900" s="5"/>
      <c r="Q900" s="5"/>
      <c r="R900" s="5"/>
      <c r="S900" s="5"/>
      <c r="T900" s="5"/>
      <c r="U900" s="12"/>
      <c r="V900" s="5"/>
      <c r="W900" s="11"/>
      <c r="X900" s="11"/>
      <c r="Y900" s="13"/>
      <c r="Z900" s="5"/>
      <c r="AA900" s="14"/>
      <c r="AB900" s="5"/>
      <c r="AC900" s="5"/>
      <c r="AD900" s="5"/>
      <c r="AE900" s="5"/>
      <c r="AF900" s="5"/>
      <c r="AG900" s="5"/>
      <c r="AH900" s="5"/>
      <c r="AI900" s="5"/>
      <c r="AJ900" s="5"/>
    </row>
    <row r="901">
      <c r="A901" s="5"/>
      <c r="B901" s="5"/>
      <c r="C901" s="5"/>
      <c r="D901" s="5"/>
      <c r="E901" s="11"/>
      <c r="F901" s="12"/>
      <c r="G901" s="5"/>
      <c r="H901" s="12"/>
      <c r="I901" s="12"/>
      <c r="J901" s="12"/>
      <c r="K901" s="12"/>
      <c r="L901" s="12"/>
      <c r="M901" s="12"/>
      <c r="N901" s="5"/>
      <c r="O901" s="5"/>
      <c r="P901" s="5"/>
      <c r="Q901" s="5"/>
      <c r="R901" s="5"/>
      <c r="S901" s="5"/>
      <c r="T901" s="5"/>
      <c r="U901" s="12"/>
      <c r="V901" s="5"/>
      <c r="W901" s="11"/>
      <c r="X901" s="11"/>
      <c r="Y901" s="13"/>
      <c r="Z901" s="5"/>
      <c r="AA901" s="14"/>
      <c r="AB901" s="5"/>
      <c r="AC901" s="5"/>
      <c r="AD901" s="5"/>
      <c r="AE901" s="5"/>
      <c r="AF901" s="5"/>
      <c r="AG901" s="5"/>
      <c r="AH901" s="5"/>
      <c r="AI901" s="5"/>
      <c r="AJ901" s="5"/>
    </row>
    <row r="902">
      <c r="A902" s="5"/>
      <c r="B902" s="5"/>
      <c r="C902" s="5"/>
      <c r="D902" s="5"/>
      <c r="E902" s="11"/>
      <c r="F902" s="12"/>
      <c r="G902" s="5"/>
      <c r="H902" s="12"/>
      <c r="I902" s="12"/>
      <c r="J902" s="12"/>
      <c r="K902" s="12"/>
      <c r="L902" s="12"/>
      <c r="M902" s="12"/>
      <c r="N902" s="5"/>
      <c r="O902" s="5"/>
      <c r="P902" s="5"/>
      <c r="Q902" s="5"/>
      <c r="R902" s="5"/>
      <c r="S902" s="5"/>
      <c r="T902" s="5"/>
      <c r="U902" s="12"/>
      <c r="V902" s="5"/>
      <c r="W902" s="11"/>
      <c r="X902" s="11"/>
      <c r="Y902" s="13"/>
      <c r="Z902" s="5"/>
      <c r="AA902" s="14"/>
      <c r="AB902" s="5"/>
      <c r="AC902" s="5"/>
      <c r="AD902" s="5"/>
      <c r="AE902" s="5"/>
      <c r="AF902" s="5"/>
      <c r="AG902" s="5"/>
      <c r="AH902" s="5"/>
      <c r="AI902" s="5"/>
      <c r="AJ902" s="5"/>
    </row>
    <row r="903">
      <c r="A903" s="5"/>
      <c r="B903" s="5"/>
      <c r="C903" s="5"/>
      <c r="D903" s="5"/>
      <c r="E903" s="11"/>
      <c r="F903" s="12"/>
      <c r="G903" s="5"/>
      <c r="H903" s="12"/>
      <c r="I903" s="12"/>
      <c r="J903" s="12"/>
      <c r="K903" s="12"/>
      <c r="L903" s="12"/>
      <c r="M903" s="12"/>
      <c r="N903" s="5"/>
      <c r="O903" s="5"/>
      <c r="P903" s="5"/>
      <c r="Q903" s="5"/>
      <c r="R903" s="5"/>
      <c r="S903" s="5"/>
      <c r="T903" s="5"/>
      <c r="U903" s="12"/>
      <c r="V903" s="5"/>
      <c r="W903" s="11"/>
      <c r="X903" s="11"/>
      <c r="Y903" s="13"/>
      <c r="Z903" s="5"/>
      <c r="AA903" s="14"/>
      <c r="AB903" s="5"/>
      <c r="AC903" s="5"/>
      <c r="AD903" s="5"/>
      <c r="AE903" s="5"/>
      <c r="AF903" s="5"/>
      <c r="AG903" s="5"/>
      <c r="AH903" s="5"/>
      <c r="AI903" s="5"/>
      <c r="AJ903" s="5"/>
    </row>
    <row r="904">
      <c r="A904" s="5"/>
      <c r="B904" s="5"/>
      <c r="C904" s="5"/>
      <c r="D904" s="5"/>
      <c r="E904" s="11"/>
      <c r="F904" s="12"/>
      <c r="G904" s="5"/>
      <c r="H904" s="12"/>
      <c r="I904" s="12"/>
      <c r="J904" s="12"/>
      <c r="K904" s="12"/>
      <c r="L904" s="12"/>
      <c r="M904" s="12"/>
      <c r="N904" s="5"/>
      <c r="O904" s="5"/>
      <c r="P904" s="5"/>
      <c r="Q904" s="5"/>
      <c r="R904" s="5"/>
      <c r="S904" s="5"/>
      <c r="T904" s="5"/>
      <c r="U904" s="12"/>
      <c r="V904" s="5"/>
      <c r="W904" s="11"/>
      <c r="X904" s="11"/>
      <c r="Y904" s="13"/>
      <c r="Z904" s="5"/>
      <c r="AA904" s="14"/>
      <c r="AB904" s="5"/>
      <c r="AC904" s="5"/>
      <c r="AD904" s="5"/>
      <c r="AE904" s="5"/>
      <c r="AF904" s="5"/>
      <c r="AG904" s="5"/>
      <c r="AH904" s="5"/>
      <c r="AI904" s="5"/>
      <c r="AJ904" s="5"/>
    </row>
    <row r="905">
      <c r="A905" s="5"/>
      <c r="B905" s="5"/>
      <c r="C905" s="5"/>
      <c r="D905" s="5"/>
      <c r="E905" s="11"/>
      <c r="F905" s="12"/>
      <c r="G905" s="5"/>
      <c r="H905" s="12"/>
      <c r="I905" s="12"/>
      <c r="J905" s="12"/>
      <c r="K905" s="12"/>
      <c r="L905" s="12"/>
      <c r="M905" s="12"/>
      <c r="N905" s="5"/>
      <c r="O905" s="5"/>
      <c r="P905" s="5"/>
      <c r="Q905" s="5"/>
      <c r="R905" s="5"/>
      <c r="S905" s="5"/>
      <c r="T905" s="5"/>
      <c r="U905" s="12"/>
      <c r="V905" s="5"/>
      <c r="W905" s="11"/>
      <c r="X905" s="11"/>
      <c r="Y905" s="13"/>
      <c r="Z905" s="5"/>
      <c r="AA905" s="14"/>
      <c r="AB905" s="5"/>
      <c r="AC905" s="5"/>
      <c r="AD905" s="5"/>
      <c r="AE905" s="5"/>
      <c r="AF905" s="5"/>
      <c r="AG905" s="5"/>
      <c r="AH905" s="5"/>
      <c r="AI905" s="5"/>
      <c r="AJ905" s="5"/>
    </row>
    <row r="906">
      <c r="A906" s="5"/>
      <c r="B906" s="5"/>
      <c r="C906" s="5"/>
      <c r="D906" s="5"/>
      <c r="E906" s="11"/>
      <c r="F906" s="12"/>
      <c r="G906" s="5"/>
      <c r="H906" s="12"/>
      <c r="I906" s="12"/>
      <c r="J906" s="12"/>
      <c r="K906" s="12"/>
      <c r="L906" s="12"/>
      <c r="M906" s="12"/>
      <c r="N906" s="5"/>
      <c r="O906" s="5"/>
      <c r="P906" s="5"/>
      <c r="Q906" s="5"/>
      <c r="R906" s="5"/>
      <c r="S906" s="5"/>
      <c r="T906" s="5"/>
      <c r="U906" s="12"/>
      <c r="V906" s="5"/>
      <c r="W906" s="11"/>
      <c r="X906" s="11"/>
      <c r="Y906" s="13"/>
      <c r="Z906" s="5"/>
      <c r="AA906" s="14"/>
      <c r="AB906" s="5"/>
      <c r="AC906" s="5"/>
      <c r="AD906" s="5"/>
      <c r="AE906" s="5"/>
      <c r="AF906" s="5"/>
      <c r="AG906" s="5"/>
      <c r="AH906" s="5"/>
      <c r="AI906" s="5"/>
      <c r="AJ906" s="5"/>
    </row>
    <row r="907">
      <c r="A907" s="5"/>
      <c r="B907" s="5"/>
      <c r="C907" s="5"/>
      <c r="D907" s="5"/>
      <c r="E907" s="11"/>
      <c r="F907" s="12"/>
      <c r="G907" s="5"/>
      <c r="H907" s="12"/>
      <c r="I907" s="12"/>
      <c r="J907" s="12"/>
      <c r="K907" s="12"/>
      <c r="L907" s="12"/>
      <c r="M907" s="12"/>
      <c r="N907" s="5"/>
      <c r="O907" s="5"/>
      <c r="P907" s="5"/>
      <c r="Q907" s="5"/>
      <c r="R907" s="5"/>
      <c r="S907" s="5"/>
      <c r="T907" s="5"/>
      <c r="U907" s="12"/>
      <c r="V907" s="5"/>
      <c r="W907" s="11"/>
      <c r="X907" s="11"/>
      <c r="Y907" s="13"/>
      <c r="Z907" s="5"/>
      <c r="AA907" s="14"/>
      <c r="AB907" s="5"/>
      <c r="AC907" s="5"/>
      <c r="AD907" s="5"/>
      <c r="AE907" s="5"/>
      <c r="AF907" s="5"/>
      <c r="AG907" s="5"/>
      <c r="AH907" s="5"/>
      <c r="AI907" s="5"/>
      <c r="AJ907" s="5"/>
    </row>
    <row r="908">
      <c r="A908" s="5"/>
      <c r="B908" s="5"/>
      <c r="C908" s="5"/>
      <c r="D908" s="5"/>
      <c r="E908" s="11"/>
      <c r="F908" s="12"/>
      <c r="G908" s="5"/>
      <c r="H908" s="12"/>
      <c r="I908" s="12"/>
      <c r="J908" s="12"/>
      <c r="K908" s="12"/>
      <c r="L908" s="12"/>
      <c r="M908" s="12"/>
      <c r="N908" s="5"/>
      <c r="O908" s="5"/>
      <c r="P908" s="5"/>
      <c r="Q908" s="5"/>
      <c r="R908" s="5"/>
      <c r="S908" s="5"/>
      <c r="T908" s="5"/>
      <c r="U908" s="12"/>
      <c r="V908" s="5"/>
      <c r="W908" s="11"/>
      <c r="X908" s="11"/>
      <c r="Y908" s="13"/>
      <c r="Z908" s="5"/>
      <c r="AA908" s="14"/>
      <c r="AB908" s="5"/>
      <c r="AC908" s="5"/>
      <c r="AD908" s="5"/>
      <c r="AE908" s="5"/>
      <c r="AF908" s="5"/>
      <c r="AG908" s="5"/>
      <c r="AH908" s="5"/>
      <c r="AI908" s="5"/>
      <c r="AJ908" s="5"/>
    </row>
    <row r="909">
      <c r="A909" s="5"/>
      <c r="B909" s="5"/>
      <c r="C909" s="5"/>
      <c r="D909" s="5"/>
      <c r="E909" s="11"/>
      <c r="F909" s="12"/>
      <c r="G909" s="5"/>
      <c r="H909" s="12"/>
      <c r="I909" s="12"/>
      <c r="J909" s="12"/>
      <c r="K909" s="12"/>
      <c r="L909" s="12"/>
      <c r="M909" s="12"/>
      <c r="N909" s="5"/>
      <c r="O909" s="5"/>
      <c r="P909" s="5"/>
      <c r="Q909" s="5"/>
      <c r="R909" s="5"/>
      <c r="S909" s="5"/>
      <c r="T909" s="5"/>
      <c r="U909" s="12"/>
      <c r="V909" s="5"/>
      <c r="W909" s="11"/>
      <c r="X909" s="11"/>
      <c r="Y909" s="13"/>
      <c r="Z909" s="5"/>
      <c r="AA909" s="14"/>
      <c r="AB909" s="5"/>
      <c r="AC909" s="5"/>
      <c r="AD909" s="5"/>
      <c r="AE909" s="5"/>
      <c r="AF909" s="5"/>
      <c r="AG909" s="5"/>
      <c r="AH909" s="5"/>
      <c r="AI909" s="5"/>
      <c r="AJ909" s="5"/>
    </row>
    <row r="910">
      <c r="A910" s="5"/>
      <c r="B910" s="5"/>
      <c r="C910" s="5"/>
      <c r="D910" s="5"/>
      <c r="E910" s="11"/>
      <c r="F910" s="12"/>
      <c r="G910" s="5"/>
      <c r="H910" s="12"/>
      <c r="I910" s="12"/>
      <c r="J910" s="12"/>
      <c r="K910" s="12"/>
      <c r="L910" s="12"/>
      <c r="M910" s="12"/>
      <c r="N910" s="5"/>
      <c r="O910" s="5"/>
      <c r="P910" s="5"/>
      <c r="Q910" s="5"/>
      <c r="R910" s="5"/>
      <c r="S910" s="5"/>
      <c r="T910" s="5"/>
      <c r="U910" s="12"/>
      <c r="V910" s="5"/>
      <c r="W910" s="11"/>
      <c r="X910" s="11"/>
      <c r="Y910" s="13"/>
      <c r="Z910" s="5"/>
      <c r="AA910" s="14"/>
      <c r="AB910" s="5"/>
      <c r="AC910" s="5"/>
      <c r="AD910" s="5"/>
      <c r="AE910" s="5"/>
      <c r="AF910" s="5"/>
      <c r="AG910" s="5"/>
      <c r="AH910" s="5"/>
      <c r="AI910" s="5"/>
      <c r="AJ910" s="5"/>
    </row>
    <row r="911">
      <c r="A911" s="5"/>
      <c r="B911" s="5"/>
      <c r="C911" s="5"/>
      <c r="D911" s="5"/>
      <c r="E911" s="11"/>
      <c r="F911" s="12"/>
      <c r="G911" s="5"/>
      <c r="H911" s="12"/>
      <c r="I911" s="12"/>
      <c r="J911" s="12"/>
      <c r="K911" s="12"/>
      <c r="L911" s="12"/>
      <c r="M911" s="12"/>
      <c r="N911" s="5"/>
      <c r="O911" s="5"/>
      <c r="P911" s="5"/>
      <c r="Q911" s="5"/>
      <c r="R911" s="5"/>
      <c r="S911" s="5"/>
      <c r="T911" s="5"/>
      <c r="U911" s="12"/>
      <c r="V911" s="5"/>
      <c r="W911" s="11"/>
      <c r="X911" s="11"/>
      <c r="Y911" s="13"/>
      <c r="Z911" s="5"/>
      <c r="AA911" s="14"/>
      <c r="AB911" s="5"/>
      <c r="AC911" s="5"/>
      <c r="AD911" s="5"/>
      <c r="AE911" s="5"/>
      <c r="AF911" s="5"/>
      <c r="AG911" s="5"/>
      <c r="AH911" s="5"/>
      <c r="AI911" s="5"/>
      <c r="AJ911" s="5"/>
    </row>
    <row r="912">
      <c r="A912" s="5"/>
      <c r="B912" s="5"/>
      <c r="C912" s="5"/>
      <c r="D912" s="5"/>
      <c r="E912" s="11"/>
      <c r="F912" s="12"/>
      <c r="G912" s="5"/>
      <c r="H912" s="12"/>
      <c r="I912" s="12"/>
      <c r="J912" s="12"/>
      <c r="K912" s="12"/>
      <c r="L912" s="12"/>
      <c r="M912" s="12"/>
      <c r="N912" s="5"/>
      <c r="O912" s="5"/>
      <c r="P912" s="5"/>
      <c r="Q912" s="5"/>
      <c r="R912" s="5"/>
      <c r="S912" s="5"/>
      <c r="T912" s="5"/>
      <c r="U912" s="12"/>
      <c r="V912" s="5"/>
      <c r="W912" s="11"/>
      <c r="X912" s="11"/>
      <c r="Y912" s="13"/>
      <c r="Z912" s="5"/>
      <c r="AA912" s="14"/>
      <c r="AB912" s="5"/>
      <c r="AC912" s="5"/>
      <c r="AD912" s="5"/>
      <c r="AE912" s="5"/>
      <c r="AF912" s="5"/>
      <c r="AG912" s="5"/>
      <c r="AH912" s="5"/>
      <c r="AI912" s="5"/>
      <c r="AJ912" s="5"/>
    </row>
    <row r="913">
      <c r="A913" s="5"/>
      <c r="B913" s="5"/>
      <c r="C913" s="5"/>
      <c r="D913" s="5"/>
      <c r="E913" s="11"/>
      <c r="F913" s="12"/>
      <c r="G913" s="5"/>
      <c r="H913" s="12"/>
      <c r="I913" s="12"/>
      <c r="J913" s="12"/>
      <c r="K913" s="12"/>
      <c r="L913" s="12"/>
      <c r="M913" s="12"/>
      <c r="N913" s="5"/>
      <c r="O913" s="5"/>
      <c r="P913" s="5"/>
      <c r="Q913" s="5"/>
      <c r="R913" s="5"/>
      <c r="S913" s="5"/>
      <c r="T913" s="5"/>
      <c r="U913" s="12"/>
      <c r="V913" s="5"/>
      <c r="W913" s="11"/>
      <c r="X913" s="11"/>
      <c r="Y913" s="13"/>
      <c r="Z913" s="5"/>
      <c r="AA913" s="14"/>
      <c r="AB913" s="5"/>
      <c r="AC913" s="5"/>
      <c r="AD913" s="5"/>
      <c r="AE913" s="5"/>
      <c r="AF913" s="5"/>
      <c r="AG913" s="5"/>
      <c r="AH913" s="5"/>
      <c r="AI913" s="5"/>
      <c r="AJ913" s="5"/>
    </row>
    <row r="914">
      <c r="A914" s="5"/>
      <c r="B914" s="5"/>
      <c r="C914" s="5"/>
      <c r="D914" s="5"/>
      <c r="E914" s="11"/>
      <c r="F914" s="12"/>
      <c r="G914" s="5"/>
      <c r="H914" s="12"/>
      <c r="I914" s="12"/>
      <c r="J914" s="12"/>
      <c r="K914" s="12"/>
      <c r="L914" s="12"/>
      <c r="M914" s="12"/>
      <c r="N914" s="5"/>
      <c r="O914" s="5"/>
      <c r="P914" s="5"/>
      <c r="Q914" s="5"/>
      <c r="R914" s="5"/>
      <c r="S914" s="5"/>
      <c r="T914" s="5"/>
      <c r="U914" s="12"/>
      <c r="V914" s="5"/>
      <c r="W914" s="11"/>
      <c r="X914" s="11"/>
      <c r="Y914" s="13"/>
      <c r="Z914" s="5"/>
      <c r="AA914" s="14"/>
      <c r="AB914" s="5"/>
      <c r="AC914" s="5"/>
      <c r="AD914" s="5"/>
      <c r="AE914" s="5"/>
      <c r="AF914" s="5"/>
      <c r="AG914" s="5"/>
      <c r="AH914" s="5"/>
      <c r="AI914" s="5"/>
      <c r="AJ914" s="5"/>
    </row>
    <row r="915">
      <c r="A915" s="5"/>
      <c r="B915" s="5"/>
      <c r="C915" s="5"/>
      <c r="D915" s="5"/>
      <c r="E915" s="11"/>
      <c r="F915" s="12"/>
      <c r="G915" s="5"/>
      <c r="H915" s="12"/>
      <c r="I915" s="12"/>
      <c r="J915" s="12"/>
      <c r="K915" s="12"/>
      <c r="L915" s="12"/>
      <c r="M915" s="12"/>
      <c r="N915" s="5"/>
      <c r="O915" s="5"/>
      <c r="P915" s="5"/>
      <c r="Q915" s="5"/>
      <c r="R915" s="5"/>
      <c r="S915" s="5"/>
      <c r="T915" s="5"/>
      <c r="U915" s="12"/>
      <c r="V915" s="5"/>
      <c r="W915" s="11"/>
      <c r="X915" s="11"/>
      <c r="Y915" s="13"/>
      <c r="Z915" s="5"/>
      <c r="AA915" s="14"/>
      <c r="AB915" s="5"/>
      <c r="AC915" s="5"/>
      <c r="AD915" s="5"/>
      <c r="AE915" s="5"/>
      <c r="AF915" s="5"/>
      <c r="AG915" s="5"/>
      <c r="AH915" s="5"/>
      <c r="AI915" s="5"/>
      <c r="AJ915" s="5"/>
    </row>
    <row r="916">
      <c r="A916" s="5"/>
      <c r="B916" s="5"/>
      <c r="C916" s="5"/>
      <c r="D916" s="5"/>
      <c r="E916" s="11"/>
      <c r="F916" s="12"/>
      <c r="G916" s="5"/>
      <c r="H916" s="12"/>
      <c r="I916" s="12"/>
      <c r="J916" s="12"/>
      <c r="K916" s="12"/>
      <c r="L916" s="12"/>
      <c r="M916" s="12"/>
      <c r="N916" s="5"/>
      <c r="O916" s="5"/>
      <c r="P916" s="5"/>
      <c r="Q916" s="5"/>
      <c r="R916" s="5"/>
      <c r="S916" s="5"/>
      <c r="T916" s="5"/>
      <c r="U916" s="12"/>
      <c r="V916" s="5"/>
      <c r="W916" s="11"/>
      <c r="X916" s="11"/>
      <c r="Y916" s="13"/>
      <c r="Z916" s="5"/>
      <c r="AA916" s="14"/>
      <c r="AB916" s="5"/>
      <c r="AC916" s="5"/>
      <c r="AD916" s="5"/>
      <c r="AE916" s="5"/>
      <c r="AF916" s="5"/>
      <c r="AG916" s="5"/>
      <c r="AH916" s="5"/>
      <c r="AI916" s="5"/>
      <c r="AJ916" s="5"/>
    </row>
    <row r="917">
      <c r="A917" s="5"/>
      <c r="B917" s="5"/>
      <c r="C917" s="5"/>
      <c r="D917" s="5"/>
      <c r="E917" s="11"/>
      <c r="F917" s="12"/>
      <c r="G917" s="5"/>
      <c r="H917" s="12"/>
      <c r="I917" s="12"/>
      <c r="J917" s="12"/>
      <c r="K917" s="12"/>
      <c r="L917" s="12"/>
      <c r="M917" s="12"/>
      <c r="N917" s="5"/>
      <c r="O917" s="5"/>
      <c r="P917" s="5"/>
      <c r="Q917" s="5"/>
      <c r="R917" s="5"/>
      <c r="S917" s="5"/>
      <c r="T917" s="5"/>
      <c r="U917" s="12"/>
      <c r="V917" s="5"/>
      <c r="W917" s="11"/>
      <c r="X917" s="11"/>
      <c r="Y917" s="13"/>
      <c r="Z917" s="5"/>
      <c r="AA917" s="14"/>
      <c r="AB917" s="5"/>
      <c r="AC917" s="5"/>
      <c r="AD917" s="5"/>
      <c r="AE917" s="5"/>
      <c r="AF917" s="5"/>
      <c r="AG917" s="5"/>
      <c r="AH917" s="5"/>
      <c r="AI917" s="5"/>
      <c r="AJ917" s="5"/>
    </row>
    <row r="918">
      <c r="A918" s="5"/>
      <c r="B918" s="5"/>
      <c r="C918" s="5"/>
      <c r="D918" s="5"/>
      <c r="E918" s="11"/>
      <c r="F918" s="12"/>
      <c r="G918" s="5"/>
      <c r="H918" s="12"/>
      <c r="I918" s="12"/>
      <c r="J918" s="12"/>
      <c r="K918" s="12"/>
      <c r="L918" s="12"/>
      <c r="M918" s="12"/>
      <c r="N918" s="5"/>
      <c r="O918" s="5"/>
      <c r="P918" s="5"/>
      <c r="Q918" s="5"/>
      <c r="R918" s="5"/>
      <c r="S918" s="5"/>
      <c r="T918" s="5"/>
      <c r="U918" s="12"/>
      <c r="V918" s="5"/>
      <c r="W918" s="11"/>
      <c r="X918" s="11"/>
      <c r="Y918" s="13"/>
      <c r="Z918" s="5"/>
      <c r="AA918" s="14"/>
      <c r="AB918" s="5"/>
      <c r="AC918" s="5"/>
      <c r="AD918" s="5"/>
      <c r="AE918" s="5"/>
      <c r="AF918" s="5"/>
      <c r="AG918" s="5"/>
      <c r="AH918" s="5"/>
      <c r="AI918" s="5"/>
      <c r="AJ918" s="5"/>
    </row>
    <row r="919">
      <c r="A919" s="5"/>
      <c r="B919" s="5"/>
      <c r="C919" s="5"/>
      <c r="D919" s="5"/>
      <c r="E919" s="11"/>
      <c r="F919" s="12"/>
      <c r="G919" s="5"/>
      <c r="H919" s="12"/>
      <c r="I919" s="12"/>
      <c r="J919" s="12"/>
      <c r="K919" s="12"/>
      <c r="L919" s="12"/>
      <c r="M919" s="12"/>
      <c r="N919" s="5"/>
      <c r="O919" s="5"/>
      <c r="P919" s="5"/>
      <c r="Q919" s="5"/>
      <c r="R919" s="5"/>
      <c r="S919" s="5"/>
      <c r="T919" s="5"/>
      <c r="U919" s="12"/>
      <c r="V919" s="5"/>
      <c r="W919" s="11"/>
      <c r="X919" s="11"/>
      <c r="Y919" s="13"/>
      <c r="Z919" s="5"/>
      <c r="AA919" s="14"/>
      <c r="AB919" s="5"/>
      <c r="AC919" s="5"/>
      <c r="AD919" s="5"/>
      <c r="AE919" s="5"/>
      <c r="AF919" s="5"/>
      <c r="AG919" s="5"/>
      <c r="AH919" s="5"/>
      <c r="AI919" s="5"/>
      <c r="AJ919" s="5"/>
    </row>
    <row r="920">
      <c r="A920" s="5"/>
      <c r="B920" s="5"/>
      <c r="C920" s="5"/>
      <c r="D920" s="5"/>
      <c r="E920" s="11"/>
      <c r="F920" s="12"/>
      <c r="G920" s="5"/>
      <c r="H920" s="12"/>
      <c r="I920" s="12"/>
      <c r="J920" s="12"/>
      <c r="K920" s="12"/>
      <c r="L920" s="12"/>
      <c r="M920" s="12"/>
      <c r="N920" s="5"/>
      <c r="O920" s="5"/>
      <c r="P920" s="5"/>
      <c r="Q920" s="5"/>
      <c r="R920" s="5"/>
      <c r="S920" s="5"/>
      <c r="T920" s="5"/>
      <c r="U920" s="12"/>
      <c r="V920" s="5"/>
      <c r="W920" s="11"/>
      <c r="X920" s="11"/>
      <c r="Y920" s="13"/>
      <c r="Z920" s="5"/>
      <c r="AA920" s="14"/>
      <c r="AB920" s="5"/>
      <c r="AC920" s="5"/>
      <c r="AD920" s="5"/>
      <c r="AE920" s="5"/>
      <c r="AF920" s="5"/>
      <c r="AG920" s="5"/>
      <c r="AH920" s="5"/>
      <c r="AI920" s="5"/>
      <c r="AJ920" s="5"/>
    </row>
    <row r="921">
      <c r="A921" s="5"/>
      <c r="B921" s="5"/>
      <c r="C921" s="5"/>
      <c r="D921" s="5"/>
      <c r="E921" s="11"/>
      <c r="F921" s="12"/>
      <c r="G921" s="5"/>
      <c r="H921" s="12"/>
      <c r="I921" s="12"/>
      <c r="J921" s="12"/>
      <c r="K921" s="12"/>
      <c r="L921" s="12"/>
      <c r="M921" s="12"/>
      <c r="N921" s="5"/>
      <c r="O921" s="5"/>
      <c r="P921" s="5"/>
      <c r="Q921" s="5"/>
      <c r="R921" s="5"/>
      <c r="S921" s="5"/>
      <c r="T921" s="5"/>
      <c r="U921" s="12"/>
      <c r="V921" s="5"/>
      <c r="W921" s="11"/>
      <c r="X921" s="11"/>
      <c r="Y921" s="13"/>
      <c r="Z921" s="5"/>
      <c r="AA921" s="14"/>
      <c r="AB921" s="5"/>
      <c r="AC921" s="5"/>
      <c r="AD921" s="5"/>
      <c r="AE921" s="5"/>
      <c r="AF921" s="5"/>
      <c r="AG921" s="5"/>
      <c r="AH921" s="5"/>
      <c r="AI921" s="5"/>
      <c r="AJ921" s="5"/>
    </row>
    <row r="922">
      <c r="A922" s="5"/>
      <c r="B922" s="5"/>
      <c r="C922" s="5"/>
      <c r="D922" s="5"/>
      <c r="E922" s="11"/>
      <c r="F922" s="12"/>
      <c r="G922" s="5"/>
      <c r="H922" s="12"/>
      <c r="I922" s="12"/>
      <c r="J922" s="12"/>
      <c r="K922" s="12"/>
      <c r="L922" s="12"/>
      <c r="M922" s="12"/>
      <c r="N922" s="5"/>
      <c r="O922" s="5"/>
      <c r="P922" s="5"/>
      <c r="Q922" s="5"/>
      <c r="R922" s="5"/>
      <c r="S922" s="5"/>
      <c r="T922" s="5"/>
      <c r="U922" s="12"/>
      <c r="V922" s="5"/>
      <c r="W922" s="11"/>
      <c r="X922" s="11"/>
      <c r="Y922" s="13"/>
      <c r="Z922" s="5"/>
      <c r="AA922" s="14"/>
      <c r="AB922" s="5"/>
      <c r="AC922" s="5"/>
      <c r="AD922" s="5"/>
      <c r="AE922" s="5"/>
      <c r="AF922" s="5"/>
      <c r="AG922" s="5"/>
      <c r="AH922" s="5"/>
      <c r="AI922" s="5"/>
      <c r="AJ922" s="5"/>
    </row>
    <row r="923">
      <c r="A923" s="5"/>
      <c r="B923" s="5"/>
      <c r="C923" s="5"/>
      <c r="D923" s="5"/>
      <c r="E923" s="11"/>
      <c r="F923" s="12"/>
      <c r="G923" s="5"/>
      <c r="H923" s="12"/>
      <c r="I923" s="12"/>
      <c r="J923" s="12"/>
      <c r="K923" s="12"/>
      <c r="L923" s="12"/>
      <c r="M923" s="12"/>
      <c r="N923" s="5"/>
      <c r="O923" s="5"/>
      <c r="P923" s="5"/>
      <c r="Q923" s="5"/>
      <c r="R923" s="5"/>
      <c r="S923" s="5"/>
      <c r="T923" s="5"/>
      <c r="U923" s="12"/>
      <c r="V923" s="5"/>
      <c r="W923" s="11"/>
      <c r="X923" s="11"/>
      <c r="Y923" s="13"/>
      <c r="Z923" s="5"/>
      <c r="AA923" s="14"/>
      <c r="AB923" s="5"/>
      <c r="AC923" s="5"/>
      <c r="AD923" s="5"/>
      <c r="AE923" s="5"/>
      <c r="AF923" s="5"/>
      <c r="AG923" s="5"/>
      <c r="AH923" s="5"/>
      <c r="AI923" s="5"/>
      <c r="AJ923" s="5"/>
    </row>
    <row r="924">
      <c r="A924" s="5"/>
      <c r="B924" s="5"/>
      <c r="C924" s="5"/>
      <c r="D924" s="5"/>
      <c r="E924" s="11"/>
      <c r="F924" s="12"/>
      <c r="G924" s="5"/>
      <c r="H924" s="12"/>
      <c r="I924" s="12"/>
      <c r="J924" s="12"/>
      <c r="K924" s="12"/>
      <c r="L924" s="12"/>
      <c r="M924" s="12"/>
      <c r="N924" s="5"/>
      <c r="O924" s="5"/>
      <c r="P924" s="5"/>
      <c r="Q924" s="5"/>
      <c r="R924" s="5"/>
      <c r="S924" s="5"/>
      <c r="T924" s="5"/>
      <c r="U924" s="12"/>
      <c r="V924" s="5"/>
      <c r="W924" s="11"/>
      <c r="X924" s="11"/>
      <c r="Y924" s="13"/>
      <c r="Z924" s="5"/>
      <c r="AA924" s="14"/>
      <c r="AB924" s="5"/>
      <c r="AC924" s="5"/>
      <c r="AD924" s="5"/>
      <c r="AE924" s="5"/>
      <c r="AF924" s="5"/>
      <c r="AG924" s="5"/>
      <c r="AH924" s="5"/>
      <c r="AI924" s="5"/>
      <c r="AJ924" s="5"/>
    </row>
    <row r="925">
      <c r="A925" s="5"/>
      <c r="B925" s="5"/>
      <c r="C925" s="5"/>
      <c r="D925" s="5"/>
      <c r="E925" s="11"/>
      <c r="F925" s="12"/>
      <c r="G925" s="5"/>
      <c r="H925" s="12"/>
      <c r="I925" s="12"/>
      <c r="J925" s="12"/>
      <c r="K925" s="12"/>
      <c r="L925" s="12"/>
      <c r="M925" s="12"/>
      <c r="N925" s="5"/>
      <c r="O925" s="5"/>
      <c r="P925" s="5"/>
      <c r="Q925" s="5"/>
      <c r="R925" s="5"/>
      <c r="S925" s="5"/>
      <c r="T925" s="5"/>
      <c r="U925" s="12"/>
      <c r="V925" s="5"/>
      <c r="W925" s="11"/>
      <c r="X925" s="11"/>
      <c r="Y925" s="13"/>
      <c r="Z925" s="5"/>
      <c r="AA925" s="14"/>
      <c r="AB925" s="5"/>
      <c r="AC925" s="5"/>
      <c r="AD925" s="5"/>
      <c r="AE925" s="5"/>
      <c r="AF925" s="5"/>
      <c r="AG925" s="5"/>
      <c r="AH925" s="5"/>
      <c r="AI925" s="5"/>
      <c r="AJ925" s="5"/>
    </row>
    <row r="926">
      <c r="A926" s="5"/>
      <c r="B926" s="5"/>
      <c r="C926" s="5"/>
      <c r="D926" s="5"/>
      <c r="E926" s="11"/>
      <c r="F926" s="12"/>
      <c r="G926" s="5"/>
      <c r="H926" s="12"/>
      <c r="I926" s="12"/>
      <c r="J926" s="12"/>
      <c r="K926" s="12"/>
      <c r="L926" s="12"/>
      <c r="M926" s="12"/>
      <c r="N926" s="5"/>
      <c r="O926" s="5"/>
      <c r="P926" s="5"/>
      <c r="Q926" s="5"/>
      <c r="R926" s="5"/>
      <c r="S926" s="5"/>
      <c r="T926" s="5"/>
      <c r="U926" s="12"/>
      <c r="V926" s="5"/>
      <c r="W926" s="11"/>
      <c r="X926" s="11"/>
      <c r="Y926" s="13"/>
      <c r="Z926" s="5"/>
      <c r="AA926" s="14"/>
      <c r="AB926" s="5"/>
      <c r="AC926" s="5"/>
      <c r="AD926" s="5"/>
      <c r="AE926" s="5"/>
      <c r="AF926" s="5"/>
      <c r="AG926" s="5"/>
      <c r="AH926" s="5"/>
      <c r="AI926" s="5"/>
      <c r="AJ926" s="5"/>
    </row>
    <row r="927">
      <c r="A927" s="5"/>
      <c r="B927" s="5"/>
      <c r="C927" s="5"/>
      <c r="D927" s="5"/>
      <c r="E927" s="11"/>
      <c r="F927" s="12"/>
      <c r="G927" s="5"/>
      <c r="H927" s="12"/>
      <c r="I927" s="12"/>
      <c r="J927" s="12"/>
      <c r="K927" s="12"/>
      <c r="L927" s="12"/>
      <c r="M927" s="12"/>
      <c r="N927" s="5"/>
      <c r="O927" s="5"/>
      <c r="P927" s="5"/>
      <c r="Q927" s="5"/>
      <c r="R927" s="5"/>
      <c r="S927" s="5"/>
      <c r="T927" s="5"/>
      <c r="U927" s="12"/>
      <c r="V927" s="5"/>
      <c r="W927" s="11"/>
      <c r="X927" s="11"/>
      <c r="Y927" s="13"/>
      <c r="Z927" s="5"/>
      <c r="AA927" s="14"/>
      <c r="AB927" s="5"/>
      <c r="AC927" s="5"/>
      <c r="AD927" s="5"/>
      <c r="AE927" s="5"/>
      <c r="AF927" s="5"/>
      <c r="AG927" s="5"/>
      <c r="AH927" s="5"/>
      <c r="AI927" s="5"/>
      <c r="AJ927" s="5"/>
    </row>
    <row r="928">
      <c r="A928" s="5"/>
      <c r="B928" s="5"/>
      <c r="C928" s="5"/>
      <c r="D928" s="5"/>
      <c r="E928" s="11"/>
      <c r="F928" s="12"/>
      <c r="G928" s="5"/>
      <c r="H928" s="12"/>
      <c r="I928" s="12"/>
      <c r="J928" s="12"/>
      <c r="K928" s="12"/>
      <c r="L928" s="12"/>
      <c r="M928" s="12"/>
      <c r="N928" s="5"/>
      <c r="O928" s="5"/>
      <c r="P928" s="5"/>
      <c r="Q928" s="5"/>
      <c r="R928" s="5"/>
      <c r="S928" s="5"/>
      <c r="T928" s="5"/>
      <c r="U928" s="12"/>
      <c r="V928" s="5"/>
      <c r="W928" s="11"/>
      <c r="X928" s="11"/>
      <c r="Y928" s="13"/>
      <c r="Z928" s="5"/>
      <c r="AA928" s="14"/>
      <c r="AB928" s="5"/>
      <c r="AC928" s="5"/>
      <c r="AD928" s="5"/>
      <c r="AE928" s="5"/>
      <c r="AF928" s="5"/>
      <c r="AG928" s="5"/>
      <c r="AH928" s="5"/>
      <c r="AI928" s="5"/>
      <c r="AJ928" s="5"/>
    </row>
    <row r="929">
      <c r="A929" s="5"/>
      <c r="B929" s="5"/>
      <c r="C929" s="5"/>
      <c r="D929" s="5"/>
      <c r="E929" s="11"/>
      <c r="F929" s="12"/>
      <c r="G929" s="5"/>
      <c r="H929" s="12"/>
      <c r="I929" s="12"/>
      <c r="J929" s="12"/>
      <c r="K929" s="12"/>
      <c r="L929" s="12"/>
      <c r="M929" s="12"/>
      <c r="N929" s="5"/>
      <c r="O929" s="5"/>
      <c r="P929" s="5"/>
      <c r="Q929" s="5"/>
      <c r="R929" s="5"/>
      <c r="S929" s="5"/>
      <c r="T929" s="5"/>
      <c r="U929" s="12"/>
      <c r="V929" s="5"/>
      <c r="W929" s="11"/>
      <c r="X929" s="11"/>
      <c r="Y929" s="13"/>
      <c r="Z929" s="5"/>
      <c r="AA929" s="14"/>
      <c r="AB929" s="5"/>
      <c r="AC929" s="5"/>
      <c r="AD929" s="5"/>
      <c r="AE929" s="5"/>
      <c r="AF929" s="5"/>
      <c r="AG929" s="5"/>
      <c r="AH929" s="5"/>
      <c r="AI929" s="5"/>
      <c r="AJ929" s="5"/>
    </row>
    <row r="930">
      <c r="A930" s="5"/>
      <c r="B930" s="5"/>
      <c r="C930" s="5"/>
      <c r="D930" s="5"/>
      <c r="E930" s="11"/>
      <c r="F930" s="12"/>
      <c r="G930" s="5"/>
      <c r="H930" s="12"/>
      <c r="I930" s="12"/>
      <c r="J930" s="12"/>
      <c r="K930" s="12"/>
      <c r="L930" s="12"/>
      <c r="M930" s="12"/>
      <c r="N930" s="5"/>
      <c r="O930" s="5"/>
      <c r="P930" s="5"/>
      <c r="Q930" s="5"/>
      <c r="R930" s="5"/>
      <c r="S930" s="5"/>
      <c r="T930" s="5"/>
      <c r="U930" s="12"/>
      <c r="V930" s="5"/>
      <c r="W930" s="11"/>
      <c r="X930" s="11"/>
      <c r="Y930" s="13"/>
      <c r="Z930" s="5"/>
      <c r="AA930" s="14"/>
      <c r="AB930" s="5"/>
      <c r="AC930" s="5"/>
      <c r="AD930" s="5"/>
      <c r="AE930" s="5"/>
      <c r="AF930" s="5"/>
      <c r="AG930" s="5"/>
      <c r="AH930" s="5"/>
      <c r="AI930" s="5"/>
      <c r="AJ930" s="5"/>
    </row>
    <row r="931">
      <c r="A931" s="5"/>
      <c r="B931" s="5"/>
      <c r="C931" s="5"/>
      <c r="D931" s="5"/>
      <c r="E931" s="11"/>
      <c r="F931" s="12"/>
      <c r="G931" s="5"/>
      <c r="H931" s="12"/>
      <c r="I931" s="12"/>
      <c r="J931" s="12"/>
      <c r="K931" s="12"/>
      <c r="L931" s="12"/>
      <c r="M931" s="12"/>
      <c r="N931" s="5"/>
      <c r="O931" s="5"/>
      <c r="P931" s="5"/>
      <c r="Q931" s="5"/>
      <c r="R931" s="5"/>
      <c r="S931" s="5"/>
      <c r="T931" s="5"/>
      <c r="U931" s="12"/>
      <c r="V931" s="5"/>
      <c r="W931" s="11"/>
      <c r="X931" s="11"/>
      <c r="Y931" s="13"/>
      <c r="Z931" s="5"/>
      <c r="AA931" s="14"/>
      <c r="AB931" s="5"/>
      <c r="AC931" s="5"/>
      <c r="AD931" s="5"/>
      <c r="AE931" s="5"/>
      <c r="AF931" s="5"/>
      <c r="AG931" s="5"/>
      <c r="AH931" s="5"/>
      <c r="AI931" s="5"/>
      <c r="AJ931" s="5"/>
    </row>
    <row r="932">
      <c r="A932" s="5"/>
      <c r="B932" s="5"/>
      <c r="C932" s="5"/>
      <c r="D932" s="5"/>
      <c r="E932" s="11"/>
      <c r="F932" s="12"/>
      <c r="G932" s="5"/>
      <c r="H932" s="12"/>
      <c r="I932" s="12"/>
      <c r="J932" s="12"/>
      <c r="K932" s="12"/>
      <c r="L932" s="12"/>
      <c r="M932" s="12"/>
      <c r="N932" s="5"/>
      <c r="O932" s="5"/>
      <c r="P932" s="5"/>
      <c r="Q932" s="5"/>
      <c r="R932" s="5"/>
      <c r="S932" s="5"/>
      <c r="T932" s="5"/>
      <c r="U932" s="12"/>
      <c r="V932" s="5"/>
      <c r="W932" s="11"/>
      <c r="X932" s="11"/>
      <c r="Y932" s="13"/>
      <c r="Z932" s="5"/>
      <c r="AA932" s="14"/>
      <c r="AB932" s="5"/>
      <c r="AC932" s="5"/>
      <c r="AD932" s="5"/>
      <c r="AE932" s="5"/>
      <c r="AF932" s="5"/>
      <c r="AG932" s="5"/>
      <c r="AH932" s="5"/>
      <c r="AI932" s="5"/>
      <c r="AJ932" s="5"/>
    </row>
    <row r="933">
      <c r="A933" s="5"/>
      <c r="B933" s="5"/>
      <c r="C933" s="5"/>
      <c r="D933" s="5"/>
      <c r="E933" s="11"/>
      <c r="F933" s="12"/>
      <c r="G933" s="5"/>
      <c r="H933" s="12"/>
      <c r="I933" s="12"/>
      <c r="J933" s="12"/>
      <c r="K933" s="12"/>
      <c r="L933" s="12"/>
      <c r="M933" s="12"/>
      <c r="N933" s="5"/>
      <c r="O933" s="5"/>
      <c r="P933" s="5"/>
      <c r="Q933" s="5"/>
      <c r="R933" s="5"/>
      <c r="S933" s="5"/>
      <c r="T933" s="5"/>
      <c r="U933" s="12"/>
      <c r="V933" s="5"/>
      <c r="W933" s="11"/>
      <c r="X933" s="11"/>
      <c r="Y933" s="13"/>
      <c r="Z933" s="5"/>
      <c r="AA933" s="14"/>
      <c r="AB933" s="5"/>
      <c r="AC933" s="5"/>
      <c r="AD933" s="5"/>
      <c r="AE933" s="5"/>
      <c r="AF933" s="5"/>
      <c r="AG933" s="5"/>
      <c r="AH933" s="5"/>
      <c r="AI933" s="5"/>
      <c r="AJ933" s="5"/>
    </row>
    <row r="934">
      <c r="A934" s="5"/>
      <c r="B934" s="5"/>
      <c r="C934" s="5"/>
      <c r="D934" s="5"/>
      <c r="E934" s="11"/>
      <c r="F934" s="12"/>
      <c r="G934" s="5"/>
      <c r="H934" s="12"/>
      <c r="I934" s="12"/>
      <c r="J934" s="12"/>
      <c r="K934" s="12"/>
      <c r="L934" s="12"/>
      <c r="M934" s="12"/>
      <c r="N934" s="5"/>
      <c r="O934" s="5"/>
      <c r="P934" s="5"/>
      <c r="Q934" s="5"/>
      <c r="R934" s="5"/>
      <c r="S934" s="5"/>
      <c r="T934" s="5"/>
      <c r="U934" s="12"/>
      <c r="V934" s="5"/>
      <c r="W934" s="11"/>
      <c r="X934" s="11"/>
      <c r="Y934" s="13"/>
      <c r="Z934" s="5"/>
      <c r="AA934" s="14"/>
      <c r="AB934" s="5"/>
      <c r="AC934" s="5"/>
      <c r="AD934" s="5"/>
      <c r="AE934" s="5"/>
      <c r="AF934" s="5"/>
      <c r="AG934" s="5"/>
      <c r="AH934" s="5"/>
      <c r="AI934" s="5"/>
      <c r="AJ934" s="5"/>
    </row>
    <row r="935">
      <c r="A935" s="5"/>
      <c r="B935" s="5"/>
      <c r="C935" s="5"/>
      <c r="D935" s="5"/>
      <c r="E935" s="11"/>
      <c r="F935" s="12"/>
      <c r="G935" s="5"/>
      <c r="H935" s="12"/>
      <c r="I935" s="12"/>
      <c r="J935" s="12"/>
      <c r="K935" s="12"/>
      <c r="L935" s="12"/>
      <c r="M935" s="12"/>
      <c r="N935" s="5"/>
      <c r="O935" s="5"/>
      <c r="P935" s="5"/>
      <c r="Q935" s="5"/>
      <c r="R935" s="5"/>
      <c r="S935" s="5"/>
      <c r="T935" s="5"/>
      <c r="U935" s="12"/>
      <c r="V935" s="5"/>
      <c r="W935" s="11"/>
      <c r="X935" s="11"/>
      <c r="Y935" s="13"/>
      <c r="Z935" s="5"/>
      <c r="AA935" s="14"/>
      <c r="AB935" s="5"/>
      <c r="AC935" s="5"/>
      <c r="AD935" s="5"/>
      <c r="AE935" s="5"/>
      <c r="AF935" s="5"/>
      <c r="AG935" s="5"/>
      <c r="AH935" s="5"/>
      <c r="AI935" s="5"/>
      <c r="AJ935" s="5"/>
    </row>
    <row r="936">
      <c r="A936" s="5"/>
      <c r="B936" s="5"/>
      <c r="C936" s="5"/>
      <c r="D936" s="5"/>
      <c r="E936" s="11"/>
      <c r="F936" s="12"/>
      <c r="G936" s="5"/>
      <c r="H936" s="12"/>
      <c r="I936" s="12"/>
      <c r="J936" s="12"/>
      <c r="K936" s="12"/>
      <c r="L936" s="12"/>
      <c r="M936" s="12"/>
      <c r="N936" s="5"/>
      <c r="O936" s="5"/>
      <c r="P936" s="5"/>
      <c r="Q936" s="5"/>
      <c r="R936" s="5"/>
      <c r="S936" s="5"/>
      <c r="T936" s="5"/>
      <c r="U936" s="12"/>
      <c r="V936" s="5"/>
      <c r="W936" s="11"/>
      <c r="X936" s="11"/>
      <c r="Y936" s="13"/>
      <c r="Z936" s="5"/>
      <c r="AA936" s="14"/>
      <c r="AB936" s="5"/>
      <c r="AC936" s="5"/>
      <c r="AD936" s="5"/>
      <c r="AE936" s="5"/>
      <c r="AF936" s="5"/>
      <c r="AG936" s="5"/>
      <c r="AH936" s="5"/>
      <c r="AI936" s="5"/>
      <c r="AJ936" s="5"/>
    </row>
    <row r="937">
      <c r="A937" s="5"/>
      <c r="B937" s="5"/>
      <c r="C937" s="5"/>
      <c r="D937" s="5"/>
      <c r="E937" s="11"/>
      <c r="F937" s="12"/>
      <c r="G937" s="5"/>
      <c r="H937" s="12"/>
      <c r="I937" s="12"/>
      <c r="J937" s="12"/>
      <c r="K937" s="12"/>
      <c r="L937" s="12"/>
      <c r="M937" s="12"/>
      <c r="N937" s="5"/>
      <c r="O937" s="5"/>
      <c r="P937" s="5"/>
      <c r="Q937" s="5"/>
      <c r="R937" s="5"/>
      <c r="S937" s="5"/>
      <c r="T937" s="5"/>
      <c r="U937" s="12"/>
      <c r="V937" s="5"/>
      <c r="W937" s="11"/>
      <c r="X937" s="11"/>
      <c r="Y937" s="13"/>
      <c r="Z937" s="5"/>
      <c r="AA937" s="14"/>
      <c r="AB937" s="5"/>
      <c r="AC937" s="5"/>
      <c r="AD937" s="5"/>
      <c r="AE937" s="5"/>
      <c r="AF937" s="5"/>
      <c r="AG937" s="5"/>
      <c r="AH937" s="5"/>
      <c r="AI937" s="5"/>
      <c r="AJ937" s="5"/>
    </row>
    <row r="938">
      <c r="A938" s="5"/>
      <c r="B938" s="5"/>
      <c r="C938" s="5"/>
      <c r="D938" s="5"/>
      <c r="E938" s="11"/>
      <c r="F938" s="12"/>
      <c r="G938" s="5"/>
      <c r="H938" s="12"/>
      <c r="I938" s="12"/>
      <c r="J938" s="12"/>
      <c r="K938" s="12"/>
      <c r="L938" s="12"/>
      <c r="M938" s="12"/>
      <c r="N938" s="5"/>
      <c r="O938" s="5"/>
      <c r="P938" s="5"/>
      <c r="Q938" s="5"/>
      <c r="R938" s="5"/>
      <c r="S938" s="5"/>
      <c r="T938" s="5"/>
      <c r="U938" s="12"/>
      <c r="V938" s="5"/>
      <c r="W938" s="11"/>
      <c r="X938" s="11"/>
      <c r="Y938" s="13"/>
      <c r="Z938" s="5"/>
      <c r="AA938" s="14"/>
      <c r="AB938" s="5"/>
      <c r="AC938" s="5"/>
      <c r="AD938" s="5"/>
      <c r="AE938" s="5"/>
      <c r="AF938" s="5"/>
      <c r="AG938" s="5"/>
      <c r="AH938" s="5"/>
      <c r="AI938" s="5"/>
      <c r="AJ938" s="5"/>
    </row>
    <row r="939">
      <c r="A939" s="5"/>
      <c r="B939" s="5"/>
      <c r="C939" s="5"/>
      <c r="D939" s="5"/>
      <c r="E939" s="11"/>
      <c r="F939" s="12"/>
      <c r="G939" s="5"/>
      <c r="H939" s="12"/>
      <c r="I939" s="12"/>
      <c r="J939" s="12"/>
      <c r="K939" s="12"/>
      <c r="L939" s="12"/>
      <c r="M939" s="12"/>
      <c r="N939" s="5"/>
      <c r="O939" s="5"/>
      <c r="P939" s="5"/>
      <c r="Q939" s="5"/>
      <c r="R939" s="5"/>
      <c r="S939" s="5"/>
      <c r="T939" s="5"/>
      <c r="U939" s="12"/>
      <c r="V939" s="5"/>
      <c r="W939" s="11"/>
      <c r="X939" s="11"/>
      <c r="Y939" s="13"/>
      <c r="Z939" s="5"/>
      <c r="AA939" s="14"/>
      <c r="AB939" s="5"/>
      <c r="AC939" s="5"/>
      <c r="AD939" s="5"/>
      <c r="AE939" s="5"/>
      <c r="AF939" s="5"/>
      <c r="AG939" s="5"/>
      <c r="AH939" s="5"/>
      <c r="AI939" s="5"/>
      <c r="AJ939" s="5"/>
    </row>
    <row r="940">
      <c r="A940" s="5"/>
      <c r="B940" s="5"/>
      <c r="C940" s="5"/>
      <c r="D940" s="5"/>
      <c r="E940" s="11"/>
      <c r="F940" s="12"/>
      <c r="G940" s="5"/>
      <c r="H940" s="12"/>
      <c r="I940" s="12"/>
      <c r="J940" s="12"/>
      <c r="K940" s="12"/>
      <c r="L940" s="12"/>
      <c r="M940" s="12"/>
      <c r="N940" s="5"/>
      <c r="O940" s="5"/>
      <c r="P940" s="5"/>
      <c r="Q940" s="5"/>
      <c r="R940" s="5"/>
      <c r="S940" s="5"/>
      <c r="T940" s="5"/>
      <c r="U940" s="12"/>
      <c r="V940" s="5"/>
      <c r="W940" s="11"/>
      <c r="X940" s="11"/>
      <c r="Y940" s="13"/>
      <c r="Z940" s="5"/>
      <c r="AA940" s="14"/>
      <c r="AB940" s="5"/>
      <c r="AC940" s="5"/>
      <c r="AD940" s="5"/>
      <c r="AE940" s="5"/>
      <c r="AF940" s="5"/>
      <c r="AG940" s="5"/>
      <c r="AH940" s="5"/>
      <c r="AI940" s="5"/>
      <c r="AJ940" s="5"/>
    </row>
    <row r="941">
      <c r="A941" s="5"/>
      <c r="B941" s="5"/>
      <c r="C941" s="5"/>
      <c r="D941" s="5"/>
      <c r="E941" s="11"/>
      <c r="F941" s="12"/>
      <c r="G941" s="5"/>
      <c r="H941" s="12"/>
      <c r="I941" s="12"/>
      <c r="J941" s="12"/>
      <c r="K941" s="12"/>
      <c r="L941" s="12"/>
      <c r="M941" s="12"/>
      <c r="N941" s="5"/>
      <c r="O941" s="5"/>
      <c r="P941" s="5"/>
      <c r="Q941" s="5"/>
      <c r="R941" s="5"/>
      <c r="S941" s="5"/>
      <c r="T941" s="5"/>
      <c r="U941" s="12"/>
      <c r="V941" s="5"/>
      <c r="W941" s="11"/>
      <c r="X941" s="11"/>
      <c r="Y941" s="13"/>
      <c r="Z941" s="5"/>
      <c r="AA941" s="14"/>
      <c r="AB941" s="5"/>
      <c r="AC941" s="5"/>
      <c r="AD941" s="5"/>
      <c r="AE941" s="5"/>
      <c r="AF941" s="5"/>
      <c r="AG941" s="5"/>
      <c r="AH941" s="5"/>
      <c r="AI941" s="5"/>
      <c r="AJ941" s="5"/>
    </row>
    <row r="942">
      <c r="A942" s="5"/>
      <c r="B942" s="5"/>
      <c r="C942" s="5"/>
      <c r="D942" s="5"/>
      <c r="E942" s="11"/>
      <c r="F942" s="12"/>
      <c r="G942" s="5"/>
      <c r="H942" s="12"/>
      <c r="I942" s="12"/>
      <c r="J942" s="12"/>
      <c r="K942" s="12"/>
      <c r="L942" s="12"/>
      <c r="M942" s="12"/>
      <c r="N942" s="5"/>
      <c r="O942" s="5"/>
      <c r="P942" s="5"/>
      <c r="Q942" s="5"/>
      <c r="R942" s="5"/>
      <c r="S942" s="5"/>
      <c r="T942" s="5"/>
      <c r="U942" s="12"/>
      <c r="V942" s="5"/>
      <c r="W942" s="11"/>
      <c r="X942" s="11"/>
      <c r="Y942" s="13"/>
      <c r="Z942" s="5"/>
      <c r="AA942" s="14"/>
      <c r="AB942" s="5"/>
      <c r="AC942" s="5"/>
      <c r="AD942" s="5"/>
      <c r="AE942" s="5"/>
      <c r="AF942" s="5"/>
      <c r="AG942" s="5"/>
      <c r="AH942" s="5"/>
      <c r="AI942" s="5"/>
      <c r="AJ942" s="5"/>
    </row>
    <row r="943">
      <c r="A943" s="5"/>
      <c r="B943" s="5"/>
      <c r="C943" s="5"/>
      <c r="D943" s="5"/>
      <c r="E943" s="11"/>
      <c r="F943" s="12"/>
      <c r="G943" s="5"/>
      <c r="H943" s="12"/>
      <c r="I943" s="12"/>
      <c r="J943" s="12"/>
      <c r="K943" s="12"/>
      <c r="L943" s="12"/>
      <c r="M943" s="12"/>
      <c r="N943" s="5"/>
      <c r="O943" s="5"/>
      <c r="P943" s="5"/>
      <c r="Q943" s="5"/>
      <c r="R943" s="5"/>
      <c r="S943" s="5"/>
      <c r="T943" s="5"/>
      <c r="U943" s="12"/>
      <c r="V943" s="5"/>
      <c r="W943" s="11"/>
      <c r="X943" s="11"/>
      <c r="Y943" s="13"/>
      <c r="Z943" s="5"/>
      <c r="AA943" s="14"/>
      <c r="AB943" s="5"/>
      <c r="AC943" s="5"/>
      <c r="AD943" s="5"/>
      <c r="AE943" s="5"/>
      <c r="AF943" s="5"/>
      <c r="AG943" s="5"/>
      <c r="AH943" s="5"/>
      <c r="AI943" s="5"/>
      <c r="AJ943" s="5"/>
    </row>
    <row r="944">
      <c r="A944" s="5"/>
      <c r="B944" s="5"/>
      <c r="C944" s="5"/>
      <c r="D944" s="5"/>
      <c r="E944" s="11"/>
      <c r="F944" s="12"/>
      <c r="G944" s="5"/>
      <c r="H944" s="12"/>
      <c r="I944" s="12"/>
      <c r="J944" s="12"/>
      <c r="K944" s="12"/>
      <c r="L944" s="12"/>
      <c r="M944" s="12"/>
      <c r="N944" s="5"/>
      <c r="O944" s="5"/>
      <c r="P944" s="5"/>
      <c r="Q944" s="5"/>
      <c r="R944" s="5"/>
      <c r="S944" s="5"/>
      <c r="T944" s="5"/>
      <c r="U944" s="12"/>
      <c r="V944" s="5"/>
      <c r="W944" s="11"/>
      <c r="X944" s="11"/>
      <c r="Y944" s="13"/>
      <c r="Z944" s="5"/>
      <c r="AA944" s="14"/>
      <c r="AB944" s="5"/>
      <c r="AC944" s="5"/>
      <c r="AD944" s="5"/>
      <c r="AE944" s="5"/>
      <c r="AF944" s="5"/>
      <c r="AG944" s="5"/>
      <c r="AH944" s="5"/>
      <c r="AI944" s="5"/>
      <c r="AJ944" s="5"/>
    </row>
    <row r="945">
      <c r="A945" s="5"/>
      <c r="B945" s="5"/>
      <c r="C945" s="5"/>
      <c r="D945" s="5"/>
      <c r="E945" s="11"/>
      <c r="F945" s="12"/>
      <c r="G945" s="5"/>
      <c r="H945" s="12"/>
      <c r="I945" s="12"/>
      <c r="J945" s="12"/>
      <c r="K945" s="12"/>
      <c r="L945" s="12"/>
      <c r="M945" s="12"/>
      <c r="N945" s="5"/>
      <c r="O945" s="5"/>
      <c r="P945" s="5"/>
      <c r="Q945" s="5"/>
      <c r="R945" s="5"/>
      <c r="S945" s="5"/>
      <c r="T945" s="5"/>
      <c r="U945" s="12"/>
      <c r="V945" s="5"/>
      <c r="W945" s="11"/>
      <c r="X945" s="11"/>
      <c r="Y945" s="13"/>
      <c r="Z945" s="5"/>
      <c r="AA945" s="14"/>
      <c r="AB945" s="5"/>
      <c r="AC945" s="5"/>
      <c r="AD945" s="5"/>
      <c r="AE945" s="5"/>
      <c r="AF945" s="5"/>
      <c r="AG945" s="5"/>
      <c r="AH945" s="5"/>
      <c r="AI945" s="5"/>
      <c r="AJ945" s="5"/>
    </row>
    <row r="946">
      <c r="A946" s="5"/>
      <c r="B946" s="5"/>
      <c r="C946" s="5"/>
      <c r="D946" s="5"/>
      <c r="E946" s="11"/>
      <c r="F946" s="12"/>
      <c r="G946" s="5"/>
      <c r="H946" s="12"/>
      <c r="I946" s="12"/>
      <c r="J946" s="12"/>
      <c r="K946" s="12"/>
      <c r="L946" s="12"/>
      <c r="M946" s="12"/>
      <c r="N946" s="5"/>
      <c r="O946" s="5"/>
      <c r="P946" s="5"/>
      <c r="Q946" s="5"/>
      <c r="R946" s="5"/>
      <c r="S946" s="5"/>
      <c r="T946" s="5"/>
      <c r="U946" s="12"/>
      <c r="V946" s="5"/>
      <c r="W946" s="11"/>
      <c r="X946" s="11"/>
      <c r="Y946" s="13"/>
      <c r="Z946" s="5"/>
      <c r="AA946" s="14"/>
      <c r="AB946" s="5"/>
      <c r="AC946" s="5"/>
      <c r="AD946" s="5"/>
      <c r="AE946" s="5"/>
      <c r="AF946" s="5"/>
      <c r="AG946" s="5"/>
      <c r="AH946" s="5"/>
      <c r="AI946" s="5"/>
      <c r="AJ946" s="5"/>
    </row>
    <row r="947">
      <c r="A947" s="5"/>
      <c r="B947" s="5"/>
      <c r="C947" s="5"/>
      <c r="D947" s="5"/>
      <c r="E947" s="11"/>
      <c r="F947" s="12"/>
      <c r="G947" s="5"/>
      <c r="H947" s="12"/>
      <c r="I947" s="12"/>
      <c r="J947" s="12"/>
      <c r="K947" s="12"/>
      <c r="L947" s="12"/>
      <c r="M947" s="12"/>
      <c r="N947" s="5"/>
      <c r="O947" s="5"/>
      <c r="P947" s="5"/>
      <c r="Q947" s="5"/>
      <c r="R947" s="5"/>
      <c r="S947" s="5"/>
      <c r="T947" s="5"/>
      <c r="U947" s="12"/>
      <c r="V947" s="5"/>
      <c r="W947" s="11"/>
      <c r="X947" s="11"/>
      <c r="Y947" s="13"/>
      <c r="Z947" s="5"/>
      <c r="AA947" s="14"/>
      <c r="AB947" s="5"/>
      <c r="AC947" s="5"/>
      <c r="AD947" s="5"/>
      <c r="AE947" s="5"/>
      <c r="AF947" s="5"/>
      <c r="AG947" s="5"/>
      <c r="AH947" s="5"/>
      <c r="AI947" s="5"/>
      <c r="AJ947" s="5"/>
    </row>
    <row r="948">
      <c r="A948" s="5"/>
      <c r="B948" s="5"/>
      <c r="C948" s="5"/>
      <c r="D948" s="5"/>
      <c r="E948" s="11"/>
      <c r="F948" s="12"/>
      <c r="G948" s="5"/>
      <c r="H948" s="12"/>
      <c r="I948" s="12"/>
      <c r="J948" s="12"/>
      <c r="K948" s="12"/>
      <c r="L948" s="12"/>
      <c r="M948" s="12"/>
      <c r="N948" s="5"/>
      <c r="O948" s="5"/>
      <c r="P948" s="5"/>
      <c r="Q948" s="5"/>
      <c r="R948" s="5"/>
      <c r="S948" s="5"/>
      <c r="T948" s="5"/>
      <c r="U948" s="12"/>
      <c r="V948" s="5"/>
      <c r="W948" s="11"/>
      <c r="X948" s="11"/>
      <c r="Y948" s="13"/>
      <c r="Z948" s="5"/>
      <c r="AA948" s="14"/>
      <c r="AB948" s="5"/>
      <c r="AC948" s="5"/>
      <c r="AD948" s="5"/>
      <c r="AE948" s="5"/>
      <c r="AF948" s="5"/>
      <c r="AG948" s="5"/>
      <c r="AH948" s="5"/>
      <c r="AI948" s="5"/>
      <c r="AJ948" s="5"/>
    </row>
    <row r="949">
      <c r="A949" s="5"/>
      <c r="B949" s="5"/>
      <c r="C949" s="5"/>
      <c r="D949" s="5"/>
      <c r="E949" s="11"/>
      <c r="F949" s="12"/>
      <c r="G949" s="5"/>
      <c r="H949" s="12"/>
      <c r="I949" s="12"/>
      <c r="J949" s="12"/>
      <c r="K949" s="12"/>
      <c r="L949" s="12"/>
      <c r="M949" s="12"/>
      <c r="N949" s="5"/>
      <c r="O949" s="5"/>
      <c r="P949" s="5"/>
      <c r="Q949" s="5"/>
      <c r="R949" s="5"/>
      <c r="S949" s="5"/>
      <c r="T949" s="5"/>
      <c r="U949" s="12"/>
      <c r="V949" s="5"/>
      <c r="W949" s="11"/>
      <c r="X949" s="11"/>
      <c r="Y949" s="13"/>
      <c r="Z949" s="5"/>
      <c r="AA949" s="14"/>
      <c r="AB949" s="5"/>
      <c r="AC949" s="5"/>
      <c r="AD949" s="5"/>
      <c r="AE949" s="5"/>
      <c r="AF949" s="5"/>
      <c r="AG949" s="5"/>
      <c r="AH949" s="5"/>
      <c r="AI949" s="5"/>
      <c r="AJ949" s="5"/>
    </row>
    <row r="950">
      <c r="A950" s="5"/>
      <c r="B950" s="5"/>
      <c r="C950" s="5"/>
      <c r="D950" s="5"/>
      <c r="E950" s="11"/>
      <c r="F950" s="12"/>
      <c r="G950" s="5"/>
      <c r="H950" s="12"/>
      <c r="I950" s="12"/>
      <c r="J950" s="12"/>
      <c r="K950" s="12"/>
      <c r="L950" s="12"/>
      <c r="M950" s="12"/>
      <c r="N950" s="5"/>
      <c r="O950" s="5"/>
      <c r="P950" s="5"/>
      <c r="Q950" s="5"/>
      <c r="R950" s="5"/>
      <c r="S950" s="5"/>
      <c r="T950" s="5"/>
      <c r="U950" s="12"/>
      <c r="V950" s="5"/>
      <c r="W950" s="11"/>
      <c r="X950" s="11"/>
      <c r="Y950" s="13"/>
      <c r="Z950" s="5"/>
      <c r="AA950" s="14"/>
      <c r="AB950" s="5"/>
      <c r="AC950" s="5"/>
      <c r="AD950" s="5"/>
      <c r="AE950" s="5"/>
      <c r="AF950" s="5"/>
      <c r="AG950" s="5"/>
      <c r="AH950" s="5"/>
      <c r="AI950" s="5"/>
      <c r="AJ950" s="5"/>
    </row>
    <row r="951">
      <c r="A951" s="5"/>
      <c r="B951" s="5"/>
      <c r="C951" s="5"/>
      <c r="D951" s="5"/>
      <c r="E951" s="11"/>
      <c r="F951" s="12"/>
      <c r="G951" s="5"/>
      <c r="H951" s="12"/>
      <c r="I951" s="12"/>
      <c r="J951" s="12"/>
      <c r="K951" s="12"/>
      <c r="L951" s="12"/>
      <c r="M951" s="12"/>
      <c r="N951" s="5"/>
      <c r="O951" s="5"/>
      <c r="P951" s="5"/>
      <c r="Q951" s="5"/>
      <c r="R951" s="5"/>
      <c r="S951" s="5"/>
      <c r="T951" s="5"/>
      <c r="U951" s="12"/>
      <c r="V951" s="5"/>
      <c r="W951" s="11"/>
      <c r="X951" s="11"/>
      <c r="Y951" s="13"/>
      <c r="Z951" s="5"/>
      <c r="AA951" s="14"/>
      <c r="AB951" s="5"/>
      <c r="AC951" s="5"/>
      <c r="AD951" s="5"/>
      <c r="AE951" s="5"/>
      <c r="AF951" s="5"/>
      <c r="AG951" s="5"/>
      <c r="AH951" s="5"/>
      <c r="AI951" s="5"/>
      <c r="AJ951" s="5"/>
    </row>
    <row r="952">
      <c r="A952" s="5"/>
      <c r="B952" s="5"/>
      <c r="C952" s="5"/>
      <c r="D952" s="5"/>
      <c r="E952" s="11"/>
      <c r="F952" s="12"/>
      <c r="G952" s="5"/>
      <c r="H952" s="12"/>
      <c r="I952" s="12"/>
      <c r="J952" s="12"/>
      <c r="K952" s="12"/>
      <c r="L952" s="12"/>
      <c r="M952" s="12"/>
      <c r="N952" s="5"/>
      <c r="O952" s="5"/>
      <c r="P952" s="5"/>
      <c r="Q952" s="5"/>
      <c r="R952" s="5"/>
      <c r="S952" s="5"/>
      <c r="T952" s="5"/>
      <c r="U952" s="12"/>
      <c r="V952" s="5"/>
      <c r="W952" s="11"/>
      <c r="X952" s="11"/>
      <c r="Y952" s="13"/>
      <c r="Z952" s="5"/>
      <c r="AA952" s="14"/>
      <c r="AB952" s="5"/>
      <c r="AC952" s="5"/>
      <c r="AD952" s="5"/>
      <c r="AE952" s="5"/>
      <c r="AF952" s="5"/>
      <c r="AG952" s="5"/>
      <c r="AH952" s="5"/>
      <c r="AI952" s="5"/>
      <c r="AJ952" s="5"/>
    </row>
    <row r="953">
      <c r="A953" s="5"/>
      <c r="B953" s="5"/>
      <c r="C953" s="5"/>
      <c r="D953" s="5"/>
      <c r="E953" s="11"/>
      <c r="F953" s="12"/>
      <c r="G953" s="5"/>
      <c r="H953" s="12"/>
      <c r="I953" s="12"/>
      <c r="J953" s="12"/>
      <c r="K953" s="12"/>
      <c r="L953" s="12"/>
      <c r="M953" s="12"/>
      <c r="N953" s="5"/>
      <c r="O953" s="5"/>
      <c r="P953" s="5"/>
      <c r="Q953" s="5"/>
      <c r="R953" s="5"/>
      <c r="S953" s="5"/>
      <c r="T953" s="5"/>
      <c r="U953" s="12"/>
      <c r="V953" s="5"/>
      <c r="W953" s="11"/>
      <c r="X953" s="11"/>
      <c r="Y953" s="13"/>
      <c r="Z953" s="5"/>
      <c r="AA953" s="14"/>
      <c r="AB953" s="5"/>
      <c r="AC953" s="5"/>
      <c r="AD953" s="5"/>
      <c r="AE953" s="5"/>
      <c r="AF953" s="5"/>
      <c r="AG953" s="5"/>
      <c r="AH953" s="5"/>
      <c r="AI953" s="5"/>
      <c r="AJ953" s="5"/>
    </row>
    <row r="954">
      <c r="A954" s="5"/>
      <c r="B954" s="5"/>
      <c r="C954" s="5"/>
      <c r="D954" s="5"/>
      <c r="E954" s="11"/>
      <c r="F954" s="12"/>
      <c r="G954" s="5"/>
      <c r="H954" s="12"/>
      <c r="I954" s="12"/>
      <c r="J954" s="12"/>
      <c r="K954" s="12"/>
      <c r="L954" s="12"/>
      <c r="M954" s="12"/>
      <c r="N954" s="5"/>
      <c r="O954" s="5"/>
      <c r="P954" s="5"/>
      <c r="Q954" s="5"/>
      <c r="R954" s="5"/>
      <c r="S954" s="5"/>
      <c r="T954" s="5"/>
      <c r="U954" s="12"/>
      <c r="V954" s="5"/>
      <c r="W954" s="11"/>
      <c r="X954" s="11"/>
      <c r="Y954" s="13"/>
      <c r="Z954" s="5"/>
      <c r="AA954" s="14"/>
      <c r="AB954" s="5"/>
      <c r="AC954" s="5"/>
      <c r="AD954" s="5"/>
      <c r="AE954" s="5"/>
      <c r="AF954" s="5"/>
      <c r="AG954" s="5"/>
      <c r="AH954" s="5"/>
      <c r="AI954" s="5"/>
      <c r="AJ954" s="5"/>
    </row>
    <row r="955">
      <c r="A955" s="5"/>
      <c r="B955" s="5"/>
      <c r="C955" s="5"/>
      <c r="D955" s="5"/>
      <c r="E955" s="11"/>
      <c r="F955" s="12"/>
      <c r="G955" s="5"/>
      <c r="H955" s="12"/>
      <c r="I955" s="12"/>
      <c r="J955" s="12"/>
      <c r="K955" s="12"/>
      <c r="L955" s="12"/>
      <c r="M955" s="12"/>
      <c r="N955" s="5"/>
      <c r="O955" s="5"/>
      <c r="P955" s="5"/>
      <c r="Q955" s="5"/>
      <c r="R955" s="5"/>
      <c r="S955" s="5"/>
      <c r="T955" s="5"/>
      <c r="U955" s="12"/>
      <c r="V955" s="5"/>
      <c r="W955" s="11"/>
      <c r="X955" s="11"/>
      <c r="Y955" s="13"/>
      <c r="Z955" s="5"/>
      <c r="AA955" s="14"/>
      <c r="AB955" s="5"/>
      <c r="AC955" s="5"/>
      <c r="AD955" s="5"/>
      <c r="AE955" s="5"/>
      <c r="AF955" s="5"/>
      <c r="AG955" s="5"/>
      <c r="AH955" s="5"/>
      <c r="AI955" s="5"/>
      <c r="AJ955" s="5"/>
    </row>
    <row r="956">
      <c r="A956" s="5"/>
      <c r="B956" s="5"/>
      <c r="C956" s="5"/>
      <c r="D956" s="5"/>
      <c r="E956" s="11"/>
      <c r="F956" s="12"/>
      <c r="G956" s="5"/>
      <c r="H956" s="12"/>
      <c r="I956" s="12"/>
      <c r="J956" s="12"/>
      <c r="K956" s="12"/>
      <c r="L956" s="12"/>
      <c r="M956" s="12"/>
      <c r="N956" s="5"/>
      <c r="O956" s="5"/>
      <c r="P956" s="5"/>
      <c r="Q956" s="5"/>
      <c r="R956" s="5"/>
      <c r="S956" s="5"/>
      <c r="T956" s="5"/>
      <c r="U956" s="12"/>
      <c r="V956" s="5"/>
      <c r="W956" s="11"/>
      <c r="X956" s="11"/>
      <c r="Y956" s="13"/>
      <c r="Z956" s="5"/>
      <c r="AA956" s="14"/>
      <c r="AB956" s="5"/>
      <c r="AC956" s="5"/>
      <c r="AD956" s="5"/>
      <c r="AE956" s="5"/>
      <c r="AF956" s="5"/>
      <c r="AG956" s="5"/>
      <c r="AH956" s="5"/>
      <c r="AI956" s="5"/>
      <c r="AJ956" s="5"/>
    </row>
    <row r="957">
      <c r="A957" s="5"/>
      <c r="B957" s="5"/>
      <c r="C957" s="5"/>
      <c r="D957" s="5"/>
      <c r="E957" s="11"/>
      <c r="F957" s="12"/>
      <c r="G957" s="5"/>
      <c r="H957" s="12"/>
      <c r="I957" s="12"/>
      <c r="J957" s="12"/>
      <c r="K957" s="12"/>
      <c r="L957" s="12"/>
      <c r="M957" s="12"/>
      <c r="N957" s="5"/>
      <c r="O957" s="5"/>
      <c r="P957" s="5"/>
      <c r="Q957" s="5"/>
      <c r="R957" s="5"/>
      <c r="S957" s="5"/>
      <c r="T957" s="5"/>
      <c r="U957" s="12"/>
      <c r="V957" s="5"/>
      <c r="W957" s="11"/>
      <c r="X957" s="11"/>
      <c r="Y957" s="13"/>
      <c r="Z957" s="5"/>
      <c r="AA957" s="14"/>
      <c r="AB957" s="5"/>
      <c r="AC957" s="5"/>
      <c r="AD957" s="5"/>
      <c r="AE957" s="5"/>
      <c r="AF957" s="5"/>
      <c r="AG957" s="5"/>
      <c r="AH957" s="5"/>
      <c r="AI957" s="5"/>
      <c r="AJ957" s="5"/>
    </row>
    <row r="958">
      <c r="A958" s="5"/>
      <c r="B958" s="5"/>
      <c r="C958" s="5"/>
      <c r="D958" s="5"/>
      <c r="E958" s="11"/>
      <c r="F958" s="12"/>
      <c r="G958" s="5"/>
      <c r="H958" s="12"/>
      <c r="I958" s="12"/>
      <c r="J958" s="12"/>
      <c r="K958" s="12"/>
      <c r="L958" s="12"/>
      <c r="M958" s="12"/>
      <c r="N958" s="5"/>
      <c r="O958" s="5"/>
      <c r="P958" s="5"/>
      <c r="Q958" s="5"/>
      <c r="R958" s="5"/>
      <c r="S958" s="5"/>
      <c r="T958" s="5"/>
      <c r="U958" s="12"/>
      <c r="V958" s="5"/>
      <c r="W958" s="11"/>
      <c r="X958" s="11"/>
      <c r="Y958" s="13"/>
      <c r="Z958" s="5"/>
      <c r="AA958" s="14"/>
      <c r="AB958" s="5"/>
      <c r="AC958" s="5"/>
      <c r="AD958" s="5"/>
      <c r="AE958" s="5"/>
      <c r="AF958" s="5"/>
      <c r="AG958" s="5"/>
      <c r="AH958" s="5"/>
      <c r="AI958" s="5"/>
      <c r="AJ958" s="5"/>
    </row>
    <row r="959">
      <c r="A959" s="5"/>
      <c r="B959" s="5"/>
      <c r="C959" s="5"/>
      <c r="D959" s="5"/>
      <c r="E959" s="11"/>
      <c r="F959" s="12"/>
      <c r="G959" s="5"/>
      <c r="H959" s="12"/>
      <c r="I959" s="12"/>
      <c r="J959" s="12"/>
      <c r="K959" s="12"/>
      <c r="L959" s="12"/>
      <c r="M959" s="12"/>
      <c r="N959" s="5"/>
      <c r="O959" s="5"/>
      <c r="P959" s="5"/>
      <c r="Q959" s="5"/>
      <c r="R959" s="5"/>
      <c r="S959" s="5"/>
      <c r="T959" s="5"/>
      <c r="U959" s="12"/>
      <c r="V959" s="5"/>
      <c r="W959" s="11"/>
      <c r="X959" s="11"/>
      <c r="Y959" s="13"/>
      <c r="Z959" s="5"/>
      <c r="AA959" s="14"/>
      <c r="AB959" s="5"/>
      <c r="AC959" s="5"/>
      <c r="AD959" s="5"/>
      <c r="AE959" s="5"/>
      <c r="AF959" s="5"/>
      <c r="AG959" s="5"/>
      <c r="AH959" s="5"/>
      <c r="AI959" s="5"/>
      <c r="AJ959" s="5"/>
    </row>
    <row r="960">
      <c r="A960" s="5"/>
      <c r="B960" s="5"/>
      <c r="C960" s="5"/>
      <c r="D960" s="5"/>
      <c r="E960" s="11"/>
      <c r="F960" s="12"/>
      <c r="G960" s="5"/>
      <c r="H960" s="12"/>
      <c r="I960" s="12"/>
      <c r="J960" s="12"/>
      <c r="K960" s="12"/>
      <c r="L960" s="12"/>
      <c r="M960" s="12"/>
      <c r="N960" s="5"/>
      <c r="O960" s="5"/>
      <c r="P960" s="5"/>
      <c r="Q960" s="5"/>
      <c r="R960" s="5"/>
      <c r="S960" s="5"/>
      <c r="T960" s="5"/>
      <c r="U960" s="12"/>
      <c r="V960" s="5"/>
      <c r="W960" s="11"/>
      <c r="X960" s="11"/>
      <c r="Y960" s="13"/>
      <c r="Z960" s="5"/>
      <c r="AA960" s="14"/>
      <c r="AB960" s="5"/>
      <c r="AC960" s="5"/>
      <c r="AD960" s="5"/>
      <c r="AE960" s="5"/>
      <c r="AF960" s="5"/>
      <c r="AG960" s="5"/>
      <c r="AH960" s="5"/>
      <c r="AI960" s="5"/>
      <c r="AJ960" s="5"/>
    </row>
    <row r="961">
      <c r="A961" s="5"/>
      <c r="B961" s="5"/>
      <c r="C961" s="5"/>
      <c r="D961" s="5"/>
      <c r="E961" s="11"/>
      <c r="F961" s="12"/>
      <c r="G961" s="5"/>
      <c r="H961" s="12"/>
      <c r="I961" s="12"/>
      <c r="J961" s="12"/>
      <c r="K961" s="12"/>
      <c r="L961" s="12"/>
      <c r="M961" s="12"/>
      <c r="N961" s="5"/>
      <c r="O961" s="5"/>
      <c r="P961" s="5"/>
      <c r="Q961" s="5"/>
      <c r="R961" s="5"/>
      <c r="S961" s="5"/>
      <c r="T961" s="5"/>
      <c r="U961" s="12"/>
      <c r="V961" s="5"/>
      <c r="W961" s="11"/>
      <c r="X961" s="11"/>
      <c r="Y961" s="13"/>
      <c r="Z961" s="5"/>
      <c r="AA961" s="14"/>
      <c r="AB961" s="5"/>
      <c r="AC961" s="5"/>
      <c r="AD961" s="5"/>
      <c r="AE961" s="5"/>
      <c r="AF961" s="5"/>
      <c r="AG961" s="5"/>
      <c r="AH961" s="5"/>
      <c r="AI961" s="5"/>
      <c r="AJ961" s="5"/>
    </row>
    <row r="962">
      <c r="A962" s="5"/>
      <c r="B962" s="5"/>
      <c r="C962" s="5"/>
      <c r="D962" s="5"/>
      <c r="E962" s="11"/>
      <c r="F962" s="12"/>
      <c r="G962" s="5"/>
      <c r="H962" s="12"/>
      <c r="I962" s="12"/>
      <c r="J962" s="12"/>
      <c r="K962" s="12"/>
      <c r="L962" s="12"/>
      <c r="M962" s="12"/>
      <c r="N962" s="5"/>
      <c r="O962" s="5"/>
      <c r="P962" s="5"/>
      <c r="Q962" s="5"/>
      <c r="R962" s="5"/>
      <c r="S962" s="5"/>
      <c r="T962" s="5"/>
      <c r="U962" s="12"/>
      <c r="V962" s="5"/>
      <c r="W962" s="11"/>
      <c r="X962" s="11"/>
      <c r="Y962" s="13"/>
      <c r="Z962" s="5"/>
      <c r="AA962" s="14"/>
      <c r="AB962" s="5"/>
      <c r="AC962" s="5"/>
      <c r="AD962" s="5"/>
      <c r="AE962" s="5"/>
      <c r="AF962" s="5"/>
      <c r="AG962" s="5"/>
      <c r="AH962" s="5"/>
      <c r="AI962" s="5"/>
      <c r="AJ962" s="5"/>
    </row>
    <row r="963">
      <c r="A963" s="5"/>
      <c r="B963" s="5"/>
      <c r="C963" s="5"/>
      <c r="D963" s="5"/>
      <c r="E963" s="11"/>
      <c r="F963" s="12"/>
      <c r="G963" s="5"/>
      <c r="H963" s="12"/>
      <c r="I963" s="12"/>
      <c r="J963" s="12"/>
      <c r="K963" s="12"/>
      <c r="L963" s="12"/>
      <c r="M963" s="12"/>
      <c r="N963" s="5"/>
      <c r="O963" s="5"/>
      <c r="P963" s="5"/>
      <c r="Q963" s="5"/>
      <c r="R963" s="5"/>
      <c r="S963" s="5"/>
      <c r="T963" s="5"/>
      <c r="U963" s="12"/>
      <c r="V963" s="5"/>
      <c r="W963" s="11"/>
      <c r="X963" s="11"/>
      <c r="Y963" s="13"/>
      <c r="Z963" s="5"/>
      <c r="AA963" s="14"/>
      <c r="AB963" s="5"/>
      <c r="AC963" s="5"/>
      <c r="AD963" s="5"/>
      <c r="AE963" s="5"/>
      <c r="AF963" s="5"/>
      <c r="AG963" s="5"/>
      <c r="AH963" s="5"/>
      <c r="AI963" s="5"/>
      <c r="AJ963" s="5"/>
    </row>
    <row r="964">
      <c r="A964" s="5"/>
      <c r="B964" s="5"/>
      <c r="C964" s="5"/>
      <c r="D964" s="5"/>
      <c r="E964" s="11"/>
      <c r="F964" s="12"/>
      <c r="G964" s="5"/>
      <c r="H964" s="12"/>
      <c r="I964" s="12"/>
      <c r="J964" s="12"/>
      <c r="K964" s="12"/>
      <c r="L964" s="12"/>
      <c r="M964" s="12"/>
      <c r="N964" s="5"/>
      <c r="O964" s="5"/>
      <c r="P964" s="5"/>
      <c r="Q964" s="5"/>
      <c r="R964" s="5"/>
      <c r="S964" s="5"/>
      <c r="T964" s="5"/>
      <c r="U964" s="12"/>
      <c r="V964" s="5"/>
      <c r="W964" s="11"/>
      <c r="X964" s="11"/>
      <c r="Y964" s="13"/>
      <c r="Z964" s="5"/>
      <c r="AA964" s="14"/>
      <c r="AB964" s="5"/>
      <c r="AC964" s="5"/>
      <c r="AD964" s="5"/>
      <c r="AE964" s="5"/>
      <c r="AF964" s="5"/>
      <c r="AG964" s="5"/>
      <c r="AH964" s="5"/>
      <c r="AI964" s="5"/>
      <c r="AJ964" s="5"/>
    </row>
    <row r="965">
      <c r="A965" s="5"/>
      <c r="B965" s="5"/>
      <c r="C965" s="5"/>
      <c r="D965" s="5"/>
      <c r="E965" s="11"/>
      <c r="F965" s="12"/>
      <c r="G965" s="5"/>
      <c r="H965" s="12"/>
      <c r="I965" s="12"/>
      <c r="J965" s="12"/>
      <c r="K965" s="12"/>
      <c r="L965" s="12"/>
      <c r="M965" s="12"/>
      <c r="N965" s="5"/>
      <c r="O965" s="5"/>
      <c r="P965" s="5"/>
      <c r="Q965" s="5"/>
      <c r="R965" s="5"/>
      <c r="S965" s="5"/>
      <c r="T965" s="5"/>
      <c r="U965" s="12"/>
      <c r="V965" s="5"/>
      <c r="W965" s="11"/>
      <c r="X965" s="11"/>
      <c r="Y965" s="13"/>
      <c r="Z965" s="5"/>
      <c r="AA965" s="14"/>
      <c r="AB965" s="5"/>
      <c r="AC965" s="5"/>
      <c r="AD965" s="5"/>
      <c r="AE965" s="5"/>
      <c r="AF965" s="5"/>
      <c r="AG965" s="5"/>
      <c r="AH965" s="5"/>
      <c r="AI965" s="5"/>
      <c r="AJ965" s="5"/>
    </row>
    <row r="966">
      <c r="A966" s="5"/>
      <c r="B966" s="5"/>
      <c r="C966" s="5"/>
      <c r="D966" s="5"/>
      <c r="E966" s="11"/>
      <c r="F966" s="12"/>
      <c r="G966" s="5"/>
      <c r="H966" s="12"/>
      <c r="I966" s="12"/>
      <c r="J966" s="12"/>
      <c r="K966" s="12"/>
      <c r="L966" s="12"/>
      <c r="M966" s="12"/>
      <c r="N966" s="5"/>
      <c r="O966" s="5"/>
      <c r="P966" s="5"/>
      <c r="Q966" s="5"/>
      <c r="R966" s="5"/>
      <c r="S966" s="5"/>
      <c r="T966" s="5"/>
      <c r="U966" s="12"/>
      <c r="V966" s="5"/>
      <c r="W966" s="11"/>
      <c r="X966" s="11"/>
      <c r="Y966" s="13"/>
      <c r="Z966" s="5"/>
      <c r="AA966" s="14"/>
      <c r="AB966" s="5"/>
      <c r="AC966" s="5"/>
      <c r="AD966" s="5"/>
      <c r="AE966" s="5"/>
      <c r="AF966" s="5"/>
      <c r="AG966" s="5"/>
      <c r="AH966" s="5"/>
      <c r="AI966" s="5"/>
      <c r="AJ966" s="5"/>
    </row>
    <row r="967">
      <c r="A967" s="5"/>
      <c r="B967" s="5"/>
      <c r="C967" s="5"/>
      <c r="D967" s="5"/>
      <c r="E967" s="11"/>
      <c r="F967" s="12"/>
      <c r="G967" s="5"/>
      <c r="H967" s="12"/>
      <c r="I967" s="12"/>
      <c r="J967" s="12"/>
      <c r="K967" s="12"/>
      <c r="L967" s="12"/>
      <c r="M967" s="12"/>
      <c r="N967" s="5"/>
      <c r="O967" s="5"/>
      <c r="P967" s="5"/>
      <c r="Q967" s="5"/>
      <c r="R967" s="5"/>
      <c r="S967" s="5"/>
      <c r="T967" s="5"/>
      <c r="U967" s="12"/>
      <c r="V967" s="5"/>
      <c r="W967" s="11"/>
      <c r="X967" s="11"/>
      <c r="Y967" s="13"/>
      <c r="Z967" s="5"/>
      <c r="AA967" s="14"/>
      <c r="AB967" s="5"/>
      <c r="AC967" s="5"/>
      <c r="AD967" s="5"/>
      <c r="AE967" s="5"/>
      <c r="AF967" s="5"/>
      <c r="AG967" s="5"/>
      <c r="AH967" s="5"/>
      <c r="AI967" s="5"/>
      <c r="AJ967" s="5"/>
    </row>
    <row r="968">
      <c r="A968" s="5"/>
      <c r="B968" s="5"/>
      <c r="C968" s="5"/>
      <c r="D968" s="5"/>
      <c r="E968" s="11"/>
      <c r="F968" s="12"/>
      <c r="G968" s="5"/>
      <c r="H968" s="12"/>
      <c r="I968" s="12"/>
      <c r="J968" s="12"/>
      <c r="K968" s="12"/>
      <c r="L968" s="12"/>
      <c r="M968" s="12"/>
      <c r="N968" s="5"/>
      <c r="O968" s="5"/>
      <c r="P968" s="5"/>
      <c r="Q968" s="5"/>
      <c r="R968" s="5"/>
      <c r="S968" s="5"/>
      <c r="T968" s="5"/>
      <c r="U968" s="12"/>
      <c r="V968" s="5"/>
      <c r="W968" s="11"/>
      <c r="X968" s="11"/>
      <c r="Y968" s="13"/>
      <c r="Z968" s="5"/>
      <c r="AA968" s="14"/>
      <c r="AB968" s="5"/>
      <c r="AC968" s="5"/>
      <c r="AD968" s="5"/>
      <c r="AE968" s="5"/>
      <c r="AF968" s="5"/>
      <c r="AG968" s="5"/>
      <c r="AH968" s="5"/>
      <c r="AI968" s="5"/>
      <c r="AJ968" s="5"/>
    </row>
    <row r="969">
      <c r="A969" s="5"/>
      <c r="B969" s="5"/>
      <c r="C969" s="5"/>
      <c r="D969" s="5"/>
      <c r="E969" s="11"/>
      <c r="F969" s="12"/>
      <c r="G969" s="5"/>
      <c r="H969" s="12"/>
      <c r="I969" s="12"/>
      <c r="J969" s="12"/>
      <c r="K969" s="12"/>
      <c r="L969" s="12"/>
      <c r="M969" s="12"/>
      <c r="N969" s="5"/>
      <c r="O969" s="5"/>
      <c r="P969" s="5"/>
      <c r="Q969" s="5"/>
      <c r="R969" s="5"/>
      <c r="S969" s="5"/>
      <c r="T969" s="5"/>
      <c r="U969" s="12"/>
      <c r="V969" s="5"/>
      <c r="W969" s="11"/>
      <c r="X969" s="11"/>
      <c r="Y969" s="13"/>
      <c r="Z969" s="5"/>
      <c r="AA969" s="14"/>
      <c r="AB969" s="5"/>
      <c r="AC969" s="5"/>
      <c r="AD969" s="5"/>
      <c r="AE969" s="5"/>
      <c r="AF969" s="5"/>
      <c r="AG969" s="5"/>
      <c r="AH969" s="5"/>
      <c r="AI969" s="5"/>
      <c r="AJ969" s="5"/>
    </row>
    <row r="970">
      <c r="A970" s="5"/>
      <c r="B970" s="5"/>
      <c r="C970" s="5"/>
      <c r="D970" s="5"/>
      <c r="E970" s="11"/>
      <c r="F970" s="12"/>
      <c r="G970" s="5"/>
      <c r="H970" s="12"/>
      <c r="I970" s="12"/>
      <c r="J970" s="12"/>
      <c r="K970" s="12"/>
      <c r="L970" s="12"/>
      <c r="M970" s="12"/>
      <c r="N970" s="5"/>
      <c r="O970" s="5"/>
      <c r="P970" s="5"/>
      <c r="Q970" s="5"/>
      <c r="R970" s="5"/>
      <c r="S970" s="5"/>
      <c r="T970" s="5"/>
      <c r="U970" s="12"/>
      <c r="V970" s="5"/>
      <c r="W970" s="11"/>
      <c r="X970" s="11"/>
      <c r="Y970" s="13"/>
      <c r="Z970" s="5"/>
      <c r="AA970" s="14"/>
      <c r="AB970" s="5"/>
      <c r="AC970" s="5"/>
      <c r="AD970" s="5"/>
      <c r="AE970" s="5"/>
      <c r="AF970" s="5"/>
      <c r="AG970" s="5"/>
      <c r="AH970" s="5"/>
      <c r="AI970" s="5"/>
      <c r="AJ970" s="5"/>
    </row>
    <row r="971">
      <c r="A971" s="5"/>
      <c r="B971" s="5"/>
      <c r="C971" s="5"/>
      <c r="D971" s="5"/>
      <c r="E971" s="11"/>
      <c r="F971" s="12"/>
      <c r="G971" s="5"/>
      <c r="H971" s="12"/>
      <c r="I971" s="12"/>
      <c r="J971" s="12"/>
      <c r="K971" s="12"/>
      <c r="L971" s="12"/>
      <c r="M971" s="12"/>
      <c r="N971" s="5"/>
      <c r="O971" s="5"/>
      <c r="P971" s="5"/>
      <c r="Q971" s="5"/>
      <c r="R971" s="5"/>
      <c r="S971" s="5"/>
      <c r="T971" s="5"/>
      <c r="U971" s="12"/>
      <c r="V971" s="5"/>
      <c r="W971" s="11"/>
      <c r="X971" s="11"/>
      <c r="Y971" s="13"/>
      <c r="Z971" s="5"/>
      <c r="AA971" s="14"/>
      <c r="AB971" s="5"/>
      <c r="AC971" s="5"/>
      <c r="AD971" s="5"/>
      <c r="AE971" s="5"/>
      <c r="AF971" s="5"/>
      <c r="AG971" s="5"/>
      <c r="AH971" s="5"/>
      <c r="AI971" s="5"/>
      <c r="AJ971" s="5"/>
    </row>
    <row r="972">
      <c r="A972" s="5"/>
      <c r="B972" s="5"/>
      <c r="C972" s="5"/>
      <c r="D972" s="5"/>
      <c r="E972" s="11"/>
      <c r="F972" s="12"/>
      <c r="G972" s="5"/>
      <c r="H972" s="12"/>
      <c r="I972" s="12"/>
      <c r="J972" s="12"/>
      <c r="K972" s="12"/>
      <c r="L972" s="12"/>
      <c r="M972" s="12"/>
      <c r="N972" s="5"/>
      <c r="O972" s="5"/>
      <c r="P972" s="5"/>
      <c r="Q972" s="5"/>
      <c r="R972" s="5"/>
      <c r="S972" s="5"/>
      <c r="T972" s="5"/>
      <c r="U972" s="12"/>
      <c r="V972" s="5"/>
      <c r="W972" s="11"/>
      <c r="X972" s="11"/>
      <c r="Y972" s="13"/>
      <c r="Z972" s="5"/>
      <c r="AA972" s="14"/>
      <c r="AB972" s="5"/>
      <c r="AC972" s="5"/>
      <c r="AD972" s="5"/>
      <c r="AE972" s="5"/>
      <c r="AF972" s="5"/>
      <c r="AG972" s="5"/>
      <c r="AH972" s="5"/>
      <c r="AI972" s="5"/>
      <c r="AJ972" s="5"/>
    </row>
    <row r="973">
      <c r="A973" s="5"/>
      <c r="B973" s="5"/>
      <c r="C973" s="5"/>
      <c r="D973" s="5"/>
      <c r="E973" s="11"/>
      <c r="F973" s="12"/>
      <c r="G973" s="5"/>
      <c r="H973" s="12"/>
      <c r="I973" s="12"/>
      <c r="J973" s="12"/>
      <c r="K973" s="12"/>
      <c r="L973" s="12"/>
      <c r="M973" s="12"/>
      <c r="N973" s="5"/>
      <c r="O973" s="5"/>
      <c r="P973" s="5"/>
      <c r="Q973" s="5"/>
      <c r="R973" s="5"/>
      <c r="S973" s="5"/>
      <c r="T973" s="5"/>
      <c r="U973" s="12"/>
      <c r="V973" s="5"/>
      <c r="W973" s="11"/>
      <c r="X973" s="11"/>
      <c r="Y973" s="13"/>
      <c r="Z973" s="5"/>
      <c r="AA973" s="14"/>
      <c r="AB973" s="5"/>
      <c r="AC973" s="5"/>
      <c r="AD973" s="5"/>
      <c r="AE973" s="5"/>
      <c r="AF973" s="5"/>
      <c r="AG973" s="5"/>
      <c r="AH973" s="5"/>
      <c r="AI973" s="5"/>
      <c r="AJ973" s="5"/>
    </row>
    <row r="974">
      <c r="A974" s="5"/>
      <c r="B974" s="5"/>
      <c r="C974" s="5"/>
      <c r="D974" s="5"/>
      <c r="E974" s="11"/>
      <c r="F974" s="12"/>
      <c r="G974" s="5"/>
      <c r="H974" s="12"/>
      <c r="I974" s="12"/>
      <c r="J974" s="12"/>
      <c r="K974" s="12"/>
      <c r="L974" s="12"/>
      <c r="M974" s="12"/>
      <c r="N974" s="5"/>
      <c r="O974" s="5"/>
      <c r="P974" s="5"/>
      <c r="Q974" s="5"/>
      <c r="R974" s="5"/>
      <c r="S974" s="5"/>
      <c r="T974" s="5"/>
      <c r="U974" s="12"/>
      <c r="V974" s="5"/>
      <c r="W974" s="11"/>
      <c r="X974" s="11"/>
      <c r="Y974" s="13"/>
      <c r="Z974" s="5"/>
      <c r="AA974" s="14"/>
      <c r="AB974" s="5"/>
      <c r="AC974" s="5"/>
      <c r="AD974" s="5"/>
      <c r="AE974" s="5"/>
      <c r="AF974" s="5"/>
      <c r="AG974" s="5"/>
      <c r="AH974" s="5"/>
      <c r="AI974" s="5"/>
      <c r="AJ974" s="5"/>
    </row>
    <row r="975">
      <c r="A975" s="5"/>
      <c r="B975" s="5"/>
      <c r="C975" s="5"/>
      <c r="D975" s="5"/>
      <c r="E975" s="11"/>
      <c r="F975" s="12"/>
      <c r="G975" s="5"/>
      <c r="H975" s="12"/>
      <c r="I975" s="12"/>
      <c r="J975" s="12"/>
      <c r="K975" s="12"/>
      <c r="L975" s="12"/>
      <c r="M975" s="12"/>
      <c r="N975" s="5"/>
      <c r="O975" s="5"/>
      <c r="P975" s="5"/>
      <c r="Q975" s="5"/>
      <c r="R975" s="5"/>
      <c r="S975" s="5"/>
      <c r="T975" s="5"/>
      <c r="U975" s="12"/>
      <c r="V975" s="5"/>
      <c r="W975" s="11"/>
      <c r="X975" s="11"/>
      <c r="Y975" s="13"/>
      <c r="Z975" s="5"/>
      <c r="AA975" s="14"/>
      <c r="AB975" s="5"/>
      <c r="AC975" s="5"/>
      <c r="AD975" s="5"/>
      <c r="AE975" s="5"/>
      <c r="AF975" s="5"/>
      <c r="AG975" s="5"/>
      <c r="AH975" s="5"/>
      <c r="AI975" s="5"/>
      <c r="AJ975" s="5"/>
    </row>
    <row r="976">
      <c r="A976" s="5"/>
      <c r="B976" s="5"/>
      <c r="C976" s="5"/>
      <c r="D976" s="5"/>
      <c r="E976" s="11"/>
      <c r="F976" s="12"/>
      <c r="G976" s="5"/>
      <c r="H976" s="12"/>
      <c r="I976" s="12"/>
      <c r="J976" s="12"/>
      <c r="K976" s="12"/>
      <c r="L976" s="12"/>
      <c r="M976" s="12"/>
      <c r="N976" s="5"/>
      <c r="O976" s="5"/>
      <c r="P976" s="5"/>
      <c r="Q976" s="5"/>
      <c r="R976" s="5"/>
      <c r="S976" s="5"/>
      <c r="T976" s="5"/>
      <c r="U976" s="12"/>
      <c r="V976" s="5"/>
      <c r="W976" s="11"/>
      <c r="X976" s="11"/>
      <c r="Y976" s="13"/>
      <c r="Z976" s="5"/>
      <c r="AA976" s="14"/>
      <c r="AB976" s="5"/>
      <c r="AC976" s="5"/>
      <c r="AD976" s="5"/>
      <c r="AE976" s="5"/>
      <c r="AF976" s="5"/>
      <c r="AG976" s="5"/>
      <c r="AH976" s="5"/>
      <c r="AI976" s="5"/>
      <c r="AJ976" s="5"/>
    </row>
    <row r="977">
      <c r="A977" s="5"/>
      <c r="B977" s="5"/>
      <c r="C977" s="5"/>
      <c r="D977" s="5"/>
      <c r="E977" s="11"/>
      <c r="F977" s="12"/>
      <c r="G977" s="5"/>
      <c r="H977" s="12"/>
      <c r="I977" s="12"/>
      <c r="J977" s="12"/>
      <c r="K977" s="12"/>
      <c r="L977" s="12"/>
      <c r="M977" s="12"/>
      <c r="N977" s="5"/>
      <c r="O977" s="5"/>
      <c r="P977" s="5"/>
      <c r="Q977" s="5"/>
      <c r="R977" s="5"/>
      <c r="S977" s="5"/>
      <c r="T977" s="5"/>
      <c r="U977" s="12"/>
      <c r="V977" s="5"/>
      <c r="W977" s="11"/>
      <c r="X977" s="11"/>
      <c r="Y977" s="13"/>
      <c r="Z977" s="5"/>
      <c r="AA977" s="14"/>
      <c r="AB977" s="5"/>
      <c r="AC977" s="5"/>
      <c r="AD977" s="5"/>
      <c r="AE977" s="5"/>
      <c r="AF977" s="5"/>
      <c r="AG977" s="5"/>
      <c r="AH977" s="5"/>
      <c r="AI977" s="5"/>
      <c r="AJ977" s="5"/>
    </row>
    <row r="978">
      <c r="A978" s="5"/>
      <c r="B978" s="5"/>
      <c r="C978" s="5"/>
      <c r="D978" s="5"/>
      <c r="E978" s="11"/>
      <c r="F978" s="12"/>
      <c r="G978" s="5"/>
      <c r="H978" s="12"/>
      <c r="I978" s="12"/>
      <c r="J978" s="12"/>
      <c r="K978" s="12"/>
      <c r="L978" s="12"/>
      <c r="M978" s="12"/>
      <c r="N978" s="5"/>
      <c r="O978" s="5"/>
      <c r="P978" s="5"/>
      <c r="Q978" s="5"/>
      <c r="R978" s="5"/>
      <c r="S978" s="5"/>
      <c r="T978" s="5"/>
      <c r="U978" s="12"/>
      <c r="V978" s="5"/>
      <c r="W978" s="11"/>
      <c r="X978" s="11"/>
      <c r="Y978" s="13"/>
      <c r="Z978" s="5"/>
      <c r="AA978" s="14"/>
      <c r="AB978" s="5"/>
      <c r="AC978" s="5"/>
      <c r="AD978" s="5"/>
      <c r="AE978" s="5"/>
      <c r="AF978" s="5"/>
      <c r="AG978" s="5"/>
      <c r="AH978" s="5"/>
      <c r="AI978" s="5"/>
      <c r="AJ978" s="5"/>
    </row>
    <row r="979">
      <c r="A979" s="5"/>
      <c r="B979" s="5"/>
      <c r="C979" s="5"/>
      <c r="D979" s="5"/>
      <c r="E979" s="11"/>
      <c r="F979" s="12"/>
      <c r="G979" s="5"/>
      <c r="H979" s="12"/>
      <c r="I979" s="12"/>
      <c r="J979" s="12"/>
      <c r="K979" s="12"/>
      <c r="L979" s="12"/>
      <c r="M979" s="12"/>
      <c r="N979" s="5"/>
      <c r="O979" s="5"/>
      <c r="P979" s="5"/>
      <c r="Q979" s="5"/>
      <c r="R979" s="5"/>
      <c r="S979" s="5"/>
      <c r="T979" s="5"/>
      <c r="U979" s="12"/>
      <c r="V979" s="5"/>
      <c r="W979" s="11"/>
      <c r="X979" s="11"/>
      <c r="Y979" s="13"/>
      <c r="Z979" s="5"/>
      <c r="AA979" s="14"/>
      <c r="AB979" s="5"/>
      <c r="AC979" s="5"/>
      <c r="AD979" s="5"/>
      <c r="AE979" s="5"/>
      <c r="AF979" s="5"/>
      <c r="AG979" s="5"/>
      <c r="AH979" s="5"/>
      <c r="AI979" s="5"/>
      <c r="AJ979" s="5"/>
    </row>
    <row r="980">
      <c r="A980" s="5"/>
      <c r="B980" s="5"/>
      <c r="C980" s="5"/>
      <c r="D980" s="5"/>
      <c r="E980" s="11"/>
      <c r="F980" s="12"/>
      <c r="G980" s="5"/>
      <c r="H980" s="12"/>
      <c r="I980" s="12"/>
      <c r="J980" s="12"/>
      <c r="K980" s="12"/>
      <c r="L980" s="12"/>
      <c r="M980" s="12"/>
      <c r="N980" s="5"/>
      <c r="O980" s="5"/>
      <c r="P980" s="5"/>
      <c r="Q980" s="5"/>
      <c r="R980" s="5"/>
      <c r="S980" s="5"/>
      <c r="T980" s="5"/>
      <c r="U980" s="12"/>
      <c r="V980" s="5"/>
      <c r="W980" s="11"/>
      <c r="X980" s="11"/>
      <c r="Y980" s="13"/>
      <c r="Z980" s="5"/>
      <c r="AA980" s="14"/>
      <c r="AB980" s="5"/>
      <c r="AC980" s="5"/>
      <c r="AD980" s="5"/>
      <c r="AE980" s="5"/>
      <c r="AF980" s="5"/>
      <c r="AG980" s="5"/>
      <c r="AH980" s="5"/>
      <c r="AI980" s="5"/>
      <c r="AJ980" s="5"/>
    </row>
    <row r="981">
      <c r="A981" s="5"/>
      <c r="B981" s="5"/>
      <c r="C981" s="5"/>
      <c r="D981" s="5"/>
      <c r="E981" s="11"/>
      <c r="F981" s="12"/>
      <c r="G981" s="5"/>
      <c r="H981" s="12"/>
      <c r="I981" s="12"/>
      <c r="J981" s="12"/>
      <c r="K981" s="12"/>
      <c r="L981" s="12"/>
      <c r="M981" s="12"/>
      <c r="N981" s="5"/>
      <c r="O981" s="5"/>
      <c r="P981" s="5"/>
      <c r="Q981" s="5"/>
      <c r="R981" s="5"/>
      <c r="S981" s="5"/>
      <c r="T981" s="5"/>
      <c r="U981" s="12"/>
      <c r="V981" s="5"/>
      <c r="W981" s="11"/>
      <c r="X981" s="11"/>
      <c r="Y981" s="13"/>
      <c r="Z981" s="5"/>
      <c r="AA981" s="14"/>
      <c r="AB981" s="5"/>
      <c r="AC981" s="5"/>
      <c r="AD981" s="5"/>
      <c r="AE981" s="5"/>
      <c r="AF981" s="5"/>
      <c r="AG981" s="5"/>
      <c r="AH981" s="5"/>
      <c r="AI981" s="5"/>
      <c r="AJ981" s="5"/>
    </row>
    <row r="982">
      <c r="A982" s="5"/>
      <c r="B982" s="5"/>
      <c r="C982" s="5"/>
      <c r="D982" s="5"/>
      <c r="E982" s="11"/>
      <c r="F982" s="12"/>
      <c r="G982" s="5"/>
      <c r="H982" s="12"/>
      <c r="I982" s="12"/>
      <c r="J982" s="12"/>
      <c r="K982" s="12"/>
      <c r="L982" s="12"/>
      <c r="M982" s="12"/>
      <c r="N982" s="5"/>
      <c r="O982" s="5"/>
      <c r="P982" s="5"/>
      <c r="Q982" s="5"/>
      <c r="R982" s="5"/>
      <c r="S982" s="5"/>
      <c r="T982" s="5"/>
      <c r="U982" s="12"/>
      <c r="V982" s="5"/>
      <c r="W982" s="11"/>
      <c r="X982" s="11"/>
      <c r="Y982" s="13"/>
      <c r="Z982" s="5"/>
      <c r="AA982" s="14"/>
      <c r="AB982" s="5"/>
      <c r="AC982" s="5"/>
      <c r="AD982" s="5"/>
      <c r="AE982" s="5"/>
      <c r="AF982" s="5"/>
      <c r="AG982" s="5"/>
      <c r="AH982" s="5"/>
      <c r="AI982" s="5"/>
      <c r="AJ982" s="5"/>
    </row>
    <row r="983">
      <c r="A983" s="5"/>
      <c r="B983" s="5"/>
      <c r="C983" s="5"/>
      <c r="D983" s="5"/>
      <c r="E983" s="11"/>
      <c r="F983" s="12"/>
      <c r="G983" s="5"/>
      <c r="H983" s="12"/>
      <c r="I983" s="12"/>
      <c r="J983" s="12"/>
      <c r="K983" s="12"/>
      <c r="L983" s="12"/>
      <c r="M983" s="12"/>
      <c r="N983" s="5"/>
      <c r="O983" s="5"/>
      <c r="P983" s="5"/>
      <c r="Q983" s="5"/>
      <c r="R983" s="5"/>
      <c r="S983" s="5"/>
      <c r="T983" s="5"/>
      <c r="U983" s="12"/>
      <c r="V983" s="5"/>
      <c r="W983" s="11"/>
      <c r="X983" s="11"/>
      <c r="Y983" s="13"/>
      <c r="Z983" s="5"/>
      <c r="AA983" s="14"/>
      <c r="AB983" s="5"/>
      <c r="AC983" s="5"/>
      <c r="AD983" s="5"/>
      <c r="AE983" s="5"/>
      <c r="AF983" s="5"/>
      <c r="AG983" s="5"/>
      <c r="AH983" s="5"/>
      <c r="AI983" s="5"/>
      <c r="AJ983" s="5"/>
    </row>
    <row r="984">
      <c r="A984" s="5"/>
      <c r="B984" s="5"/>
      <c r="C984" s="5"/>
      <c r="D984" s="5"/>
      <c r="E984" s="11"/>
      <c r="F984" s="12"/>
      <c r="G984" s="5"/>
      <c r="H984" s="12"/>
      <c r="I984" s="12"/>
      <c r="J984" s="12"/>
      <c r="K984" s="12"/>
      <c r="L984" s="12"/>
      <c r="M984" s="12"/>
      <c r="N984" s="5"/>
      <c r="O984" s="5"/>
      <c r="P984" s="5"/>
      <c r="Q984" s="5"/>
      <c r="R984" s="5"/>
      <c r="S984" s="5"/>
      <c r="T984" s="5"/>
      <c r="U984" s="12"/>
      <c r="V984" s="5"/>
      <c r="W984" s="11"/>
      <c r="X984" s="11"/>
      <c r="Y984" s="13"/>
      <c r="Z984" s="5"/>
      <c r="AA984" s="14"/>
      <c r="AB984" s="5"/>
      <c r="AC984" s="5"/>
      <c r="AD984" s="5"/>
      <c r="AE984" s="5"/>
      <c r="AF984" s="5"/>
      <c r="AG984" s="5"/>
      <c r="AH984" s="5"/>
      <c r="AI984" s="5"/>
      <c r="AJ984" s="5"/>
    </row>
    <row r="985">
      <c r="A985" s="5"/>
      <c r="B985" s="5"/>
      <c r="C985" s="5"/>
      <c r="D985" s="5"/>
      <c r="E985" s="11"/>
      <c r="F985" s="12"/>
      <c r="G985" s="5"/>
      <c r="H985" s="12"/>
      <c r="I985" s="12"/>
      <c r="J985" s="12"/>
      <c r="K985" s="12"/>
      <c r="L985" s="12"/>
      <c r="M985" s="12"/>
      <c r="N985" s="5"/>
      <c r="O985" s="5"/>
      <c r="P985" s="5"/>
      <c r="Q985" s="5"/>
      <c r="R985" s="5"/>
      <c r="S985" s="5"/>
      <c r="T985" s="5"/>
      <c r="U985" s="12"/>
      <c r="V985" s="5"/>
      <c r="W985" s="11"/>
      <c r="X985" s="11"/>
      <c r="Y985" s="13"/>
      <c r="Z985" s="5"/>
      <c r="AA985" s="14"/>
      <c r="AB985" s="5"/>
      <c r="AC985" s="5"/>
      <c r="AD985" s="5"/>
      <c r="AE985" s="5"/>
      <c r="AF985" s="5"/>
      <c r="AG985" s="5"/>
      <c r="AH985" s="5"/>
      <c r="AI985" s="5"/>
      <c r="AJ985" s="5"/>
    </row>
    <row r="986">
      <c r="A986" s="5"/>
      <c r="B986" s="5"/>
      <c r="C986" s="5"/>
      <c r="D986" s="5"/>
      <c r="E986" s="11"/>
      <c r="F986" s="12"/>
      <c r="G986" s="5"/>
      <c r="H986" s="12"/>
      <c r="I986" s="12"/>
      <c r="J986" s="12"/>
      <c r="K986" s="12"/>
      <c r="L986" s="12"/>
      <c r="M986" s="12"/>
      <c r="N986" s="5"/>
      <c r="O986" s="5"/>
      <c r="P986" s="5"/>
      <c r="Q986" s="5"/>
      <c r="R986" s="5"/>
      <c r="S986" s="5"/>
      <c r="T986" s="5"/>
      <c r="U986" s="12"/>
      <c r="V986" s="5"/>
      <c r="W986" s="11"/>
      <c r="X986" s="11"/>
      <c r="Y986" s="13"/>
      <c r="Z986" s="5"/>
      <c r="AA986" s="14"/>
      <c r="AB986" s="5"/>
      <c r="AC986" s="5"/>
      <c r="AD986" s="5"/>
      <c r="AE986" s="5"/>
      <c r="AF986" s="5"/>
      <c r="AG986" s="5"/>
      <c r="AH986" s="5"/>
      <c r="AI986" s="5"/>
      <c r="AJ986" s="5"/>
    </row>
    <row r="987">
      <c r="A987" s="5"/>
      <c r="B987" s="5"/>
      <c r="C987" s="5"/>
      <c r="D987" s="5"/>
      <c r="E987" s="11"/>
      <c r="F987" s="12"/>
      <c r="G987" s="5"/>
      <c r="H987" s="12"/>
      <c r="I987" s="12"/>
      <c r="J987" s="12"/>
      <c r="K987" s="12"/>
      <c r="L987" s="12"/>
      <c r="M987" s="12"/>
      <c r="N987" s="5"/>
      <c r="O987" s="5"/>
      <c r="P987" s="5"/>
      <c r="Q987" s="5"/>
      <c r="R987" s="5"/>
      <c r="S987" s="5"/>
      <c r="T987" s="5"/>
      <c r="U987" s="12"/>
      <c r="V987" s="5"/>
      <c r="W987" s="11"/>
      <c r="X987" s="11"/>
      <c r="Y987" s="13"/>
      <c r="Z987" s="5"/>
      <c r="AA987" s="14"/>
      <c r="AB987" s="5"/>
      <c r="AC987" s="5"/>
      <c r="AD987" s="5"/>
      <c r="AE987" s="5"/>
      <c r="AF987" s="5"/>
      <c r="AG987" s="5"/>
      <c r="AH987" s="5"/>
      <c r="AI987" s="5"/>
      <c r="AJ987" s="5"/>
    </row>
    <row r="988">
      <c r="A988" s="5"/>
      <c r="B988" s="5"/>
      <c r="C988" s="5"/>
      <c r="D988" s="5"/>
      <c r="E988" s="11"/>
      <c r="F988" s="12"/>
      <c r="G988" s="5"/>
      <c r="H988" s="12"/>
      <c r="I988" s="12"/>
      <c r="J988" s="12"/>
      <c r="K988" s="12"/>
      <c r="L988" s="12"/>
      <c r="M988" s="12"/>
      <c r="N988" s="5"/>
      <c r="O988" s="5"/>
      <c r="P988" s="5"/>
      <c r="Q988" s="5"/>
      <c r="R988" s="5"/>
      <c r="S988" s="5"/>
      <c r="T988" s="5"/>
      <c r="U988" s="12"/>
      <c r="V988" s="5"/>
      <c r="W988" s="11"/>
      <c r="X988" s="11"/>
      <c r="Y988" s="13"/>
      <c r="Z988" s="5"/>
      <c r="AA988" s="14"/>
      <c r="AB988" s="5"/>
      <c r="AC988" s="5"/>
      <c r="AD988" s="5"/>
      <c r="AE988" s="5"/>
      <c r="AF988" s="5"/>
      <c r="AG988" s="5"/>
      <c r="AH988" s="5"/>
      <c r="AI988" s="5"/>
      <c r="AJ988" s="5"/>
    </row>
    <row r="989">
      <c r="A989" s="5"/>
      <c r="B989" s="5"/>
      <c r="C989" s="5"/>
      <c r="D989" s="5"/>
      <c r="E989" s="11"/>
      <c r="F989" s="12"/>
      <c r="G989" s="5"/>
      <c r="H989" s="12"/>
      <c r="I989" s="12"/>
      <c r="J989" s="12"/>
      <c r="K989" s="12"/>
      <c r="L989" s="12"/>
      <c r="M989" s="12"/>
      <c r="N989" s="5"/>
      <c r="O989" s="5"/>
      <c r="P989" s="5"/>
      <c r="Q989" s="5"/>
      <c r="R989" s="5"/>
      <c r="S989" s="5"/>
      <c r="T989" s="5"/>
      <c r="U989" s="12"/>
      <c r="V989" s="5"/>
      <c r="W989" s="11"/>
      <c r="X989" s="11"/>
      <c r="Y989" s="13"/>
      <c r="Z989" s="5"/>
      <c r="AA989" s="14"/>
      <c r="AB989" s="5"/>
      <c r="AC989" s="5"/>
      <c r="AD989" s="5"/>
      <c r="AE989" s="5"/>
      <c r="AF989" s="5"/>
      <c r="AG989" s="5"/>
      <c r="AH989" s="5"/>
      <c r="AI989" s="5"/>
      <c r="AJ989" s="5"/>
    </row>
    <row r="990">
      <c r="A990" s="5"/>
      <c r="B990" s="5"/>
      <c r="C990" s="5"/>
      <c r="D990" s="5"/>
      <c r="E990" s="11"/>
      <c r="F990" s="12"/>
      <c r="G990" s="5"/>
      <c r="H990" s="12"/>
      <c r="I990" s="12"/>
      <c r="J990" s="12"/>
      <c r="K990" s="12"/>
      <c r="L990" s="12"/>
      <c r="M990" s="12"/>
      <c r="N990" s="5"/>
      <c r="O990" s="5"/>
      <c r="P990" s="5"/>
      <c r="Q990" s="5"/>
      <c r="R990" s="5"/>
      <c r="S990" s="5"/>
      <c r="T990" s="5"/>
      <c r="U990" s="12"/>
      <c r="V990" s="5"/>
      <c r="W990" s="11"/>
      <c r="X990" s="11"/>
      <c r="Y990" s="13"/>
      <c r="Z990" s="5"/>
      <c r="AA990" s="14"/>
      <c r="AB990" s="5"/>
      <c r="AC990" s="5"/>
      <c r="AD990" s="5"/>
      <c r="AE990" s="5"/>
      <c r="AF990" s="5"/>
      <c r="AG990" s="5"/>
      <c r="AH990" s="5"/>
      <c r="AI990" s="5"/>
      <c r="AJ990" s="5"/>
    </row>
    <row r="991">
      <c r="A991" s="5"/>
      <c r="B991" s="5"/>
      <c r="C991" s="5"/>
      <c r="D991" s="5"/>
      <c r="E991" s="11"/>
      <c r="F991" s="12"/>
      <c r="G991" s="5"/>
      <c r="H991" s="12"/>
      <c r="I991" s="12"/>
      <c r="J991" s="12"/>
      <c r="K991" s="12"/>
      <c r="L991" s="12"/>
      <c r="M991" s="12"/>
      <c r="N991" s="5"/>
      <c r="O991" s="5"/>
      <c r="P991" s="5"/>
      <c r="Q991" s="5"/>
      <c r="R991" s="5"/>
      <c r="S991" s="5"/>
      <c r="T991" s="5"/>
      <c r="U991" s="12"/>
      <c r="V991" s="5"/>
      <c r="W991" s="11"/>
      <c r="X991" s="11"/>
      <c r="Y991" s="13"/>
      <c r="Z991" s="5"/>
      <c r="AA991" s="14"/>
      <c r="AB991" s="5"/>
      <c r="AC991" s="5"/>
      <c r="AD991" s="5"/>
      <c r="AE991" s="5"/>
      <c r="AF991" s="5"/>
      <c r="AG991" s="5"/>
      <c r="AH991" s="5"/>
      <c r="AI991" s="5"/>
      <c r="AJ991" s="5"/>
    </row>
    <row r="992">
      <c r="A992" s="5"/>
      <c r="B992" s="5"/>
      <c r="C992" s="5"/>
      <c r="D992" s="5"/>
      <c r="E992" s="11"/>
      <c r="F992" s="12"/>
      <c r="G992" s="5"/>
      <c r="H992" s="12"/>
      <c r="I992" s="12"/>
      <c r="J992" s="12"/>
      <c r="K992" s="12"/>
      <c r="L992" s="12"/>
      <c r="M992" s="12"/>
      <c r="N992" s="5"/>
      <c r="O992" s="5"/>
      <c r="P992" s="5"/>
      <c r="Q992" s="5"/>
      <c r="R992" s="5"/>
      <c r="S992" s="5"/>
      <c r="T992" s="5"/>
      <c r="U992" s="12"/>
      <c r="V992" s="5"/>
      <c r="W992" s="11"/>
      <c r="X992" s="11"/>
      <c r="Y992" s="13"/>
      <c r="Z992" s="5"/>
      <c r="AA992" s="14"/>
      <c r="AB992" s="5"/>
      <c r="AC992" s="5"/>
      <c r="AD992" s="5"/>
      <c r="AE992" s="5"/>
      <c r="AF992" s="5"/>
      <c r="AG992" s="5"/>
      <c r="AH992" s="5"/>
      <c r="AI992" s="5"/>
      <c r="AJ992" s="5"/>
    </row>
    <row r="993">
      <c r="A993" s="5"/>
      <c r="B993" s="5"/>
      <c r="C993" s="5"/>
      <c r="D993" s="5"/>
      <c r="E993" s="11"/>
      <c r="F993" s="12"/>
      <c r="G993" s="5"/>
      <c r="H993" s="12"/>
      <c r="I993" s="12"/>
      <c r="J993" s="12"/>
      <c r="K993" s="12"/>
      <c r="L993" s="12"/>
      <c r="M993" s="12"/>
      <c r="N993" s="5"/>
      <c r="O993" s="5"/>
      <c r="P993" s="5"/>
      <c r="Q993" s="5"/>
      <c r="R993" s="5"/>
      <c r="S993" s="5"/>
      <c r="T993" s="5"/>
      <c r="U993" s="12"/>
      <c r="V993" s="5"/>
      <c r="W993" s="11"/>
      <c r="X993" s="11"/>
      <c r="Y993" s="13"/>
      <c r="Z993" s="5"/>
      <c r="AA993" s="14"/>
      <c r="AB993" s="5"/>
      <c r="AC993" s="5"/>
      <c r="AD993" s="5"/>
      <c r="AE993" s="5"/>
      <c r="AF993" s="5"/>
      <c r="AG993" s="5"/>
      <c r="AH993" s="5"/>
      <c r="AI993" s="5"/>
      <c r="AJ993" s="5"/>
    </row>
    <row r="994">
      <c r="A994" s="5"/>
      <c r="B994" s="5"/>
      <c r="C994" s="5"/>
      <c r="D994" s="5"/>
      <c r="E994" s="11"/>
      <c r="F994" s="12"/>
      <c r="G994" s="5"/>
      <c r="H994" s="12"/>
      <c r="I994" s="12"/>
      <c r="J994" s="12"/>
      <c r="K994" s="12"/>
      <c r="L994" s="12"/>
      <c r="M994" s="12"/>
      <c r="N994" s="5"/>
      <c r="O994" s="5"/>
      <c r="P994" s="5"/>
      <c r="Q994" s="5"/>
      <c r="R994" s="5"/>
      <c r="S994" s="5"/>
      <c r="T994" s="5"/>
      <c r="U994" s="12"/>
      <c r="V994" s="5"/>
      <c r="W994" s="11"/>
      <c r="X994" s="11"/>
      <c r="Y994" s="13"/>
      <c r="Z994" s="5"/>
      <c r="AA994" s="14"/>
      <c r="AB994" s="5"/>
      <c r="AC994" s="5"/>
      <c r="AD994" s="5"/>
      <c r="AE994" s="5"/>
      <c r="AF994" s="5"/>
      <c r="AG994" s="5"/>
      <c r="AH994" s="5"/>
      <c r="AI994" s="5"/>
      <c r="AJ994" s="5"/>
    </row>
    <row r="995">
      <c r="A995" s="5"/>
      <c r="B995" s="5"/>
      <c r="C995" s="5"/>
      <c r="D995" s="5"/>
      <c r="E995" s="11"/>
      <c r="F995" s="12"/>
      <c r="G995" s="5"/>
      <c r="H995" s="12"/>
      <c r="I995" s="12"/>
      <c r="J995" s="12"/>
      <c r="K995" s="12"/>
      <c r="L995" s="12"/>
      <c r="M995" s="12"/>
      <c r="N995" s="5"/>
      <c r="O995" s="5"/>
      <c r="P995" s="5"/>
      <c r="Q995" s="5"/>
      <c r="R995" s="5"/>
      <c r="S995" s="5"/>
      <c r="T995" s="5"/>
      <c r="U995" s="12"/>
      <c r="V995" s="5"/>
      <c r="W995" s="11"/>
      <c r="X995" s="11"/>
      <c r="Y995" s="13"/>
      <c r="Z995" s="5"/>
      <c r="AA995" s="14"/>
      <c r="AB995" s="5"/>
      <c r="AC995" s="5"/>
      <c r="AD995" s="5"/>
      <c r="AE995" s="5"/>
      <c r="AF995" s="5"/>
      <c r="AG995" s="5"/>
      <c r="AH995" s="5"/>
      <c r="AI995" s="5"/>
      <c r="AJ995" s="5"/>
    </row>
    <row r="996">
      <c r="A996" s="5"/>
      <c r="B996" s="5"/>
      <c r="C996" s="5"/>
      <c r="D996" s="5"/>
      <c r="E996" s="11"/>
      <c r="F996" s="12"/>
      <c r="G996" s="5"/>
      <c r="H996" s="12"/>
      <c r="I996" s="12"/>
      <c r="J996" s="12"/>
      <c r="K996" s="12"/>
      <c r="L996" s="12"/>
      <c r="M996" s="12"/>
      <c r="N996" s="5"/>
      <c r="O996" s="5"/>
      <c r="P996" s="5"/>
      <c r="Q996" s="5"/>
      <c r="R996" s="5"/>
      <c r="S996" s="5"/>
      <c r="T996" s="5"/>
      <c r="U996" s="12"/>
      <c r="V996" s="5"/>
      <c r="W996" s="11"/>
      <c r="X996" s="11"/>
      <c r="Y996" s="13"/>
      <c r="Z996" s="5"/>
      <c r="AA996" s="14"/>
      <c r="AB996" s="5"/>
      <c r="AC996" s="5"/>
      <c r="AD996" s="5"/>
      <c r="AE996" s="5"/>
      <c r="AF996" s="5"/>
      <c r="AG996" s="5"/>
      <c r="AH996" s="5"/>
      <c r="AI996" s="5"/>
      <c r="AJ996" s="5"/>
    </row>
    <row r="997">
      <c r="A997" s="5"/>
      <c r="B997" s="5"/>
      <c r="C997" s="5"/>
      <c r="D997" s="5"/>
      <c r="E997" s="11"/>
      <c r="F997" s="12"/>
      <c r="G997" s="5"/>
      <c r="H997" s="12"/>
      <c r="I997" s="12"/>
      <c r="J997" s="12"/>
      <c r="K997" s="12"/>
      <c r="L997" s="12"/>
      <c r="M997" s="12"/>
      <c r="N997" s="5"/>
      <c r="O997" s="5"/>
      <c r="P997" s="5"/>
      <c r="Q997" s="5"/>
      <c r="R997" s="5"/>
      <c r="S997" s="5"/>
      <c r="T997" s="5"/>
      <c r="U997" s="12"/>
      <c r="V997" s="5"/>
      <c r="W997" s="11"/>
      <c r="X997" s="11"/>
      <c r="Y997" s="13"/>
      <c r="Z997" s="5"/>
      <c r="AA997" s="14"/>
      <c r="AB997" s="5"/>
      <c r="AC997" s="5"/>
      <c r="AD997" s="5"/>
      <c r="AE997" s="5"/>
      <c r="AF997" s="5"/>
      <c r="AG997" s="5"/>
      <c r="AH997" s="5"/>
      <c r="AI997" s="5"/>
      <c r="AJ997" s="5"/>
    </row>
    <row r="998">
      <c r="A998" s="5"/>
      <c r="B998" s="5"/>
      <c r="C998" s="5"/>
      <c r="D998" s="5"/>
      <c r="E998" s="11"/>
      <c r="F998" s="12"/>
      <c r="G998" s="5"/>
      <c r="H998" s="12"/>
      <c r="I998" s="12"/>
      <c r="J998" s="12"/>
      <c r="K998" s="12"/>
      <c r="L998" s="12"/>
      <c r="M998" s="12"/>
      <c r="N998" s="5"/>
      <c r="O998" s="5"/>
      <c r="P998" s="5"/>
      <c r="Q998" s="5"/>
      <c r="R998" s="5"/>
      <c r="S998" s="5"/>
      <c r="T998" s="5"/>
      <c r="U998" s="12"/>
      <c r="V998" s="5"/>
      <c r="W998" s="11"/>
      <c r="X998" s="11"/>
      <c r="Y998" s="13"/>
      <c r="Z998" s="5"/>
      <c r="AA998" s="14"/>
      <c r="AB998" s="5"/>
      <c r="AC998" s="5"/>
      <c r="AD998" s="5"/>
      <c r="AE998" s="5"/>
      <c r="AF998" s="5"/>
      <c r="AG998" s="5"/>
      <c r="AH998" s="5"/>
      <c r="AI998" s="5"/>
      <c r="AJ998" s="5"/>
    </row>
    <row r="999">
      <c r="A999" s="5"/>
      <c r="B999" s="5"/>
      <c r="C999" s="5"/>
      <c r="D999" s="5"/>
      <c r="E999" s="11"/>
      <c r="F999" s="12"/>
      <c r="G999" s="5"/>
      <c r="H999" s="12"/>
      <c r="I999" s="12"/>
      <c r="J999" s="12"/>
      <c r="K999" s="12"/>
      <c r="L999" s="12"/>
      <c r="M999" s="12"/>
      <c r="N999" s="5"/>
      <c r="O999" s="5"/>
      <c r="P999" s="5"/>
      <c r="Q999" s="5"/>
      <c r="R999" s="5"/>
      <c r="S999" s="5"/>
      <c r="T999" s="5"/>
      <c r="U999" s="12"/>
      <c r="V999" s="5"/>
      <c r="W999" s="11"/>
      <c r="X999" s="11"/>
      <c r="Y999" s="13"/>
      <c r="Z999" s="5"/>
      <c r="AA999" s="14"/>
      <c r="AB999" s="5"/>
      <c r="AC999" s="5"/>
      <c r="AD999" s="5"/>
      <c r="AE999" s="5"/>
      <c r="AF999" s="5"/>
      <c r="AG999" s="5"/>
      <c r="AH999" s="5"/>
      <c r="AI999" s="5"/>
      <c r="AJ999" s="5"/>
    </row>
    <row r="1000">
      <c r="A1000" s="5"/>
      <c r="B1000" s="5"/>
      <c r="C1000" s="5"/>
      <c r="D1000" s="5"/>
      <c r="E1000" s="11"/>
      <c r="F1000" s="12"/>
      <c r="G1000" s="5"/>
      <c r="H1000" s="12"/>
      <c r="I1000" s="12"/>
      <c r="J1000" s="12"/>
      <c r="K1000" s="12"/>
      <c r="L1000" s="12"/>
      <c r="M1000" s="12"/>
      <c r="N1000" s="5"/>
      <c r="O1000" s="5"/>
      <c r="P1000" s="5"/>
      <c r="Q1000" s="5"/>
      <c r="R1000" s="5"/>
      <c r="S1000" s="5"/>
      <c r="T1000" s="5"/>
      <c r="U1000" s="12"/>
      <c r="V1000" s="5"/>
      <c r="W1000" s="11"/>
      <c r="X1000" s="11"/>
      <c r="Y1000" s="13"/>
      <c r="Z1000" s="5"/>
      <c r="AA1000" s="14"/>
      <c r="AB1000" s="5"/>
      <c r="AC1000" s="5"/>
      <c r="AD1000" s="5"/>
      <c r="AE1000" s="5"/>
      <c r="AF1000" s="5"/>
      <c r="AG1000" s="5"/>
      <c r="AH1000" s="5"/>
      <c r="AI1000" s="5"/>
      <c r="AJ1000" s="5"/>
    </row>
    <row r="1001">
      <c r="A1001" s="5"/>
      <c r="B1001" s="5"/>
      <c r="C1001" s="5"/>
      <c r="D1001" s="5"/>
      <c r="E1001" s="11"/>
      <c r="F1001" s="12"/>
      <c r="G1001" s="5"/>
      <c r="H1001" s="12"/>
      <c r="I1001" s="12"/>
      <c r="J1001" s="12"/>
      <c r="K1001" s="12"/>
      <c r="L1001" s="12"/>
      <c r="M1001" s="12"/>
      <c r="N1001" s="5"/>
      <c r="O1001" s="5"/>
      <c r="P1001" s="5"/>
      <c r="Q1001" s="5"/>
      <c r="R1001" s="5"/>
      <c r="S1001" s="5"/>
      <c r="T1001" s="5"/>
      <c r="U1001" s="12"/>
      <c r="V1001" s="5"/>
      <c r="W1001" s="11"/>
      <c r="X1001" s="11"/>
      <c r="Y1001" s="13"/>
      <c r="Z1001" s="5"/>
      <c r="AA1001" s="14"/>
      <c r="AB1001" s="5"/>
      <c r="AC1001" s="5"/>
      <c r="AD1001" s="5"/>
      <c r="AE1001" s="5"/>
      <c r="AF1001" s="5"/>
      <c r="AG1001" s="5"/>
      <c r="AH1001" s="5"/>
      <c r="AI1001" s="5"/>
      <c r="AJ1001" s="5"/>
    </row>
  </sheetData>
  <customSheetViews>
    <customSheetView guid="{B16A12E7-B437-4369-A3A4-A95EFB1C4CF8}" filter="1" showAutoFilter="1">
      <autoFilter ref="$A$7:$AJ$231">
        <filterColumn colId="3">
          <filters blank="1">
            <filter val="Kab. Banjarnegara"/>
            <filter val="Kab. Deli Serdang"/>
            <filter val="Kab. Purwakarta"/>
            <filter val="Kab. Aceh Tamiang"/>
            <filter val="Kab. Humbang Hasundutan"/>
            <filter val="Kab. Garut"/>
            <filter val="Kab. Lebong"/>
            <filter val="Kab. Malinau"/>
            <filter val="Kab. Sanggau"/>
            <filter val="Kab. Pidie"/>
            <filter val="Kab. Lampung Utara"/>
            <filter val="Kab. Rejang Lebong"/>
            <filter val="Kab. Tulang Bawang Barat"/>
            <filter val="Kab. Lamongan"/>
            <filter val="Kab. Sidenreng Rappang"/>
            <filter val="Kab. Toraja Utara"/>
            <filter val="Kab. Bengkayang"/>
            <filter val="Kab. Tapin"/>
            <filter val="Kab. Mimika"/>
            <filter val="Kab. Kediri"/>
            <filter val="Kab. Bogor"/>
            <filter val="Kab. Muara Jambi"/>
            <filter val="Kab. Landak"/>
            <filter val="Kab. Berau"/>
            <filter val="Kab. Padang Lawas Utara"/>
            <filter val="Kab. Ogan Komering Ulu"/>
            <filter val="Kab. Karanganyar"/>
            <filter val="Kab. Tolikara"/>
            <filter val="Kab. Bekasi"/>
            <filter val="Kab. Karawang"/>
            <filter val="Kab. Seruyan"/>
            <filter val="Kab. Enrekang"/>
            <filter val="Kab. Barito Kuala"/>
            <filter val="Kab. Magetan"/>
            <filter val="Kab. Ponorogo"/>
            <filter val="Kab. Kotawaringin Timur"/>
            <filter val="Kab. Batang Hari"/>
            <filter val="Kab. Tapanuli Utara"/>
            <filter val="Kab. Gresik"/>
            <filter val="Kab. Keerom"/>
            <filter val="Kab. Madiun"/>
            <filter val="Kab. Sekadau"/>
            <filter val="Kab. Aceh Utara"/>
            <filter val="Kab. Pegunungan Arfak"/>
            <filter val="Kab. Hulu Sungai Selatan"/>
            <filter val="Kab. Wonogiri"/>
            <filter val="Kab. Kutai Timur"/>
            <filter val="Kab. Pulang Pisau"/>
            <filter val="Kab. Asahan"/>
            <filter val="Kab. Sragen"/>
            <filter val="**KONTROL JANGAN DIGANGGU"/>
            <filter val="Kab. Sarolangun"/>
            <filter val="Kab. Boyolali"/>
            <filter val="Kab. Gunung Kidul"/>
            <filter val="Kab. Kapuas"/>
            <filter val="Kab. Pasaman"/>
            <filter val="Kab. Tulungagung"/>
            <filter val="Kab. Labuhan Batu"/>
            <filter val="Kab. Pemalang"/>
            <filter val="Kab. Rokan Hilir"/>
            <filter val="Kab. Dairi"/>
            <filter val="Kab. Samosir"/>
            <filter val="Kab. Langkat"/>
            <filter val="Kab. Ogan Komering Ulu Selatan"/>
            <filter val="Kab. Mamberamo Tengah"/>
            <filter val="Kab. Cilacap"/>
            <filter val="Kab. Bondowoso"/>
            <filter val="Kab. Mappi"/>
            <filter val="Kab. Purbalingga"/>
            <filter val="Kab. Kampar"/>
            <filter val="Kab. Temanggung"/>
            <filter val="Kab. Solok Selatan"/>
            <filter val="Kab. Klaten"/>
            <filter val="Kab. Aceh Tenggara"/>
            <filter val="Kab. Sleman"/>
            <filter val="Kab. Musi Rawas"/>
            <filter val="Kab. Badung"/>
            <filter val="Kab. Agam"/>
            <filter val="Kab. Malang"/>
            <filter val="Kab. Lahat"/>
            <filter val="Kab. Pacitan"/>
            <filter val="Kab. Kendal"/>
            <filter val="Kab. Pasuruan"/>
            <filter val="Kab. Muara Enim"/>
            <filter val="Kab. Gunung Mas"/>
            <filter val="Kab. Paniai"/>
            <filter val="Kab. Merangin"/>
            <filter val="Kab. Nduga"/>
            <filter val="Kab. Labuhan Batu Selatan"/>
            <filter val="Kab. Musi Banyuasin"/>
            <filter val="Kab. Tulangbawang"/>
            <filter val="Kab. Ngawi"/>
            <filter val="Kab. Katingan"/>
            <filter val="Kab. Serang"/>
            <filter val="Kab. Tanjung Jabung Barat"/>
            <filter val="Kab. Intan Jaya"/>
            <filter val="Kab. Sukoharjo"/>
            <filter val="Kab. Rokan Hulu"/>
            <filter val="Kab. Padang Lawas"/>
            <filter val="Kab. Pohuwato"/>
            <filter val="Kab. Kebumen"/>
            <filter val="Kab. Kerinci"/>
            <filter val="Kab. Penukal Abad Lematang Ilir"/>
            <filter val="Kab. Blitar"/>
            <filter val="Kab. Ketapang"/>
            <filter val="Kab. Hulu Sungai Utara"/>
            <filter val="Kab. Dogiyai"/>
            <filter val="Kab. Simalungun"/>
            <filter val="Kab. Kutai Kartanegara"/>
            <filter val="Kab. Demak"/>
            <filter val="Kab. Maybrat"/>
            <filter val="Kab. Jember"/>
            <filter val="Kab. Lampung Barat"/>
            <filter val="Kab. Indragiri Hulu"/>
            <filter val="Kab. Brebes"/>
            <filter val="Kab. Purworejo"/>
            <filter val="Kab. Kolaka Timur"/>
            <filter val="Kab. Pringsewu"/>
            <filter val="Kab. Kulon Progo"/>
            <filter val="Kab. Balangan"/>
            <filter val="Kab. Tangerang"/>
            <filter val="Kab. Yahukimo"/>
            <filter val="Kab. Pegunungan Bintang"/>
            <filter val="Kab. Tana Tidung"/>
            <filter val="Kab. Tebo"/>
            <filter val="Kab. Sumedang"/>
            <filter val="Kab. Labuhan Batu Utara"/>
            <filter val="Kab. Tabanan"/>
            <filter val="Kab. Subang"/>
            <filter val="Kab. Puncak Jaya"/>
            <filter val="Kab. Wonosobo"/>
            <filter val="Kab. Polewali Mandar"/>
            <filter val="Kab. Bengkalis"/>
            <filter val="Kab. Sukamara"/>
            <filter val="Kab. Paser"/>
            <filter val="Kab. Lima Puluh Kota"/>
            <filter val="Kab. Bojonegoro"/>
            <filter val="Kab. Ciamis"/>
            <filter val="Kab. Bandung"/>
            <filter val="Kab. Kutai Barat"/>
            <filter val="Kab. Tanah Datar"/>
            <filter val="Kab. Pelalawan"/>
            <filter val="Kab. Pakpak Bharat"/>
            <filter val="Kab. Mamasa"/>
            <filter val="Kab. Yalimo"/>
            <filter val="Kab. Banyumas"/>
            <filter val="Kab. Pati"/>
            <filter val="Kab. Tanah Bumbu"/>
            <filter val="Kab. Tana Toraja"/>
            <filter val="Kab. Puncak"/>
            <filter val="Kab. Barito Utara"/>
            <filter val="Kab. Asmat"/>
            <filter val="Kab. Bandung Barat"/>
            <filter val="Kab. Deiyai"/>
            <filter val="Kab. Ogan Ilir"/>
            <filter val="Kab. Gayo Lues"/>
            <filter val="Kab. Nunukan"/>
            <filter val="Kab. Indragiri Hilir"/>
            <filter val="Kab. Kepahiang"/>
            <filter val="Kab. Nganjuk"/>
            <filter val="Kab. Soppeng"/>
            <filter val="Kab. Cianjur"/>
            <filter val="Kab. Kudus"/>
            <filter val="Kab. Tegal"/>
            <filter val="Kab. Semarang"/>
            <filter val="Kab. Bener Meriah"/>
            <filter val="Kab. Karo"/>
            <filter val="Kab. Mahakam Hulu"/>
            <filter val="Kab. Grobogan"/>
            <filter val="Kab. Boven Digoel"/>
            <filter val="Kab. Banyu Asin"/>
            <filter val="Kab. Way Kanan"/>
            <filter val="Kab. Kotawaringin Barat"/>
            <filter val="Kab. Lampung Tengah"/>
            <filter val="Kab. Tabalong"/>
            <filter val="Kab. Musi Rawas Utara"/>
            <filter val="Kab. Lumajang"/>
            <filter val="Kab. Toba"/>
            <filter val="Kab. Pekalongan"/>
            <filter val="Kab. Ogan Komering Ulu Timur"/>
            <filter val="Kab. Tasikmalaya"/>
            <filter val="Kab. Serdang Bedagai"/>
            <filter val="Kab. Bungo"/>
            <filter val="Kab. Barito Timur"/>
            <filter val="Kab. Dharmasraya"/>
            <filter val="Kab. Magelang"/>
            <filter val="Kab. Jombang"/>
            <filter val="Kab. Barito Selatan"/>
            <filter val="Kab. Kuningan"/>
            <filter val="Kab. Konawe"/>
            <filter val="Kab. Bengkulu Selatan"/>
            <filter val="Kab. Lamandau"/>
            <filter val="Kab. Sukabumi"/>
            <filter val="Kab. Teluk Bintuni"/>
            <filter val="Kab. Kapuas Hulu"/>
            <filter val="Kab. Trenggalek"/>
            <filter val="Kab. Banjar"/>
            <filter val="Kab. Kuantan Singingi"/>
            <filter val="Kab. Sidoarjo"/>
            <filter val="Kab. Lebak"/>
            <filter val="Kab. Solok"/>
            <filter val="Kab. Murung Raya"/>
            <filter val="Kab. Ogan Komering Ilir"/>
            <filter val="Kab. Sintang"/>
            <filter val="Kab. Mesuji"/>
            <filter val="Kab. Majalengka"/>
            <filter val="Kab. Sigi"/>
            <filter val="Kab. Sijunjung"/>
            <filter val="Kab. Bangli"/>
            <filter val="Kab. Lanny Jaya"/>
            <filter val="Kab. Aceh Besar"/>
            <filter val="Kab. Blora"/>
            <filter val="Kab. Gianyar"/>
            <filter val="Kab. Mamberamo Raya"/>
            <filter val="Kab. Bantul"/>
            <filter val="Kab. Melawi"/>
            <filter val="Kab. Aceh Tengah"/>
            <filter val="Kab. Empat Lawang"/>
            <filter val="Kab. Pesawaran"/>
            <filter val="Kab. Hulu Sungai Tengah"/>
            <filter val="Kab. Mojokerto"/>
          </filters>
        </filterColumn>
      </autoFilter>
    </customSheetView>
    <customSheetView guid="{23ABBBA5-DE26-43CD-BEEC-F0F5ECEE06AE}" filter="1" showAutoFilter="1">
      <autoFilter ref="$A$7:$AJ$231"/>
    </customSheetView>
    <customSheetView guid="{E3E129AB-897C-42F7-90F9-07B72AD0186D}" filter="1" showAutoFilter="1">
      <autoFilter ref="$B$4:$AC$231"/>
    </customSheetView>
  </customSheetViews>
  <mergeCells count="31">
    <mergeCell ref="E5:G5"/>
    <mergeCell ref="H5:M5"/>
    <mergeCell ref="B230:D230"/>
    <mergeCell ref="N230:R230"/>
    <mergeCell ref="R6:R7"/>
    <mergeCell ref="S6:S7"/>
    <mergeCell ref="T6:T7"/>
    <mergeCell ref="U6:U7"/>
    <mergeCell ref="C4:C7"/>
    <mergeCell ref="D4:D7"/>
    <mergeCell ref="E4:M4"/>
    <mergeCell ref="N4:U4"/>
    <mergeCell ref="V4:W5"/>
    <mergeCell ref="Z4:Z7"/>
    <mergeCell ref="N5:U5"/>
    <mergeCell ref="AA4:AA7"/>
    <mergeCell ref="AC4:AC7"/>
    <mergeCell ref="AA8:AA25"/>
    <mergeCell ref="X4:Y4"/>
    <mergeCell ref="X5:X6"/>
    <mergeCell ref="Y5:Y6"/>
    <mergeCell ref="E6:E7"/>
    <mergeCell ref="F6:F7"/>
    <mergeCell ref="G6:G7"/>
    <mergeCell ref="H6:H7"/>
    <mergeCell ref="I6:I7"/>
    <mergeCell ref="J6:K6"/>
    <mergeCell ref="L6:L7"/>
    <mergeCell ref="N6:O6"/>
    <mergeCell ref="P6:P7"/>
    <mergeCell ref="Q6:Q7"/>
  </mergeCells>
  <hyperlinks>
    <hyperlink r:id="rId2" ref="AA8"/>
    <hyperlink r:id="rId3" ref="AA26"/>
    <hyperlink r:id="rId4" ref="AA27"/>
    <hyperlink r:id="rId5" ref="AA28"/>
    <hyperlink r:id="rId6" ref="AA29"/>
    <hyperlink r:id="rId7" ref="AA30"/>
    <hyperlink r:id="rId8" ref="AA31"/>
    <hyperlink r:id="rId9" ref="AB31"/>
    <hyperlink r:id="rId10" ref="AA32"/>
    <hyperlink r:id="rId11" ref="AA34"/>
    <hyperlink r:id="rId12" ref="AA35"/>
    <hyperlink r:id="rId13" ref="AA36"/>
    <hyperlink r:id="rId14" ref="AA37"/>
    <hyperlink r:id="rId15" ref="AA38"/>
    <hyperlink r:id="rId16" ref="AA39"/>
    <hyperlink r:id="rId17" ref="AA40"/>
    <hyperlink r:id="rId18" ref="AA41"/>
    <hyperlink r:id="rId19" ref="AA42"/>
    <hyperlink r:id="rId20" ref="AA43"/>
    <hyperlink r:id="rId21" ref="AA45"/>
    <hyperlink r:id="rId22" ref="AA46"/>
    <hyperlink r:id="rId23" ref="AA47"/>
    <hyperlink r:id="rId24" ref="AA48"/>
    <hyperlink r:id="rId25" ref="AA49"/>
    <hyperlink r:id="rId26" ref="AA50"/>
    <hyperlink r:id="rId27" ref="AA51"/>
    <hyperlink r:id="rId28" ref="AA52"/>
    <hyperlink r:id="rId29" ref="AA54"/>
    <hyperlink r:id="rId30" ref="AA55"/>
    <hyperlink r:id="rId31" ref="AA56"/>
    <hyperlink r:id="rId32" ref="AA57"/>
    <hyperlink r:id="rId33" ref="AA58"/>
    <hyperlink r:id="rId34" ref="AA59"/>
    <hyperlink r:id="rId35" ref="AA61"/>
    <hyperlink r:id="rId36" ref="AA62"/>
    <hyperlink r:id="rId37" ref="AA63"/>
    <hyperlink r:id="rId38" ref="AA64"/>
    <hyperlink r:id="rId39" ref="AA65"/>
    <hyperlink r:id="rId40" ref="AA67"/>
    <hyperlink r:id="rId41" ref="AA68"/>
    <hyperlink r:id="rId42" ref="AA69"/>
    <hyperlink r:id="rId43" ref="AA70"/>
    <hyperlink r:id="rId44" ref="AA71"/>
    <hyperlink r:id="rId45" ref="AA72"/>
    <hyperlink r:id="rId46" ref="AA73"/>
    <hyperlink r:id="rId47" ref="AA74"/>
    <hyperlink r:id="rId48" ref="AA76"/>
    <hyperlink r:id="rId49" ref="AA77"/>
    <hyperlink r:id="rId50" ref="AA78"/>
    <hyperlink r:id="rId51" ref="AA79"/>
    <hyperlink r:id="rId52" ref="AA80"/>
    <hyperlink r:id="rId53" ref="AA81"/>
    <hyperlink r:id="rId54" ref="AA82"/>
    <hyperlink r:id="rId55" ref="AA83"/>
    <hyperlink r:id="rId56" ref="AA84"/>
    <hyperlink r:id="rId57" ref="AA85"/>
    <hyperlink r:id="rId58" ref="AA86"/>
    <hyperlink r:id="rId59" ref="AA87"/>
    <hyperlink r:id="rId60" ref="AA88"/>
    <hyperlink r:id="rId61" ref="AA89"/>
    <hyperlink r:id="rId62" ref="AA90"/>
    <hyperlink r:id="rId63" ref="AA91"/>
    <hyperlink r:id="rId64" ref="AA92"/>
    <hyperlink r:id="rId65" ref="AA93"/>
    <hyperlink r:id="rId66" ref="AA94"/>
    <hyperlink r:id="rId67" ref="AA95"/>
    <hyperlink r:id="rId68" ref="AA99"/>
    <hyperlink r:id="rId69" ref="AA100"/>
    <hyperlink r:id="rId70" ref="AA101"/>
    <hyperlink r:id="rId71" ref="AA103"/>
    <hyperlink r:id="rId72" ref="AA104"/>
    <hyperlink r:id="rId73" ref="AA105"/>
    <hyperlink r:id="rId74" ref="AA106"/>
    <hyperlink r:id="rId75" ref="AA107"/>
    <hyperlink r:id="rId76" ref="AA108"/>
    <hyperlink r:id="rId77" ref="AA109"/>
    <hyperlink r:id="rId78" ref="AA110"/>
    <hyperlink r:id="rId79" ref="AA111"/>
    <hyperlink r:id="rId80" ref="AA112"/>
    <hyperlink r:id="rId81" ref="AA113"/>
    <hyperlink r:id="rId82" ref="AA114"/>
    <hyperlink r:id="rId83" ref="AA115"/>
    <hyperlink r:id="rId84" ref="AA116"/>
    <hyperlink r:id="rId85" ref="AA117"/>
    <hyperlink r:id="rId86" ref="AA118"/>
    <hyperlink r:id="rId87" ref="AA119"/>
    <hyperlink r:id="rId88" ref="AA120"/>
    <hyperlink r:id="rId89" ref="AC120"/>
    <hyperlink r:id="rId90" ref="AA121"/>
    <hyperlink r:id="rId91" ref="AA122"/>
    <hyperlink r:id="rId92" ref="AA123"/>
    <hyperlink r:id="rId93" ref="AA124"/>
    <hyperlink r:id="rId94" ref="AA125"/>
    <hyperlink r:id="rId95" ref="AA126"/>
    <hyperlink r:id="rId96" ref="AA127"/>
    <hyperlink r:id="rId97" ref="AA128"/>
    <hyperlink r:id="rId98" ref="AA129"/>
    <hyperlink r:id="rId99" ref="AA130"/>
    <hyperlink r:id="rId100" ref="AA131"/>
    <hyperlink r:id="rId101" ref="AA132"/>
    <hyperlink r:id="rId102" ref="AA133"/>
    <hyperlink r:id="rId103" ref="AA134"/>
    <hyperlink r:id="rId104" ref="AA135"/>
    <hyperlink r:id="rId105" location="gid=2005567560" ref="AA136"/>
    <hyperlink r:id="rId106" ref="AA137"/>
    <hyperlink r:id="rId107" ref="AA138"/>
    <hyperlink r:id="rId108" ref="AA139"/>
    <hyperlink r:id="rId109" ref="AA140"/>
    <hyperlink r:id="rId110" ref="AA141"/>
    <hyperlink r:id="rId111" ref="AA142"/>
    <hyperlink r:id="rId112" ref="AA144"/>
    <hyperlink r:id="rId113" ref="AA145"/>
    <hyperlink r:id="rId114" ref="AA147"/>
    <hyperlink r:id="rId115" ref="AA148"/>
    <hyperlink r:id="rId116" ref="AA151"/>
    <hyperlink r:id="rId117" location="gid=1047375049" ref="AA152"/>
    <hyperlink r:id="rId118" ref="AA153"/>
    <hyperlink r:id="rId119" ref="AA154"/>
    <hyperlink r:id="rId120" ref="AA155"/>
    <hyperlink r:id="rId121" ref="AA156"/>
    <hyperlink r:id="rId122" ref="AA157"/>
    <hyperlink r:id="rId123" ref="AA158"/>
    <hyperlink r:id="rId124" ref="AA159"/>
    <hyperlink r:id="rId125" ref="AA161"/>
    <hyperlink r:id="rId126" ref="AA162"/>
    <hyperlink r:id="rId127" ref="AA163"/>
    <hyperlink r:id="rId128" ref="AA164"/>
    <hyperlink r:id="rId129" ref="AA165"/>
    <hyperlink r:id="rId130" ref="AA166"/>
    <hyperlink r:id="rId131" ref="AA167"/>
    <hyperlink r:id="rId132" ref="AA168"/>
    <hyperlink r:id="rId133" ref="AA169"/>
    <hyperlink r:id="rId134" ref="AA170"/>
    <hyperlink r:id="rId135" ref="AA171"/>
    <hyperlink r:id="rId136" ref="AA172"/>
    <hyperlink r:id="rId137" ref="AA174"/>
    <hyperlink r:id="rId138" ref="AA176"/>
    <hyperlink r:id="rId139" ref="AA177"/>
    <hyperlink r:id="rId140" ref="AA178"/>
    <hyperlink r:id="rId141" ref="AA179"/>
    <hyperlink r:id="rId142" ref="AA180"/>
    <hyperlink r:id="rId143" ref="AA183"/>
    <hyperlink r:id="rId144" ref="AA186"/>
    <hyperlink r:id="rId145" ref="AA187"/>
    <hyperlink r:id="rId146" ref="AA188"/>
    <hyperlink r:id="rId147" ref="AA192"/>
    <hyperlink r:id="rId148" ref="AA195"/>
    <hyperlink r:id="rId149" ref="AA196"/>
    <hyperlink r:id="rId150" ref="AA197"/>
    <hyperlink r:id="rId151" ref="AA198"/>
    <hyperlink r:id="rId152" ref="AA199"/>
    <hyperlink r:id="rId153" ref="AA200"/>
    <hyperlink r:id="rId154" ref="AA201"/>
    <hyperlink r:id="rId155" ref="AA202"/>
    <hyperlink r:id="rId156" ref="AA203"/>
    <hyperlink r:id="rId157" ref="AA204"/>
    <hyperlink r:id="rId158" ref="AA205"/>
    <hyperlink r:id="rId159" ref="AA206"/>
    <hyperlink r:id="rId160" ref="AA210"/>
    <hyperlink r:id="rId161" ref="AA213"/>
    <hyperlink r:id="rId162" ref="AA214"/>
    <hyperlink r:id="rId163" ref="AA215"/>
    <hyperlink r:id="rId164" ref="AA216"/>
    <hyperlink r:id="rId165" ref="AA217"/>
    <hyperlink r:id="rId166" ref="AA219"/>
    <hyperlink r:id="rId167" ref="AA220"/>
    <hyperlink r:id="rId168" ref="AA221"/>
    <hyperlink r:id="rId169" ref="AA225"/>
    <hyperlink r:id="rId170" ref="AA226"/>
  </hyperlinks>
  <printOptions gridLines="1" horizontalCentered="1"/>
  <pageMargins bottom="0.75" footer="0.0" header="0.0" left="0.7" right="0.7" top="0.75"/>
  <pageSetup fitToHeight="0" paperSize="9" cellComments="atEnd" orientation="landscape" pageOrder="overThenDown"/>
  <drawing r:id="rId171"/>
  <legacyDrawing r:id="rId1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64.0"/>
    <col customWidth="1" min="3" max="3" width="30.5"/>
    <col customWidth="1" min="4" max="4" width="36.88"/>
    <col customWidth="1" min="5" max="5" width="19.13"/>
    <col customWidth="1" min="6" max="8" width="21.38"/>
    <col customWidth="1" hidden="1" min="9" max="9" width="35.13"/>
    <col customWidth="1" min="10" max="10" width="24.25"/>
    <col customWidth="1" min="12" max="12" width="16.63"/>
    <col customWidth="1" min="13" max="13" width="27.63"/>
    <col customWidth="1" min="14" max="14" width="20.63"/>
    <col customWidth="1" min="15" max="15" width="12.88"/>
  </cols>
  <sheetData>
    <row r="1">
      <c r="A1" s="150" t="s">
        <v>493</v>
      </c>
      <c r="B1" s="151" t="s">
        <v>494</v>
      </c>
      <c r="C1" s="152" t="s">
        <v>495</v>
      </c>
      <c r="D1" s="152" t="s">
        <v>15</v>
      </c>
      <c r="E1" s="152" t="s">
        <v>496</v>
      </c>
      <c r="F1" s="152" t="s">
        <v>497</v>
      </c>
      <c r="G1" s="152" t="s">
        <v>498</v>
      </c>
      <c r="H1" s="152" t="s">
        <v>499</v>
      </c>
      <c r="I1" s="152" t="s">
        <v>500</v>
      </c>
      <c r="J1" s="152" t="s">
        <v>501</v>
      </c>
      <c r="L1" s="153"/>
      <c r="M1" s="154" t="s">
        <v>502</v>
      </c>
      <c r="N1" s="154" t="s">
        <v>503</v>
      </c>
      <c r="O1" s="154" t="s">
        <v>504</v>
      </c>
    </row>
    <row r="2">
      <c r="A2" s="155"/>
      <c r="B2" s="156" t="s">
        <v>2</v>
      </c>
      <c r="C2" s="157" t="s">
        <v>505</v>
      </c>
      <c r="D2" s="158" t="s">
        <v>506</v>
      </c>
      <c r="E2" s="159">
        <v>518.0</v>
      </c>
      <c r="F2" s="159">
        <v>0.0</v>
      </c>
      <c r="G2" s="160">
        <f t="shared" ref="G2:G19" si="1">H2-F2</f>
        <v>25</v>
      </c>
      <c r="H2" s="160">
        <f>'PENDATAAN PERUMAHAN'!$J$229</f>
        <v>25</v>
      </c>
      <c r="I2" s="161">
        <f>(H2-F2)/E2</f>
        <v>0.04826254826</v>
      </c>
      <c r="J2" s="161">
        <f t="shared" ref="J2:J3" si="2">H2/$E$2</f>
        <v>0.04826254826</v>
      </c>
      <c r="L2" s="153">
        <v>1.0</v>
      </c>
      <c r="M2" s="153" t="s">
        <v>507</v>
      </c>
      <c r="N2" s="162">
        <f>'PAK INDRA'!H39</f>
        <v>20721</v>
      </c>
      <c r="O2" s="163">
        <f>N2/N30</f>
        <v>0.101041274</v>
      </c>
    </row>
    <row r="3">
      <c r="A3" s="155"/>
      <c r="B3" s="27"/>
      <c r="C3" s="27"/>
      <c r="D3" s="164" t="s">
        <v>508</v>
      </c>
      <c r="E3" s="159">
        <v>0.0</v>
      </c>
      <c r="F3" s="159">
        <v>67.0</v>
      </c>
      <c r="G3" s="160">
        <f t="shared" si="1"/>
        <v>6</v>
      </c>
      <c r="H3" s="160">
        <f>'PENDATAAN PERUMAHAN'!$K$229</f>
        <v>73</v>
      </c>
      <c r="I3" s="161"/>
      <c r="J3" s="161">
        <f t="shared" si="2"/>
        <v>0.1409266409</v>
      </c>
      <c r="L3" s="153">
        <v>2.0</v>
      </c>
      <c r="M3" s="153" t="s">
        <v>509</v>
      </c>
      <c r="N3" s="165">
        <f>'BU DINA'!H40</f>
        <v>55296</v>
      </c>
      <c r="O3" s="163">
        <f>N3/N30</f>
        <v>0.2696384483</v>
      </c>
    </row>
    <row r="4">
      <c r="A4" s="155"/>
      <c r="B4" s="27"/>
      <c r="C4" s="27"/>
      <c r="D4" s="164" t="s">
        <v>25</v>
      </c>
      <c r="E4" s="166">
        <v>2500.0</v>
      </c>
      <c r="F4" s="159">
        <v>4222.0</v>
      </c>
      <c r="G4" s="160">
        <f t="shared" si="1"/>
        <v>805</v>
      </c>
      <c r="H4" s="160">
        <f>'PENDATAAN PERUMAHAN'!$M$229</f>
        <v>5027</v>
      </c>
      <c r="I4" s="161">
        <f>(H4-F4)/E4</f>
        <v>0.322</v>
      </c>
      <c r="J4" s="161">
        <f>H4/E4</f>
        <v>2.0108</v>
      </c>
      <c r="L4" s="153">
        <v>3.0</v>
      </c>
      <c r="M4" s="153" t="s">
        <v>510</v>
      </c>
      <c r="N4" s="165">
        <f>'PAK BRAM'!H37</f>
        <v>9806</v>
      </c>
      <c r="O4" s="163">
        <f>N4/N30</f>
        <v>0.04781674305</v>
      </c>
    </row>
    <row r="5">
      <c r="A5" s="155"/>
      <c r="B5" s="27"/>
      <c r="C5" s="40"/>
      <c r="D5" s="164" t="s">
        <v>24</v>
      </c>
      <c r="E5" s="167">
        <v>0.0</v>
      </c>
      <c r="F5" s="159">
        <v>421.0</v>
      </c>
      <c r="G5" s="160">
        <f t="shared" si="1"/>
        <v>575</v>
      </c>
      <c r="H5" s="160">
        <f>'PENDATAAN PERUMAHAN'!$L$229</f>
        <v>996</v>
      </c>
      <c r="I5" s="161"/>
      <c r="J5" s="161"/>
      <c r="L5" s="153">
        <v>4.0</v>
      </c>
      <c r="M5" s="153" t="s">
        <v>511</v>
      </c>
      <c r="N5" s="165">
        <f>'PAK HEBY'!H31</f>
        <v>4610</v>
      </c>
      <c r="O5" s="163">
        <f>N5/N30</f>
        <v>0.02247962324</v>
      </c>
    </row>
    <row r="6">
      <c r="A6" s="155"/>
      <c r="B6" s="27"/>
      <c r="C6" s="157" t="s">
        <v>13</v>
      </c>
      <c r="D6" s="164" t="s">
        <v>512</v>
      </c>
      <c r="E6" s="159">
        <v>160000.0</v>
      </c>
      <c r="F6" s="159">
        <v>14413.0</v>
      </c>
      <c r="G6" s="160">
        <f t="shared" si="1"/>
        <v>1626</v>
      </c>
      <c r="H6" s="160">
        <f>'PENDATAAN PERUMAHAN'!$F$229</f>
        <v>16039</v>
      </c>
      <c r="I6" s="161">
        <f t="shared" ref="I6:I9" si="3">(H6-F6)/E6</f>
        <v>0.0101625</v>
      </c>
      <c r="J6" s="161">
        <f t="shared" ref="J6:J15" si="4">H6/E6</f>
        <v>0.10024375</v>
      </c>
      <c r="L6" s="153">
        <v>5.0</v>
      </c>
      <c r="M6" s="153" t="s">
        <v>513</v>
      </c>
      <c r="N6" s="162">
        <f>'BU WINDA'!H37</f>
        <v>6620.6114</v>
      </c>
      <c r="O6" s="163">
        <f>N6/N30</f>
        <v>0.03228391538</v>
      </c>
    </row>
    <row r="7" ht="36.0" customHeight="1">
      <c r="A7" s="155"/>
      <c r="B7" s="27"/>
      <c r="C7" s="40"/>
      <c r="D7" s="164" t="s">
        <v>514</v>
      </c>
      <c r="E7" s="159">
        <v>80000.0</v>
      </c>
      <c r="F7" s="159">
        <v>177.0</v>
      </c>
      <c r="G7" s="160">
        <f t="shared" si="1"/>
        <v>0</v>
      </c>
      <c r="H7" s="159">
        <f>'PENDATAAN PERUMAHAN'!$G$229</f>
        <v>177</v>
      </c>
      <c r="I7" s="161">
        <f t="shared" si="3"/>
        <v>0</v>
      </c>
      <c r="J7" s="161">
        <f t="shared" si="4"/>
        <v>0.0022125</v>
      </c>
      <c r="L7" s="153">
        <v>6.0</v>
      </c>
      <c r="M7" s="153" t="s">
        <v>515</v>
      </c>
      <c r="N7" s="162">
        <f>'PAK WIDI'!H32</f>
        <v>7148</v>
      </c>
      <c r="O7" s="163">
        <f>N7/N30</f>
        <v>0.0348556067</v>
      </c>
    </row>
    <row r="8">
      <c r="A8" s="155"/>
      <c r="B8" s="27"/>
      <c r="C8" s="157" t="s">
        <v>14</v>
      </c>
      <c r="D8" s="158" t="s">
        <v>21</v>
      </c>
      <c r="E8" s="159">
        <v>197500.0</v>
      </c>
      <c r="F8" s="159">
        <v>7040.0</v>
      </c>
      <c r="G8" s="160">
        <f t="shared" si="1"/>
        <v>2404</v>
      </c>
      <c r="H8" s="160">
        <f>'PENDATAAN PERUMAHAN'!$H$229</f>
        <v>9444</v>
      </c>
      <c r="I8" s="161">
        <f t="shared" si="3"/>
        <v>0.0121721519</v>
      </c>
      <c r="J8" s="161">
        <f t="shared" si="4"/>
        <v>0.04781772152</v>
      </c>
      <c r="L8" s="153">
        <v>7.0</v>
      </c>
      <c r="M8" s="153" t="s">
        <v>516</v>
      </c>
      <c r="N8" s="162">
        <f>'PLT. BU CHANDRA'!H32</f>
        <v>49077</v>
      </c>
      <c r="O8" s="163">
        <f>N8/N30</f>
        <v>0.2393129001</v>
      </c>
    </row>
    <row r="9" ht="39.0" customHeight="1">
      <c r="A9" s="155"/>
      <c r="B9" s="27"/>
      <c r="C9" s="27"/>
      <c r="D9" s="158" t="s">
        <v>517</v>
      </c>
      <c r="E9" s="166">
        <v>150.0</v>
      </c>
      <c r="F9" s="166">
        <v>293.0</v>
      </c>
      <c r="G9" s="160">
        <f t="shared" si="1"/>
        <v>284</v>
      </c>
      <c r="H9" s="168">
        <v>577.0</v>
      </c>
      <c r="I9" s="161">
        <f t="shared" si="3"/>
        <v>1.893333333</v>
      </c>
      <c r="J9" s="161">
        <f t="shared" si="4"/>
        <v>3.846666667</v>
      </c>
      <c r="K9" s="169">
        <f>K11+H22</f>
        <v>177960</v>
      </c>
      <c r="L9" s="153">
        <v>8.0</v>
      </c>
      <c r="M9" s="170" t="s">
        <v>518</v>
      </c>
      <c r="N9" s="162">
        <f>'PAK WISIK'!H34</f>
        <v>3729</v>
      </c>
      <c r="O9" s="163">
        <f>N9/N30</f>
        <v>0.01818362583</v>
      </c>
    </row>
    <row r="10">
      <c r="A10" s="155"/>
      <c r="B10" s="40"/>
      <c r="C10" s="40"/>
      <c r="D10" s="171" t="s">
        <v>519</v>
      </c>
      <c r="E10" s="166">
        <v>50.0</v>
      </c>
      <c r="F10" s="166">
        <v>16.0</v>
      </c>
      <c r="G10" s="160">
        <f t="shared" si="1"/>
        <v>0</v>
      </c>
      <c r="H10" s="159">
        <v>16.0</v>
      </c>
      <c r="I10" s="161"/>
      <c r="J10" s="161">
        <f t="shared" si="4"/>
        <v>0.32</v>
      </c>
      <c r="L10" s="153">
        <v>9.0</v>
      </c>
      <c r="M10" s="153" t="s">
        <v>520</v>
      </c>
      <c r="N10" s="162">
        <f>'PAK TAMBAT'!H50</f>
        <v>4576</v>
      </c>
      <c r="O10" s="163">
        <f>N10/N30</f>
        <v>0.02231382992</v>
      </c>
    </row>
    <row r="11">
      <c r="A11" s="155"/>
      <c r="B11" s="156" t="s">
        <v>521</v>
      </c>
      <c r="C11" s="157" t="s">
        <v>522</v>
      </c>
      <c r="D11" s="171" t="s">
        <v>506</v>
      </c>
      <c r="E11" s="159">
        <v>15110.0</v>
      </c>
      <c r="F11" s="166">
        <v>0.0</v>
      </c>
      <c r="G11" s="160">
        <f t="shared" si="1"/>
        <v>0</v>
      </c>
      <c r="H11" s="160">
        <f>'PENDATAAN PERUMAHAN'!$N$229</f>
        <v>0</v>
      </c>
      <c r="I11" s="161">
        <f>(H11-F11)/E11</f>
        <v>0</v>
      </c>
      <c r="J11" s="161">
        <f t="shared" si="4"/>
        <v>0</v>
      </c>
      <c r="K11" s="169">
        <f>sum(H2:H10)</f>
        <v>32374</v>
      </c>
      <c r="L11" s="153">
        <v>10.0</v>
      </c>
      <c r="M11" s="153" t="s">
        <v>523</v>
      </c>
      <c r="N11" s="162">
        <f>'BU ANE'!H29</f>
        <v>3228</v>
      </c>
      <c r="O11" s="163">
        <f>N11/N30</f>
        <v>0.01574061254</v>
      </c>
    </row>
    <row r="12" ht="31.5" customHeight="1">
      <c r="A12" s="155"/>
      <c r="B12" s="27"/>
      <c r="C12" s="27"/>
      <c r="D12" s="171" t="s">
        <v>508</v>
      </c>
      <c r="E12" s="159">
        <v>100.0</v>
      </c>
      <c r="F12" s="166">
        <v>569.0</v>
      </c>
      <c r="G12" s="160">
        <f t="shared" si="1"/>
        <v>10</v>
      </c>
      <c r="H12" s="160">
        <f>'PENDATAAN PERUMAHAN'!$O$229</f>
        <v>579</v>
      </c>
      <c r="I12" s="161"/>
      <c r="J12" s="161">
        <f t="shared" si="4"/>
        <v>5.79</v>
      </c>
      <c r="L12" s="153">
        <v>11.0</v>
      </c>
      <c r="M12" s="153" t="s">
        <v>524</v>
      </c>
      <c r="N12" s="162">
        <f>'BU HANDINI'!H31</f>
        <v>15417</v>
      </c>
      <c r="O12" s="163">
        <f>N12/N30</f>
        <v>0.07517751659</v>
      </c>
      <c r="P12" s="172"/>
      <c r="Q12" s="172"/>
      <c r="R12" s="172"/>
      <c r="S12" s="172"/>
      <c r="T12" s="172"/>
      <c r="U12" s="172"/>
    </row>
    <row r="13" ht="31.5" customHeight="1">
      <c r="A13" s="155"/>
      <c r="B13" s="27"/>
      <c r="C13" s="27"/>
      <c r="D13" s="171" t="s">
        <v>525</v>
      </c>
      <c r="E13" s="159">
        <v>675.0</v>
      </c>
      <c r="F13" s="159">
        <v>79.0</v>
      </c>
      <c r="G13" s="160">
        <f t="shared" si="1"/>
        <v>0</v>
      </c>
      <c r="H13" s="160">
        <f>'PENDATAAN PERUMAHAN'!$P$229</f>
        <v>79</v>
      </c>
      <c r="I13" s="161">
        <f t="shared" ref="I13:I18" si="5">(H13-F13)/E13</f>
        <v>0</v>
      </c>
      <c r="J13" s="161">
        <f t="shared" si="4"/>
        <v>0.117037037</v>
      </c>
      <c r="L13" s="153">
        <v>12.0</v>
      </c>
      <c r="M13" s="153" t="s">
        <v>526</v>
      </c>
      <c r="N13" s="165">
        <f>'PAK YUNUS'!H48</f>
        <v>2200</v>
      </c>
      <c r="O13" s="163">
        <f>N13/N30</f>
        <v>0.01072780285</v>
      </c>
      <c r="P13" s="172"/>
      <c r="Q13" s="172"/>
      <c r="R13" s="172"/>
      <c r="S13" s="172"/>
      <c r="T13" s="172"/>
      <c r="U13" s="172"/>
    </row>
    <row r="14" ht="31.5" customHeight="1">
      <c r="A14" s="155"/>
      <c r="B14" s="27"/>
      <c r="C14" s="27"/>
      <c r="D14" s="171" t="s">
        <v>25</v>
      </c>
      <c r="E14" s="159">
        <v>13500.0</v>
      </c>
      <c r="F14" s="159">
        <v>25858.0</v>
      </c>
      <c r="G14" s="160">
        <f t="shared" si="1"/>
        <v>2258</v>
      </c>
      <c r="H14" s="159">
        <f>'PENDATAAN PERUMAHAN'!$R$229</f>
        <v>28116</v>
      </c>
      <c r="I14" s="161">
        <f t="shared" si="5"/>
        <v>0.1672592593</v>
      </c>
      <c r="J14" s="161">
        <f t="shared" si="4"/>
        <v>2.082666667</v>
      </c>
      <c r="L14" s="153">
        <v>13.0</v>
      </c>
      <c r="M14" s="170" t="s">
        <v>527</v>
      </c>
      <c r="N14" s="162">
        <f>'PAK HARDI'!H32</f>
        <v>1818</v>
      </c>
      <c r="O14" s="163">
        <f>N14/N30</f>
        <v>0.008865066171</v>
      </c>
      <c r="P14" s="172"/>
      <c r="Q14" s="172"/>
      <c r="R14" s="172"/>
      <c r="S14" s="172"/>
      <c r="T14" s="172"/>
      <c r="U14" s="172"/>
    </row>
    <row r="15">
      <c r="A15" s="155"/>
      <c r="B15" s="27"/>
      <c r="C15" s="27"/>
      <c r="D15" s="158" t="s">
        <v>24</v>
      </c>
      <c r="E15" s="159">
        <v>42200.0</v>
      </c>
      <c r="F15" s="159">
        <v>2850.0</v>
      </c>
      <c r="G15" s="160">
        <f t="shared" si="1"/>
        <v>1775</v>
      </c>
      <c r="H15" s="160">
        <f>'PENDATAAN PERUMAHAN'!$Q$229</f>
        <v>4625</v>
      </c>
      <c r="I15" s="161">
        <f t="shared" si="5"/>
        <v>0.04206161137</v>
      </c>
      <c r="J15" s="161">
        <f t="shared" si="4"/>
        <v>0.1095971564</v>
      </c>
      <c r="L15" s="153">
        <v>14.0</v>
      </c>
      <c r="M15" s="153" t="s">
        <v>528</v>
      </c>
      <c r="N15" s="162">
        <f>'BU ELIZABETH'!H29</f>
        <v>2342</v>
      </c>
      <c r="O15" s="163">
        <f>N15/N30</f>
        <v>0.01142023376</v>
      </c>
      <c r="P15" s="172"/>
      <c r="Q15" s="172"/>
      <c r="R15" s="172"/>
      <c r="S15" s="172"/>
      <c r="T15" s="172"/>
      <c r="U15" s="172"/>
    </row>
    <row r="16">
      <c r="A16" s="155"/>
      <c r="B16" s="27"/>
      <c r="C16" s="27"/>
      <c r="D16" s="158" t="s">
        <v>28</v>
      </c>
      <c r="E16" s="159">
        <v>0.0</v>
      </c>
      <c r="F16" s="159">
        <v>0.0</v>
      </c>
      <c r="G16" s="160">
        <f t="shared" si="1"/>
        <v>0</v>
      </c>
      <c r="H16" s="160">
        <f>'PENDATAAN PERUMAHAN'!$T$229</f>
        <v>0</v>
      </c>
      <c r="I16" s="161" t="str">
        <f t="shared" si="5"/>
        <v>#DIV/0!</v>
      </c>
      <c r="J16" s="161">
        <f>H16/36</f>
        <v>0</v>
      </c>
      <c r="L16" s="153">
        <v>15.0</v>
      </c>
      <c r="M16" s="153" t="s">
        <v>529</v>
      </c>
      <c r="N16" s="162">
        <f>'BU VERLI'!H29</f>
        <v>1518</v>
      </c>
      <c r="O16" s="163">
        <f>N16/N30</f>
        <v>0.007402183964</v>
      </c>
      <c r="P16" s="172"/>
      <c r="Q16" s="172"/>
      <c r="R16" s="172"/>
      <c r="S16" s="172"/>
      <c r="T16" s="172"/>
      <c r="U16" s="172"/>
    </row>
    <row r="17">
      <c r="A17" s="155"/>
      <c r="B17" s="27"/>
      <c r="C17" s="27"/>
      <c r="D17" s="158" t="s">
        <v>517</v>
      </c>
      <c r="E17" s="159">
        <v>600.0</v>
      </c>
      <c r="F17" s="159">
        <v>1619.0</v>
      </c>
      <c r="G17" s="160">
        <f t="shared" si="1"/>
        <v>467</v>
      </c>
      <c r="H17" s="168">
        <v>2086.0</v>
      </c>
      <c r="I17" s="161">
        <f t="shared" si="5"/>
        <v>0.7783333333</v>
      </c>
      <c r="J17" s="161">
        <f t="shared" ref="J17:J20" si="6">H17/E17</f>
        <v>3.476666667</v>
      </c>
      <c r="L17" s="153">
        <v>16.0</v>
      </c>
      <c r="M17" s="153" t="s">
        <v>530</v>
      </c>
      <c r="N17" s="162">
        <f>'BU CHANDRA'!H31</f>
        <v>6085</v>
      </c>
      <c r="O17" s="163">
        <f>N17/N30</f>
        <v>0.02967212742</v>
      </c>
      <c r="P17" s="172"/>
      <c r="Q17" s="172"/>
      <c r="R17" s="172"/>
      <c r="S17" s="172"/>
      <c r="T17" s="172"/>
      <c r="U17" s="172"/>
    </row>
    <row r="18">
      <c r="A18" s="155"/>
      <c r="B18" s="27"/>
      <c r="C18" s="27"/>
      <c r="D18" s="158" t="s">
        <v>29</v>
      </c>
      <c r="E18" s="159">
        <v>486897.0</v>
      </c>
      <c r="F18" s="159">
        <v>1480.0</v>
      </c>
      <c r="G18" s="160">
        <f t="shared" si="1"/>
        <v>108852</v>
      </c>
      <c r="H18" s="159">
        <f>'PENDATAAN PERUMAHAN'!$U$229</f>
        <v>110332</v>
      </c>
      <c r="I18" s="161">
        <f t="shared" si="5"/>
        <v>0.2235626837</v>
      </c>
      <c r="J18" s="161">
        <f t="shared" si="6"/>
        <v>0.2266023409</v>
      </c>
      <c r="K18" s="169">
        <f>sum(H11:H19)</f>
        <v>145986</v>
      </c>
      <c r="L18" s="153">
        <v>17.0</v>
      </c>
      <c r="M18" s="153" t="s">
        <v>531</v>
      </c>
      <c r="N18" s="162">
        <f>'BU RINI'!H31</f>
        <v>1088</v>
      </c>
      <c r="O18" s="163">
        <f>N18/N30</f>
        <v>0.005305386135</v>
      </c>
      <c r="Q18" s="172"/>
      <c r="R18" s="172"/>
      <c r="S18" s="169"/>
    </row>
    <row r="19">
      <c r="A19" s="173"/>
      <c r="B19" s="40"/>
      <c r="C19" s="40"/>
      <c r="D19" s="174" t="s">
        <v>519</v>
      </c>
      <c r="E19" s="175">
        <v>200.0</v>
      </c>
      <c r="F19" s="175">
        <v>169.0</v>
      </c>
      <c r="G19" s="175">
        <f t="shared" si="1"/>
        <v>0</v>
      </c>
      <c r="H19" s="175">
        <v>169.0</v>
      </c>
      <c r="I19" s="175"/>
      <c r="J19" s="161">
        <f t="shared" si="6"/>
        <v>0.845</v>
      </c>
      <c r="K19" s="176"/>
      <c r="L19" s="153">
        <v>18.0</v>
      </c>
      <c r="M19" s="177" t="s">
        <v>532</v>
      </c>
      <c r="N19" s="178">
        <f>'BU RATNA'!H28</f>
        <v>1038</v>
      </c>
      <c r="O19" s="163">
        <f>N19/N30</f>
        <v>0.005061572434</v>
      </c>
      <c r="P19" s="176"/>
      <c r="Q19" s="179"/>
      <c r="R19" s="179"/>
      <c r="S19" s="180"/>
      <c r="T19" s="176"/>
      <c r="U19" s="176"/>
      <c r="V19" s="176"/>
      <c r="W19" s="176"/>
      <c r="X19" s="176"/>
      <c r="Y19" s="176"/>
      <c r="Z19" s="176"/>
      <c r="AA19" s="176"/>
      <c r="AB19" s="176"/>
      <c r="AC19" s="176"/>
    </row>
    <row r="20">
      <c r="A20" s="181"/>
      <c r="B20" s="182" t="s">
        <v>533</v>
      </c>
      <c r="C20" s="183"/>
      <c r="D20" s="31"/>
      <c r="E20" s="184">
        <f t="shared" ref="E20:F20" si="7">SUM(E2:E19)</f>
        <v>1000000</v>
      </c>
      <c r="F20" s="184">
        <f t="shared" si="7"/>
        <v>59273</v>
      </c>
      <c r="G20" s="185">
        <f>sum(G2:G19)</f>
        <v>119087</v>
      </c>
      <c r="H20" s="185">
        <f>SUM(H2:H19)</f>
        <v>178360</v>
      </c>
      <c r="I20" s="186">
        <f>(H20-F20)/E20</f>
        <v>0.119087</v>
      </c>
      <c r="J20" s="186">
        <f t="shared" si="6"/>
        <v>0.17836</v>
      </c>
      <c r="L20" s="153">
        <v>19.0</v>
      </c>
      <c r="M20" s="153" t="s">
        <v>534</v>
      </c>
      <c r="N20" s="165">
        <f>'PAK YOKE'!H43</f>
        <v>3773</v>
      </c>
      <c r="O20" s="163">
        <f>N20/N30</f>
        <v>0.01839818188</v>
      </c>
      <c r="Q20" s="172"/>
      <c r="R20" s="172"/>
      <c r="S20" s="169"/>
    </row>
    <row r="21">
      <c r="A21" s="155"/>
      <c r="B21" s="187"/>
      <c r="C21" s="188"/>
      <c r="D21" s="189"/>
      <c r="E21" s="159"/>
      <c r="F21" s="160"/>
      <c r="G21" s="160"/>
      <c r="H21" s="160"/>
      <c r="I21" s="161"/>
      <c r="J21" s="161"/>
      <c r="L21" s="153">
        <v>20.0</v>
      </c>
      <c r="M21" s="153" t="s">
        <v>535</v>
      </c>
      <c r="N21" s="165">
        <f>'PAK NINO'!H32</f>
        <v>1007</v>
      </c>
      <c r="O21" s="163">
        <f>N21/N30</f>
        <v>0.004910407939</v>
      </c>
    </row>
    <row r="22">
      <c r="A22" s="155"/>
      <c r="B22" s="156" t="s">
        <v>6</v>
      </c>
      <c r="C22" s="157" t="s">
        <v>8</v>
      </c>
      <c r="D22" s="158" t="s">
        <v>536</v>
      </c>
      <c r="E22" s="159">
        <v>217500.0</v>
      </c>
      <c r="F22" s="159">
        <v>92569.0</v>
      </c>
      <c r="G22" s="160">
        <f t="shared" ref="G22:G23" si="8">H22-F22</f>
        <v>53017</v>
      </c>
      <c r="H22" s="160">
        <f>'PENDATAAN PERUMAHAN'!$E$229</f>
        <v>145586</v>
      </c>
      <c r="I22" s="161">
        <f t="shared" ref="I22:I23" si="9">(H22-F22)/E22</f>
        <v>0.2437563218</v>
      </c>
      <c r="J22" s="161">
        <f t="shared" ref="J22:J23" si="10">H22/E22</f>
        <v>0.6693609195</v>
      </c>
      <c r="L22" s="153">
        <v>21.0</v>
      </c>
      <c r="M22" s="170" t="s">
        <v>537</v>
      </c>
      <c r="N22" s="162">
        <f>'Pak Lilik'!H32</f>
        <v>1066</v>
      </c>
      <c r="O22" s="163">
        <f>N22/N30</f>
        <v>0.005198108107</v>
      </c>
    </row>
    <row r="23">
      <c r="A23" s="155"/>
      <c r="B23" s="27"/>
      <c r="C23" s="27"/>
      <c r="D23" s="158" t="s">
        <v>538</v>
      </c>
      <c r="E23" s="159">
        <v>300000.0</v>
      </c>
      <c r="F23" s="159">
        <v>0.0</v>
      </c>
      <c r="G23" s="160">
        <f t="shared" si="8"/>
        <v>0</v>
      </c>
      <c r="H23" s="160">
        <f>'PENDATAAN PERUMAHAN'!$V$229</f>
        <v>0</v>
      </c>
      <c r="I23" s="161">
        <f t="shared" si="9"/>
        <v>0</v>
      </c>
      <c r="J23" s="161">
        <f t="shared" si="10"/>
        <v>0</v>
      </c>
      <c r="L23" s="153">
        <v>22.0</v>
      </c>
      <c r="M23" s="153" t="s">
        <v>539</v>
      </c>
      <c r="N23" s="162">
        <f>'PAK BASTIN'!H34</f>
        <v>1115</v>
      </c>
      <c r="O23" s="163">
        <f>N23/N30</f>
        <v>0.005437045534</v>
      </c>
    </row>
    <row r="24">
      <c r="A24" s="155"/>
      <c r="B24" s="27"/>
      <c r="C24" s="27"/>
      <c r="D24" s="158" t="s">
        <v>540</v>
      </c>
      <c r="E24" s="159">
        <v>700.0</v>
      </c>
      <c r="F24" s="159">
        <v>0.0</v>
      </c>
      <c r="G24" s="159">
        <v>0.0</v>
      </c>
      <c r="H24" s="159">
        <v>0.0</v>
      </c>
      <c r="I24" s="161"/>
      <c r="J24" s="190">
        <v>0.0</v>
      </c>
      <c r="L24" s="153"/>
      <c r="M24" s="153"/>
      <c r="N24" s="191"/>
      <c r="O24" s="163"/>
    </row>
    <row r="25" hidden="1">
      <c r="A25" s="155"/>
      <c r="B25" s="40"/>
      <c r="C25" s="40"/>
      <c r="D25" s="158" t="s">
        <v>541</v>
      </c>
      <c r="E25" s="159">
        <v>0.0</v>
      </c>
      <c r="F25" s="159">
        <v>0.0</v>
      </c>
      <c r="G25" s="160"/>
      <c r="H25" s="160">
        <f>'PENDATAAN PERUMAHAN'!W229</f>
        <v>0</v>
      </c>
      <c r="I25" s="161" t="str">
        <f t="shared" ref="I25:I27" si="11">(H25-F25)/E25</f>
        <v>#DIV/0!</v>
      </c>
      <c r="J25" s="161" t="str">
        <f t="shared" ref="J25:J27" si="12">H25/E25</f>
        <v>#DIV/0!</v>
      </c>
      <c r="L25" s="153">
        <v>23.0</v>
      </c>
      <c r="M25" s="191"/>
      <c r="N25" s="191"/>
      <c r="O25" s="163" t="str">
        <f>N25/N52</f>
        <v>#DIV/0!</v>
      </c>
    </row>
    <row r="26">
      <c r="A26" s="192"/>
      <c r="B26" s="193" t="s">
        <v>542</v>
      </c>
      <c r="C26" s="19"/>
      <c r="D26" s="20"/>
      <c r="E26" s="194">
        <f>sum(E22:E24)</f>
        <v>518200</v>
      </c>
      <c r="F26" s="195">
        <f>SUM(F22:F25)</f>
        <v>92569</v>
      </c>
      <c r="G26" s="195">
        <f t="shared" ref="G26:G27" si="13">H26-F26</f>
        <v>53017</v>
      </c>
      <c r="H26" s="195">
        <f>H22+H23+H25</f>
        <v>145586</v>
      </c>
      <c r="I26" s="186">
        <f t="shared" si="11"/>
        <v>0.102309919</v>
      </c>
      <c r="J26" s="186">
        <f t="shared" si="12"/>
        <v>0.2809455809</v>
      </c>
      <c r="L26" s="153">
        <v>24.0</v>
      </c>
      <c r="M26" s="153" t="s">
        <v>543</v>
      </c>
      <c r="N26" s="165">
        <f>'PAK FITRON'!H28</f>
        <v>1003</v>
      </c>
      <c r="O26" s="163">
        <f>N26/N30</f>
        <v>0.004890902843</v>
      </c>
    </row>
    <row r="27">
      <c r="A27" s="196"/>
      <c r="B27" s="197" t="s">
        <v>544</v>
      </c>
      <c r="C27" s="19"/>
      <c r="D27" s="20"/>
      <c r="E27" s="198">
        <f>E26+E20</f>
        <v>1518200</v>
      </c>
      <c r="F27" s="199">
        <f>F20+F26</f>
        <v>151842</v>
      </c>
      <c r="G27" s="200">
        <f t="shared" si="13"/>
        <v>172104</v>
      </c>
      <c r="H27" s="199">
        <f>H26+H20</f>
        <v>323946</v>
      </c>
      <c r="I27" s="201">
        <f t="shared" si="11"/>
        <v>0.1133605586</v>
      </c>
      <c r="J27" s="201">
        <f t="shared" si="12"/>
        <v>0.2133750494</v>
      </c>
      <c r="L27" s="153">
        <v>25.0</v>
      </c>
      <c r="M27" s="170" t="s">
        <v>545</v>
      </c>
      <c r="N27" s="162">
        <f>'PAK PULUNG'!H32</f>
        <v>631</v>
      </c>
      <c r="O27" s="163">
        <f>N27/N30</f>
        <v>0.003076928907</v>
      </c>
    </row>
    <row r="28">
      <c r="L28" s="153">
        <v>26.0</v>
      </c>
      <c r="M28" s="153" t="s">
        <v>546</v>
      </c>
      <c r="N28" s="165">
        <f>'PAK JULIAN'!H33</f>
        <v>162</v>
      </c>
      <c r="O28" s="163">
        <f>N28/N30</f>
        <v>0.0007899563915</v>
      </c>
    </row>
    <row r="29">
      <c r="H29" s="169">
        <f>H2+H3+H4+H5+H6+H7+H8+H9+H10+H22</f>
        <v>177960</v>
      </c>
      <c r="J29" s="169">
        <f>H11+H12+H13+H14+H15+H16+H17+H18+H19</f>
        <v>145986</v>
      </c>
      <c r="L29" s="191"/>
    </row>
    <row r="30">
      <c r="L30" s="191"/>
      <c r="N30" s="169">
        <f>sum(N2:N28)</f>
        <v>205074.6114</v>
      </c>
    </row>
    <row r="31">
      <c r="L31" s="191"/>
    </row>
    <row r="32" ht="37.5" customHeight="1">
      <c r="A32" s="202"/>
      <c r="B32" s="203" t="s">
        <v>547</v>
      </c>
      <c r="C32" s="203" t="s">
        <v>548</v>
      </c>
      <c r="D32" s="203" t="s">
        <v>549</v>
      </c>
      <c r="E32" s="204" t="s">
        <v>550</v>
      </c>
      <c r="F32" s="205" t="s">
        <v>551</v>
      </c>
      <c r="G32" s="19"/>
      <c r="H32" s="19"/>
      <c r="I32" s="20"/>
      <c r="L32" s="191"/>
    </row>
    <row r="33">
      <c r="A33" s="206"/>
      <c r="B33" s="207" t="s">
        <v>552</v>
      </c>
      <c r="C33" s="208" t="s">
        <v>553</v>
      </c>
      <c r="D33" s="208" t="s">
        <v>553</v>
      </c>
      <c r="E33" s="209">
        <v>1.0</v>
      </c>
      <c r="F33" s="210" t="s">
        <v>554</v>
      </c>
      <c r="G33" s="19"/>
      <c r="H33" s="19"/>
      <c r="I33" s="20"/>
      <c r="L33" s="191"/>
    </row>
    <row r="34" ht="58.5" customHeight="1">
      <c r="A34" s="206"/>
      <c r="B34" s="207" t="s">
        <v>555</v>
      </c>
      <c r="C34" s="211" t="s">
        <v>556</v>
      </c>
      <c r="D34" s="212" t="s">
        <v>557</v>
      </c>
      <c r="E34" s="213">
        <v>0.3</v>
      </c>
      <c r="F34" s="210" t="s">
        <v>1</v>
      </c>
      <c r="G34" s="19"/>
      <c r="H34" s="19"/>
      <c r="I34" s="20"/>
      <c r="L34" s="191"/>
    </row>
    <row r="35">
      <c r="A35" s="206"/>
      <c r="B35" s="207" t="s">
        <v>558</v>
      </c>
      <c r="C35" s="214" t="s">
        <v>559</v>
      </c>
      <c r="D35" s="215" t="s">
        <v>560</v>
      </c>
      <c r="E35" s="216">
        <f>14/12</f>
        <v>1.166666667</v>
      </c>
      <c r="F35" s="210" t="s">
        <v>561</v>
      </c>
      <c r="G35" s="19"/>
      <c r="H35" s="19"/>
      <c r="I35" s="20"/>
      <c r="L35" s="191"/>
    </row>
    <row r="36" ht="832.5" customHeight="1">
      <c r="A36" s="206"/>
      <c r="B36" s="217" t="s">
        <v>562</v>
      </c>
      <c r="C36" s="218" t="s">
        <v>563</v>
      </c>
      <c r="D36" s="219" t="s">
        <v>560</v>
      </c>
      <c r="E36" s="220">
        <f>14/9</f>
        <v>1.555555556</v>
      </c>
      <c r="F36" s="210" t="s">
        <v>564</v>
      </c>
      <c r="G36" s="19"/>
      <c r="H36" s="19"/>
      <c r="I36" s="20"/>
      <c r="L36" s="191"/>
    </row>
    <row r="37" ht="58.5" customHeight="1">
      <c r="A37" s="206"/>
      <c r="B37" s="217" t="s">
        <v>565</v>
      </c>
      <c r="C37" s="221" t="s">
        <v>566</v>
      </c>
      <c r="D37" s="222" t="s">
        <v>567</v>
      </c>
      <c r="E37" s="223">
        <v>0.1</v>
      </c>
      <c r="F37" s="210" t="s">
        <v>568</v>
      </c>
      <c r="G37" s="19"/>
      <c r="H37" s="19"/>
      <c r="I37" s="20"/>
      <c r="L37" s="191"/>
    </row>
    <row r="38">
      <c r="A38" s="206"/>
      <c r="B38" s="217" t="s">
        <v>569</v>
      </c>
      <c r="C38" s="224" t="s">
        <v>570</v>
      </c>
      <c r="D38" s="225" t="s">
        <v>571</v>
      </c>
      <c r="E38" s="226">
        <v>0.33</v>
      </c>
      <c r="F38" s="227" t="s">
        <v>572</v>
      </c>
      <c r="G38" s="19"/>
      <c r="H38" s="19"/>
      <c r="I38" s="20"/>
      <c r="L38" s="191"/>
    </row>
    <row r="39" ht="111.75" customHeight="1">
      <c r="A39" s="206"/>
      <c r="B39" s="207" t="s">
        <v>573</v>
      </c>
      <c r="C39" s="228" t="s">
        <v>574</v>
      </c>
      <c r="D39" s="229" t="s">
        <v>575</v>
      </c>
      <c r="E39" s="230">
        <v>0.5</v>
      </c>
      <c r="F39" s="210" t="s">
        <v>576</v>
      </c>
      <c r="G39" s="19"/>
      <c r="H39" s="19"/>
      <c r="I39" s="20"/>
      <c r="L39" s="191"/>
    </row>
    <row r="40">
      <c r="A40" s="206"/>
      <c r="B40" s="206"/>
      <c r="C40" s="231"/>
      <c r="D40" s="232"/>
      <c r="E40" s="233"/>
      <c r="F40" s="233"/>
      <c r="G40" s="233"/>
      <c r="H40" s="233"/>
      <c r="I40" s="233"/>
      <c r="L40" s="191"/>
    </row>
    <row r="41">
      <c r="B41" s="206"/>
      <c r="C41" s="231"/>
      <c r="D41" s="232"/>
      <c r="E41" s="233"/>
      <c r="F41" s="233"/>
      <c r="G41" s="233"/>
      <c r="H41" s="233"/>
      <c r="I41" s="233"/>
      <c r="L41" s="191"/>
    </row>
    <row r="42">
      <c r="A42" s="150"/>
      <c r="B42" s="151" t="s">
        <v>494</v>
      </c>
      <c r="C42" s="152" t="s">
        <v>495</v>
      </c>
      <c r="D42" s="152" t="s">
        <v>15</v>
      </c>
      <c r="E42" s="152" t="s">
        <v>496</v>
      </c>
      <c r="F42" s="152" t="s">
        <v>577</v>
      </c>
      <c r="G42" s="152"/>
      <c r="H42" s="152" t="s">
        <v>578</v>
      </c>
      <c r="I42" s="152" t="s">
        <v>500</v>
      </c>
      <c r="J42" s="152" t="s">
        <v>501</v>
      </c>
      <c r="L42" s="191"/>
    </row>
    <row r="43">
      <c r="A43" s="155"/>
      <c r="B43" s="234" t="s">
        <v>2</v>
      </c>
      <c r="C43" s="235" t="s">
        <v>505</v>
      </c>
      <c r="D43" s="236" t="s">
        <v>23</v>
      </c>
      <c r="E43" s="237">
        <v>518.0</v>
      </c>
      <c r="F43" s="237">
        <v>60.0</v>
      </c>
      <c r="G43" s="237"/>
      <c r="H43" s="237">
        <v>135.0</v>
      </c>
      <c r="I43" s="238">
        <f t="shared" ref="I43:I48" si="14">(H43-F43)/H43</f>
        <v>0.5555555556</v>
      </c>
      <c r="J43" s="238">
        <f t="shared" ref="J43:J56" si="15">H43/E43</f>
        <v>0.2606177606</v>
      </c>
      <c r="L43" s="191"/>
    </row>
    <row r="44">
      <c r="A44" s="155"/>
      <c r="B44" s="27"/>
      <c r="C44" s="40"/>
      <c r="D44" s="239" t="s">
        <v>25</v>
      </c>
      <c r="E44" s="237">
        <v>2500.0</v>
      </c>
      <c r="F44" s="237">
        <v>3205.0</v>
      </c>
      <c r="G44" s="237"/>
      <c r="H44" s="237">
        <v>4668.0</v>
      </c>
      <c r="I44" s="238">
        <f t="shared" si="14"/>
        <v>0.3134104542</v>
      </c>
      <c r="J44" s="238">
        <f t="shared" si="15"/>
        <v>1.8672</v>
      </c>
      <c r="L44" s="191"/>
    </row>
    <row r="45">
      <c r="A45" s="155"/>
      <c r="B45" s="27"/>
      <c r="C45" s="235" t="s">
        <v>13</v>
      </c>
      <c r="D45" s="239" t="s">
        <v>512</v>
      </c>
      <c r="E45" s="237">
        <v>160000.0</v>
      </c>
      <c r="F45" s="237">
        <v>7570.0</v>
      </c>
      <c r="G45" s="237"/>
      <c r="H45" s="237">
        <v>8815.0</v>
      </c>
      <c r="I45" s="238">
        <f t="shared" si="14"/>
        <v>0.1412365286</v>
      </c>
      <c r="J45" s="238">
        <f t="shared" si="15"/>
        <v>0.05509375</v>
      </c>
      <c r="L45" s="191"/>
    </row>
    <row r="46">
      <c r="A46" s="155"/>
      <c r="B46" s="27"/>
      <c r="C46" s="40"/>
      <c r="D46" s="239" t="s">
        <v>514</v>
      </c>
      <c r="E46" s="237">
        <v>80000.0</v>
      </c>
      <c r="F46" s="237">
        <v>258.0</v>
      </c>
      <c r="G46" s="237"/>
      <c r="H46" s="237">
        <v>346.0</v>
      </c>
      <c r="I46" s="238">
        <f t="shared" si="14"/>
        <v>0.2543352601</v>
      </c>
      <c r="J46" s="238">
        <f t="shared" si="15"/>
        <v>0.004325</v>
      </c>
      <c r="L46" s="191"/>
    </row>
    <row r="47">
      <c r="A47" s="155"/>
      <c r="B47" s="27"/>
      <c r="C47" s="235" t="s">
        <v>14</v>
      </c>
      <c r="D47" s="236" t="s">
        <v>21</v>
      </c>
      <c r="E47" s="237">
        <v>197500.0</v>
      </c>
      <c r="F47" s="237">
        <v>6072.0</v>
      </c>
      <c r="G47" s="237"/>
      <c r="H47" s="237">
        <v>6514.0</v>
      </c>
      <c r="I47" s="238">
        <f t="shared" si="14"/>
        <v>0.06785385324</v>
      </c>
      <c r="J47" s="238">
        <f t="shared" si="15"/>
        <v>0.03298227848</v>
      </c>
      <c r="L47" s="191"/>
    </row>
    <row r="48">
      <c r="A48" s="155"/>
      <c r="B48" s="40"/>
      <c r="C48" s="40"/>
      <c r="D48" s="236" t="s">
        <v>517</v>
      </c>
      <c r="E48" s="240">
        <v>200.0</v>
      </c>
      <c r="F48" s="240">
        <v>204.0</v>
      </c>
      <c r="G48" s="240"/>
      <c r="H48" s="237">
        <v>397.0</v>
      </c>
      <c r="I48" s="238">
        <f t="shared" si="14"/>
        <v>0.4861460957</v>
      </c>
      <c r="J48" s="238">
        <f t="shared" si="15"/>
        <v>1.985</v>
      </c>
      <c r="L48" s="191"/>
    </row>
    <row r="49">
      <c r="A49" s="155"/>
      <c r="B49" s="234" t="s">
        <v>521</v>
      </c>
      <c r="C49" s="235" t="s">
        <v>522</v>
      </c>
      <c r="D49" s="241" t="s">
        <v>23</v>
      </c>
      <c r="E49" s="237">
        <v>15110.0</v>
      </c>
      <c r="F49" s="240">
        <v>319.0</v>
      </c>
      <c r="G49" s="240"/>
      <c r="H49" s="237">
        <v>0.0</v>
      </c>
      <c r="I49" s="242">
        <f>(H49-F49)/E49</f>
        <v>-0.02111184646</v>
      </c>
      <c r="J49" s="238">
        <f t="shared" si="15"/>
        <v>0</v>
      </c>
      <c r="L49" s="191"/>
    </row>
    <row r="50">
      <c r="A50" s="155"/>
      <c r="B50" s="27"/>
      <c r="C50" s="27"/>
      <c r="D50" s="241" t="s">
        <v>27</v>
      </c>
      <c r="E50" s="237">
        <v>13500.0</v>
      </c>
      <c r="F50" s="237">
        <v>21720.0</v>
      </c>
      <c r="G50" s="237"/>
      <c r="H50" s="237">
        <v>22949.0</v>
      </c>
      <c r="I50" s="238">
        <f>(H50-F50)/H50</f>
        <v>0.05355353174</v>
      </c>
      <c r="J50" s="238">
        <f t="shared" si="15"/>
        <v>1.699925926</v>
      </c>
      <c r="L50" s="191"/>
    </row>
    <row r="51">
      <c r="A51" s="155"/>
      <c r="B51" s="27"/>
      <c r="C51" s="27"/>
      <c r="D51" s="241" t="s">
        <v>525</v>
      </c>
      <c r="E51" s="237">
        <v>675.0</v>
      </c>
      <c r="F51" s="237">
        <v>0.0</v>
      </c>
      <c r="G51" s="237"/>
      <c r="H51" s="237">
        <v>0.0</v>
      </c>
      <c r="I51" s="243">
        <v>0.0</v>
      </c>
      <c r="J51" s="238">
        <f t="shared" si="15"/>
        <v>0</v>
      </c>
      <c r="L51" s="191"/>
    </row>
    <row r="52">
      <c r="A52" s="155"/>
      <c r="B52" s="27"/>
      <c r="C52" s="27"/>
      <c r="D52" s="236" t="s">
        <v>24</v>
      </c>
      <c r="E52" s="237">
        <v>42200.0</v>
      </c>
      <c r="F52" s="237">
        <v>939.0</v>
      </c>
      <c r="G52" s="237"/>
      <c r="H52" s="237">
        <v>2073.0</v>
      </c>
      <c r="I52" s="238">
        <f t="shared" ref="I52:I55" si="16">(H52-F52)/H52</f>
        <v>0.5470332851</v>
      </c>
      <c r="J52" s="238">
        <f t="shared" si="15"/>
        <v>0.04912322275</v>
      </c>
      <c r="L52" s="191"/>
    </row>
    <row r="53">
      <c r="A53" s="155"/>
      <c r="B53" s="27"/>
      <c r="C53" s="27"/>
      <c r="D53" s="236" t="s">
        <v>508</v>
      </c>
      <c r="E53" s="237">
        <v>100.0</v>
      </c>
      <c r="F53" s="237">
        <v>518.0</v>
      </c>
      <c r="G53" s="237"/>
      <c r="H53" s="237">
        <v>848.0</v>
      </c>
      <c r="I53" s="238">
        <f t="shared" si="16"/>
        <v>0.3891509434</v>
      </c>
      <c r="J53" s="238">
        <f t="shared" si="15"/>
        <v>8.48</v>
      </c>
      <c r="L53" s="191"/>
    </row>
    <row r="54">
      <c r="A54" s="155"/>
      <c r="B54" s="27"/>
      <c r="C54" s="27"/>
      <c r="D54" s="236" t="s">
        <v>517</v>
      </c>
      <c r="E54" s="237">
        <v>800.0</v>
      </c>
      <c r="F54" s="237">
        <v>1267.0</v>
      </c>
      <c r="G54" s="237"/>
      <c r="H54" s="237">
        <v>1901.0</v>
      </c>
      <c r="I54" s="238">
        <f t="shared" si="16"/>
        <v>0.3335086796</v>
      </c>
      <c r="J54" s="238">
        <f t="shared" si="15"/>
        <v>2.37625</v>
      </c>
      <c r="L54" s="191"/>
    </row>
    <row r="55">
      <c r="A55" s="155"/>
      <c r="B55" s="40"/>
      <c r="C55" s="40"/>
      <c r="D55" s="236" t="s">
        <v>29</v>
      </c>
      <c r="E55" s="237">
        <v>486897.0</v>
      </c>
      <c r="F55" s="237">
        <v>599.0</v>
      </c>
      <c r="G55" s="237"/>
      <c r="H55" s="237">
        <v>971.0</v>
      </c>
      <c r="I55" s="238">
        <f t="shared" si="16"/>
        <v>0.3831101957</v>
      </c>
      <c r="J55" s="238">
        <f t="shared" si="15"/>
        <v>0.00199426162</v>
      </c>
      <c r="L55" s="191"/>
    </row>
    <row r="56">
      <c r="A56" s="181"/>
      <c r="B56" s="182" t="s">
        <v>533</v>
      </c>
      <c r="C56" s="183"/>
      <c r="D56" s="31"/>
      <c r="E56" s="184">
        <f t="shared" ref="E56:F56" si="17">SUM(E43:E55)</f>
        <v>1000000</v>
      </c>
      <c r="F56" s="184">
        <f t="shared" si="17"/>
        <v>42731</v>
      </c>
      <c r="G56" s="185"/>
      <c r="H56" s="185">
        <f>SUM(H43:H55)</f>
        <v>49617</v>
      </c>
      <c r="I56" s="186">
        <f>(H56-F56)/E56</f>
        <v>0.006886</v>
      </c>
      <c r="J56" s="186">
        <f t="shared" si="15"/>
        <v>0.049617</v>
      </c>
      <c r="L56" s="191"/>
    </row>
    <row r="57">
      <c r="A57" s="155"/>
      <c r="B57" s="244"/>
      <c r="C57" s="245"/>
      <c r="D57" s="246"/>
      <c r="E57" s="237"/>
      <c r="F57" s="247"/>
      <c r="G57" s="247"/>
      <c r="H57" s="247"/>
      <c r="I57" s="238"/>
      <c r="J57" s="238"/>
      <c r="L57" s="191"/>
    </row>
    <row r="58">
      <c r="A58" s="155"/>
      <c r="B58" s="234" t="s">
        <v>6</v>
      </c>
      <c r="C58" s="235" t="s">
        <v>8</v>
      </c>
      <c r="D58" s="236" t="s">
        <v>536</v>
      </c>
      <c r="E58" s="237">
        <v>217500.0</v>
      </c>
      <c r="F58" s="237">
        <v>65888.0</v>
      </c>
      <c r="G58" s="237"/>
      <c r="H58" s="237">
        <v>65191.0</v>
      </c>
      <c r="I58" s="242">
        <f t="shared" ref="I58:I62" si="18">(H58-F58)/E58</f>
        <v>-0.003204597701</v>
      </c>
      <c r="J58" s="238">
        <f t="shared" ref="J58:J62" si="19">H58/E58</f>
        <v>0.2997287356</v>
      </c>
      <c r="L58" s="191"/>
    </row>
    <row r="59">
      <c r="A59" s="155"/>
      <c r="B59" s="27"/>
      <c r="C59" s="27"/>
      <c r="D59" s="236" t="s">
        <v>538</v>
      </c>
      <c r="E59" s="237">
        <v>300000.0</v>
      </c>
      <c r="F59" s="237">
        <v>0.0</v>
      </c>
      <c r="G59" s="237"/>
      <c r="H59" s="237">
        <v>0.0</v>
      </c>
      <c r="I59" s="238">
        <f t="shared" si="18"/>
        <v>0</v>
      </c>
      <c r="J59" s="238">
        <f t="shared" si="19"/>
        <v>0</v>
      </c>
      <c r="L59" s="191"/>
    </row>
    <row r="60">
      <c r="A60" s="155"/>
      <c r="B60" s="40"/>
      <c r="C60" s="40"/>
      <c r="D60" s="236" t="s">
        <v>541</v>
      </c>
      <c r="E60" s="237">
        <v>700.0</v>
      </c>
      <c r="F60" s="237">
        <v>0.0</v>
      </c>
      <c r="G60" s="237"/>
      <c r="H60" s="237">
        <v>0.0</v>
      </c>
      <c r="I60" s="238">
        <f t="shared" si="18"/>
        <v>0</v>
      </c>
      <c r="J60" s="238">
        <f t="shared" si="19"/>
        <v>0</v>
      </c>
      <c r="L60" s="191"/>
    </row>
    <row r="61">
      <c r="A61" s="192"/>
      <c r="B61" s="193" t="s">
        <v>542</v>
      </c>
      <c r="C61" s="19"/>
      <c r="D61" s="20"/>
      <c r="E61" s="194">
        <f>E58+E59+E60</f>
        <v>518200</v>
      </c>
      <c r="F61" s="195">
        <f>SUM(F58:F60)</f>
        <v>65888</v>
      </c>
      <c r="G61" s="195"/>
      <c r="H61" s="195">
        <f>H58+H59+H60</f>
        <v>65191</v>
      </c>
      <c r="I61" s="186">
        <f t="shared" si="18"/>
        <v>-0.001345040525</v>
      </c>
      <c r="J61" s="186">
        <f t="shared" si="19"/>
        <v>0.1258027788</v>
      </c>
      <c r="L61" s="191"/>
    </row>
    <row r="62">
      <c r="A62" s="196"/>
      <c r="B62" s="197" t="s">
        <v>544</v>
      </c>
      <c r="C62" s="19"/>
      <c r="D62" s="20"/>
      <c r="E62" s="198">
        <f>E61+E56</f>
        <v>1518200</v>
      </c>
      <c r="F62" s="199">
        <f>F56+F61</f>
        <v>108619</v>
      </c>
      <c r="G62" s="199"/>
      <c r="H62" s="199">
        <f>H61+H56</f>
        <v>114808</v>
      </c>
      <c r="I62" s="201">
        <f t="shared" si="18"/>
        <v>0.004076538006</v>
      </c>
      <c r="J62" s="201">
        <f t="shared" si="19"/>
        <v>0.07562113029</v>
      </c>
      <c r="L62" s="191"/>
    </row>
    <row r="63">
      <c r="L63" s="191"/>
    </row>
    <row r="64">
      <c r="L64" s="191"/>
    </row>
    <row r="65">
      <c r="B65" s="151" t="s">
        <v>494</v>
      </c>
      <c r="C65" s="152" t="s">
        <v>495</v>
      </c>
      <c r="D65" s="152" t="s">
        <v>15</v>
      </c>
      <c r="E65" s="152" t="s">
        <v>496</v>
      </c>
      <c r="F65" s="152" t="s">
        <v>497</v>
      </c>
      <c r="G65" s="152" t="s">
        <v>498</v>
      </c>
      <c r="H65" s="152" t="s">
        <v>499</v>
      </c>
      <c r="I65" s="152" t="s">
        <v>500</v>
      </c>
      <c r="J65" s="152" t="s">
        <v>501</v>
      </c>
      <c r="L65" s="191"/>
    </row>
    <row r="66">
      <c r="B66" s="156" t="s">
        <v>2</v>
      </c>
      <c r="C66" s="157" t="s">
        <v>505</v>
      </c>
      <c r="D66" s="158" t="s">
        <v>506</v>
      </c>
      <c r="E66" s="159">
        <v>518.0</v>
      </c>
      <c r="F66" s="159">
        <v>0.0</v>
      </c>
      <c r="G66" s="160">
        <f t="shared" ref="G66:G83" si="20">H66-F66</f>
        <v>25</v>
      </c>
      <c r="H66" s="160">
        <f>'PENDATAAN PERUMAHAN'!J229</f>
        <v>25</v>
      </c>
      <c r="I66" s="161">
        <f>(H66-F66)/E66</f>
        <v>0.04826254826</v>
      </c>
      <c r="J66" s="161">
        <f t="shared" ref="J66:J67" si="21">H66/$E$2</f>
        <v>0.04826254826</v>
      </c>
      <c r="L66" s="191"/>
    </row>
    <row r="67">
      <c r="B67" s="27"/>
      <c r="C67" s="27"/>
      <c r="D67" s="164" t="s">
        <v>508</v>
      </c>
      <c r="E67" s="159">
        <v>0.0</v>
      </c>
      <c r="F67" s="159">
        <v>138.0</v>
      </c>
      <c r="G67" s="160">
        <f t="shared" si="20"/>
        <v>0</v>
      </c>
      <c r="H67" s="159">
        <v>138.0</v>
      </c>
      <c r="I67" s="161"/>
      <c r="J67" s="161">
        <f t="shared" si="21"/>
        <v>0.2664092664</v>
      </c>
      <c r="L67" s="191"/>
    </row>
    <row r="68">
      <c r="B68" s="27"/>
      <c r="C68" s="27"/>
      <c r="D68" s="164" t="s">
        <v>25</v>
      </c>
      <c r="E68" s="166">
        <v>2500.0</v>
      </c>
      <c r="F68" s="159">
        <v>3563.0</v>
      </c>
      <c r="G68" s="160">
        <f t="shared" si="20"/>
        <v>1464</v>
      </c>
      <c r="H68" s="160">
        <f>'PENDATAAN PERUMAHAN'!M229</f>
        <v>5027</v>
      </c>
      <c r="I68" s="161">
        <f>(H68-F68)/E68</f>
        <v>0.5856</v>
      </c>
      <c r="J68" s="161">
        <f>H68/E68</f>
        <v>2.0108</v>
      </c>
      <c r="L68" s="191"/>
    </row>
    <row r="69">
      <c r="B69" s="27"/>
      <c r="C69" s="40"/>
      <c r="D69" s="164" t="s">
        <v>24</v>
      </c>
      <c r="E69" s="40"/>
      <c r="F69" s="159">
        <v>407.0</v>
      </c>
      <c r="G69" s="160">
        <f t="shared" si="20"/>
        <v>589</v>
      </c>
      <c r="H69" s="160">
        <f>'PENDATAAN PERUMAHAN'!L229</f>
        <v>996</v>
      </c>
      <c r="I69" s="161"/>
      <c r="J69" s="161"/>
      <c r="L69" s="191"/>
    </row>
    <row r="70">
      <c r="B70" s="27"/>
      <c r="C70" s="157" t="s">
        <v>13</v>
      </c>
      <c r="D70" s="164" t="s">
        <v>512</v>
      </c>
      <c r="E70" s="159">
        <v>160000.0</v>
      </c>
      <c r="F70" s="159">
        <v>11206.0</v>
      </c>
      <c r="G70" s="160">
        <f t="shared" si="20"/>
        <v>4833</v>
      </c>
      <c r="H70" s="160">
        <f>'PENDATAAN PERUMAHAN'!F229</f>
        <v>16039</v>
      </c>
      <c r="I70" s="161">
        <f t="shared" ref="I70:I73" si="22">(H70-F70)/E70</f>
        <v>0.03020625</v>
      </c>
      <c r="J70" s="161">
        <f t="shared" ref="J70:J79" si="23">H70/E70</f>
        <v>0.10024375</v>
      </c>
      <c r="L70" s="191"/>
    </row>
    <row r="71">
      <c r="B71" s="27"/>
      <c r="C71" s="40"/>
      <c r="D71" s="164" t="s">
        <v>514</v>
      </c>
      <c r="E71" s="159">
        <v>80000.0</v>
      </c>
      <c r="F71" s="159">
        <v>98.0</v>
      </c>
      <c r="G71" s="160">
        <f t="shared" si="20"/>
        <v>79</v>
      </c>
      <c r="H71" s="159">
        <f>'PENDATAAN PERUMAHAN'!G229</f>
        <v>177</v>
      </c>
      <c r="I71" s="161">
        <f t="shared" si="22"/>
        <v>0.0009875</v>
      </c>
      <c r="J71" s="161">
        <f t="shared" si="23"/>
        <v>0.0022125</v>
      </c>
      <c r="L71" s="191"/>
    </row>
    <row r="72">
      <c r="B72" s="27"/>
      <c r="C72" s="157" t="s">
        <v>14</v>
      </c>
      <c r="D72" s="158" t="s">
        <v>21</v>
      </c>
      <c r="E72" s="159">
        <v>197500.0</v>
      </c>
      <c r="F72" s="159">
        <v>6706.0</v>
      </c>
      <c r="G72" s="160">
        <f t="shared" si="20"/>
        <v>2738</v>
      </c>
      <c r="H72" s="160">
        <f>'PENDATAAN PERUMAHAN'!H229</f>
        <v>9444</v>
      </c>
      <c r="I72" s="161">
        <f t="shared" si="22"/>
        <v>0.01386329114</v>
      </c>
      <c r="J72" s="161">
        <f t="shared" si="23"/>
        <v>0.04781772152</v>
      </c>
      <c r="L72" s="191"/>
    </row>
    <row r="73">
      <c r="B73" s="27"/>
      <c r="C73" s="27"/>
      <c r="D73" s="158" t="s">
        <v>517</v>
      </c>
      <c r="E73" s="166">
        <v>850.0</v>
      </c>
      <c r="F73" s="166">
        <v>291.0</v>
      </c>
      <c r="G73" s="160">
        <f t="shared" si="20"/>
        <v>0</v>
      </c>
      <c r="H73" s="159">
        <v>291.0</v>
      </c>
      <c r="I73" s="161">
        <f t="shared" si="22"/>
        <v>0</v>
      </c>
      <c r="J73" s="161">
        <f t="shared" si="23"/>
        <v>0.3423529412</v>
      </c>
      <c r="L73" s="191"/>
    </row>
    <row r="74">
      <c r="B74" s="40"/>
      <c r="C74" s="40"/>
      <c r="D74" s="171" t="s">
        <v>519</v>
      </c>
      <c r="E74" s="166">
        <v>50.0</v>
      </c>
      <c r="F74" s="166">
        <v>16.0</v>
      </c>
      <c r="G74" s="160">
        <f t="shared" si="20"/>
        <v>0</v>
      </c>
      <c r="H74" s="159">
        <v>16.0</v>
      </c>
      <c r="I74" s="161"/>
      <c r="J74" s="161">
        <f t="shared" si="23"/>
        <v>0.32</v>
      </c>
      <c r="K74" s="169">
        <f>sum(H66:H74)</f>
        <v>32153</v>
      </c>
      <c r="L74" s="191"/>
    </row>
    <row r="75">
      <c r="B75" s="156" t="s">
        <v>521</v>
      </c>
      <c r="C75" s="157" t="s">
        <v>522</v>
      </c>
      <c r="D75" s="171" t="s">
        <v>506</v>
      </c>
      <c r="E75" s="159">
        <v>15110.0</v>
      </c>
      <c r="F75" s="166">
        <v>0.0</v>
      </c>
      <c r="G75" s="160">
        <f t="shared" si="20"/>
        <v>0</v>
      </c>
      <c r="H75" s="160">
        <f>'PENDATAAN PERUMAHAN'!N229</f>
        <v>0</v>
      </c>
      <c r="I75" s="161">
        <f>(H75-F75)/E75</f>
        <v>0</v>
      </c>
      <c r="J75" s="161">
        <f t="shared" si="23"/>
        <v>0</v>
      </c>
      <c r="K75" s="169">
        <f>K74+H86</f>
        <v>103404</v>
      </c>
      <c r="L75" s="191"/>
    </row>
    <row r="76">
      <c r="B76" s="27"/>
      <c r="C76" s="27"/>
      <c r="D76" s="171" t="s">
        <v>508</v>
      </c>
      <c r="E76" s="159">
        <v>100.0</v>
      </c>
      <c r="F76" s="166">
        <v>594.0</v>
      </c>
      <c r="G76" s="160">
        <f t="shared" si="20"/>
        <v>-15</v>
      </c>
      <c r="H76" s="160">
        <f>'PENDATAAN PERUMAHAN'!O229</f>
        <v>579</v>
      </c>
      <c r="I76" s="161"/>
      <c r="J76" s="161">
        <f t="shared" si="23"/>
        <v>5.79</v>
      </c>
      <c r="L76" s="191"/>
    </row>
    <row r="77">
      <c r="B77" s="27"/>
      <c r="C77" s="27"/>
      <c r="D77" s="171" t="s">
        <v>525</v>
      </c>
      <c r="E77" s="159">
        <v>675.0</v>
      </c>
      <c r="F77" s="159">
        <v>0.0</v>
      </c>
      <c r="G77" s="160">
        <f t="shared" si="20"/>
        <v>79</v>
      </c>
      <c r="H77" s="160">
        <f>'PENDATAAN PERUMAHAN'!P229</f>
        <v>79</v>
      </c>
      <c r="I77" s="161">
        <f t="shared" ref="I77:I82" si="24">(H77-F77)/E77</f>
        <v>0.117037037</v>
      </c>
      <c r="J77" s="161">
        <f t="shared" si="23"/>
        <v>0.117037037</v>
      </c>
      <c r="L77" s="191"/>
    </row>
    <row r="78">
      <c r="B78" s="27"/>
      <c r="C78" s="27"/>
      <c r="D78" s="171" t="s">
        <v>25</v>
      </c>
      <c r="E78" s="159">
        <v>13500.0</v>
      </c>
      <c r="F78" s="159">
        <v>24219.0</v>
      </c>
      <c r="G78" s="160">
        <f t="shared" si="20"/>
        <v>3897</v>
      </c>
      <c r="H78" s="159">
        <f>'PENDATAAN PERUMAHAN'!R229</f>
        <v>28116</v>
      </c>
      <c r="I78" s="161">
        <f t="shared" si="24"/>
        <v>0.2886666667</v>
      </c>
      <c r="J78" s="161">
        <f t="shared" si="23"/>
        <v>2.082666667</v>
      </c>
      <c r="L78" s="191"/>
    </row>
    <row r="79">
      <c r="B79" s="27"/>
      <c r="C79" s="27"/>
      <c r="D79" s="158" t="s">
        <v>24</v>
      </c>
      <c r="E79" s="159">
        <v>42200.0</v>
      </c>
      <c r="F79" s="159">
        <v>2272.0</v>
      </c>
      <c r="G79" s="160">
        <f t="shared" si="20"/>
        <v>2353</v>
      </c>
      <c r="H79" s="160">
        <f>'PENDATAAN PERUMAHAN'!Q229</f>
        <v>4625</v>
      </c>
      <c r="I79" s="161">
        <f t="shared" si="24"/>
        <v>0.05575829384</v>
      </c>
      <c r="J79" s="161">
        <f t="shared" si="23"/>
        <v>0.1095971564</v>
      </c>
      <c r="L79" s="191"/>
    </row>
    <row r="80">
      <c r="B80" s="27"/>
      <c r="C80" s="27"/>
      <c r="D80" s="158" t="s">
        <v>28</v>
      </c>
      <c r="E80" s="159">
        <v>0.0</v>
      </c>
      <c r="F80" s="159">
        <v>0.0</v>
      </c>
      <c r="G80" s="160">
        <f t="shared" si="20"/>
        <v>0</v>
      </c>
      <c r="H80" s="160">
        <f>'PENDATAAN PERUMAHAN'!T229</f>
        <v>0</v>
      </c>
      <c r="I80" s="161" t="str">
        <f t="shared" si="24"/>
        <v>#DIV/0!</v>
      </c>
      <c r="J80" s="161">
        <f>H80/36</f>
        <v>0</v>
      </c>
      <c r="L80" s="191"/>
    </row>
    <row r="81">
      <c r="B81" s="27"/>
      <c r="C81" s="27"/>
      <c r="D81" s="158" t="s">
        <v>517</v>
      </c>
      <c r="E81" s="159">
        <v>600.0</v>
      </c>
      <c r="F81" s="159">
        <v>1517.0</v>
      </c>
      <c r="G81" s="160">
        <f t="shared" si="20"/>
        <v>0</v>
      </c>
      <c r="H81" s="159">
        <v>1517.0</v>
      </c>
      <c r="I81" s="161">
        <f t="shared" si="24"/>
        <v>0</v>
      </c>
      <c r="J81" s="161">
        <f t="shared" ref="J81:J84" si="25">H81/E81</f>
        <v>2.528333333</v>
      </c>
      <c r="L81" s="191"/>
    </row>
    <row r="82">
      <c r="B82" s="27"/>
      <c r="C82" s="27"/>
      <c r="D82" s="158" t="s">
        <v>29</v>
      </c>
      <c r="E82" s="159">
        <v>486897.0</v>
      </c>
      <c r="F82" s="159">
        <v>1105.0</v>
      </c>
      <c r="G82" s="160">
        <f t="shared" si="20"/>
        <v>109227</v>
      </c>
      <c r="H82" s="159">
        <f>'PENDATAAN PERUMAHAN'!U229</f>
        <v>110332</v>
      </c>
      <c r="I82" s="161">
        <f t="shared" si="24"/>
        <v>0.2243328671</v>
      </c>
      <c r="J82" s="161">
        <f t="shared" si="25"/>
        <v>0.2266023409</v>
      </c>
      <c r="L82" s="191"/>
    </row>
    <row r="83">
      <c r="B83" s="40"/>
      <c r="C83" s="40"/>
      <c r="D83" s="174" t="s">
        <v>519</v>
      </c>
      <c r="E83" s="175">
        <v>200.0</v>
      </c>
      <c r="F83" s="175">
        <v>169.0</v>
      </c>
      <c r="G83" s="175">
        <f t="shared" si="20"/>
        <v>0</v>
      </c>
      <c r="H83" s="175">
        <v>169.0</v>
      </c>
      <c r="I83" s="175"/>
      <c r="J83" s="161">
        <f t="shared" si="25"/>
        <v>0.845</v>
      </c>
      <c r="K83" s="169">
        <f>sum(H75:H83)</f>
        <v>145417</v>
      </c>
      <c r="L83" s="191"/>
    </row>
    <row r="84">
      <c r="B84" s="182" t="s">
        <v>533</v>
      </c>
      <c r="C84" s="183"/>
      <c r="D84" s="31"/>
      <c r="E84" s="184">
        <f t="shared" ref="E84:F84" si="26">SUM(E66:E83)</f>
        <v>1000700</v>
      </c>
      <c r="F84" s="184">
        <f t="shared" si="26"/>
        <v>52301</v>
      </c>
      <c r="G84" s="185"/>
      <c r="H84" s="185">
        <f>SUM(H66:H83)</f>
        <v>177570</v>
      </c>
      <c r="I84" s="186">
        <f>(H84-F84)/E84</f>
        <v>0.125181373</v>
      </c>
      <c r="J84" s="186">
        <f t="shared" si="25"/>
        <v>0.1774457879</v>
      </c>
      <c r="L84" s="191"/>
    </row>
    <row r="85">
      <c r="B85" s="187"/>
      <c r="C85" s="188"/>
      <c r="D85" s="189"/>
      <c r="E85" s="159"/>
      <c r="F85" s="160"/>
      <c r="G85" s="160"/>
      <c r="H85" s="160"/>
      <c r="I85" s="161"/>
      <c r="J85" s="161"/>
      <c r="L85" s="191"/>
    </row>
    <row r="86">
      <c r="B86" s="156" t="s">
        <v>6</v>
      </c>
      <c r="C86" s="157" t="s">
        <v>8</v>
      </c>
      <c r="D86" s="158" t="s">
        <v>536</v>
      </c>
      <c r="E86" s="159">
        <v>217500.0</v>
      </c>
      <c r="F86" s="159">
        <v>67791.0</v>
      </c>
      <c r="G86" s="160">
        <f t="shared" ref="G86:G87" si="27">H86-F86</f>
        <v>3460</v>
      </c>
      <c r="H86" s="159">
        <v>71251.0</v>
      </c>
      <c r="I86" s="161">
        <f t="shared" ref="I86:I90" si="28">(H86-F86)/E86</f>
        <v>0.01590804598</v>
      </c>
      <c r="J86" s="161">
        <f t="shared" ref="J86:J87" si="29">H86/E86</f>
        <v>0.3275908046</v>
      </c>
      <c r="K86" s="248" t="s">
        <v>579</v>
      </c>
      <c r="L86" s="191"/>
    </row>
    <row r="87">
      <c r="B87" s="27"/>
      <c r="C87" s="27"/>
      <c r="D87" s="158" t="s">
        <v>538</v>
      </c>
      <c r="E87" s="159">
        <v>300000.0</v>
      </c>
      <c r="F87" s="159">
        <v>0.0</v>
      </c>
      <c r="G87" s="160">
        <f t="shared" si="27"/>
        <v>0</v>
      </c>
      <c r="H87" s="159">
        <v>0.0</v>
      </c>
      <c r="I87" s="161">
        <f t="shared" si="28"/>
        <v>0</v>
      </c>
      <c r="J87" s="161">
        <f t="shared" si="29"/>
        <v>0</v>
      </c>
      <c r="L87" s="191"/>
    </row>
    <row r="88">
      <c r="B88" s="40"/>
      <c r="C88" s="40"/>
      <c r="D88" s="158" t="s">
        <v>541</v>
      </c>
      <c r="E88" s="159">
        <v>0.0</v>
      </c>
      <c r="F88" s="159">
        <v>0.0</v>
      </c>
      <c r="G88" s="159">
        <v>0.0</v>
      </c>
      <c r="H88" s="159">
        <v>0.0</v>
      </c>
      <c r="I88" s="161" t="str">
        <f t="shared" si="28"/>
        <v>#DIV/0!</v>
      </c>
      <c r="J88" s="190">
        <v>0.0</v>
      </c>
      <c r="L88" s="191"/>
    </row>
    <row r="89">
      <c r="B89" s="193" t="s">
        <v>542</v>
      </c>
      <c r="C89" s="19"/>
      <c r="D89" s="20"/>
      <c r="E89" s="194">
        <f>E86+E87+E88</f>
        <v>517500</v>
      </c>
      <c r="F89" s="195">
        <f>SUM(F86:F88)</f>
        <v>67791</v>
      </c>
      <c r="G89" s="195">
        <f t="shared" ref="G89:G90" si="30">H89-F89</f>
        <v>3460</v>
      </c>
      <c r="H89" s="195">
        <f>H86+H87+H88</f>
        <v>71251</v>
      </c>
      <c r="I89" s="186">
        <f t="shared" si="28"/>
        <v>0.006685990338</v>
      </c>
      <c r="J89" s="186">
        <f t="shared" ref="J89:J90" si="31">H89/E89</f>
        <v>0.1376830918</v>
      </c>
      <c r="L89" s="191"/>
    </row>
    <row r="90">
      <c r="B90" s="197" t="s">
        <v>544</v>
      </c>
      <c r="C90" s="19"/>
      <c r="D90" s="20"/>
      <c r="E90" s="198">
        <f>E89+E84</f>
        <v>1518200</v>
      </c>
      <c r="F90" s="199">
        <f>F84+F89</f>
        <v>120092</v>
      </c>
      <c r="G90" s="200">
        <f t="shared" si="30"/>
        <v>128729</v>
      </c>
      <c r="H90" s="199">
        <f>H89+H84</f>
        <v>248821</v>
      </c>
      <c r="I90" s="201">
        <f t="shared" si="28"/>
        <v>0.08479054143</v>
      </c>
      <c r="J90" s="201">
        <f t="shared" si="31"/>
        <v>0.1638921091</v>
      </c>
      <c r="L90" s="191"/>
    </row>
    <row r="91">
      <c r="L91" s="191"/>
    </row>
    <row r="92">
      <c r="L92" s="191"/>
    </row>
    <row r="93">
      <c r="B93" s="151" t="s">
        <v>494</v>
      </c>
      <c r="C93" s="152" t="s">
        <v>495</v>
      </c>
      <c r="D93" s="152" t="s">
        <v>15</v>
      </c>
      <c r="E93" s="152" t="s">
        <v>496</v>
      </c>
      <c r="F93" s="152" t="s">
        <v>497</v>
      </c>
      <c r="G93" s="152" t="s">
        <v>498</v>
      </c>
      <c r="H93" s="152" t="s">
        <v>499</v>
      </c>
      <c r="I93" s="152" t="s">
        <v>500</v>
      </c>
      <c r="J93" s="152" t="s">
        <v>501</v>
      </c>
      <c r="L93" s="191"/>
    </row>
    <row r="94">
      <c r="B94" s="156" t="s">
        <v>2</v>
      </c>
      <c r="C94" s="157" t="s">
        <v>505</v>
      </c>
      <c r="D94" s="158" t="s">
        <v>506</v>
      </c>
      <c r="E94" s="159">
        <v>518.0</v>
      </c>
      <c r="F94" s="159">
        <v>0.0</v>
      </c>
      <c r="G94" s="160">
        <f t="shared" ref="G94:G111" si="32">H94-F94</f>
        <v>25</v>
      </c>
      <c r="H94" s="160">
        <f>'PENDATAAN PERUMAHAN'!J229</f>
        <v>25</v>
      </c>
      <c r="I94" s="161">
        <f>(H94-F94)/E94</f>
        <v>0.04826254826</v>
      </c>
      <c r="J94" s="161">
        <f t="shared" ref="J94:J95" si="33">H94/$E$2</f>
        <v>0.04826254826</v>
      </c>
      <c r="L94" s="191"/>
    </row>
    <row r="95">
      <c r="B95" s="27"/>
      <c r="C95" s="27"/>
      <c r="D95" s="164" t="s">
        <v>508</v>
      </c>
      <c r="E95" s="159">
        <v>0.0</v>
      </c>
      <c r="F95" s="159">
        <v>67.0</v>
      </c>
      <c r="G95" s="160">
        <f t="shared" si="32"/>
        <v>6</v>
      </c>
      <c r="H95" s="160">
        <f>'PENDATAAN PERUMAHAN'!K229</f>
        <v>73</v>
      </c>
      <c r="I95" s="161"/>
      <c r="J95" s="161">
        <f t="shared" si="33"/>
        <v>0.1409266409</v>
      </c>
      <c r="L95" s="191"/>
    </row>
    <row r="96">
      <c r="B96" s="27"/>
      <c r="C96" s="27"/>
      <c r="D96" s="164" t="s">
        <v>25</v>
      </c>
      <c r="E96" s="159">
        <v>2500.0</v>
      </c>
      <c r="F96" s="159">
        <v>3979.0</v>
      </c>
      <c r="G96" s="160">
        <f t="shared" si="32"/>
        <v>1048</v>
      </c>
      <c r="H96" s="160">
        <f>'PENDATAAN PERUMAHAN'!M229</f>
        <v>5027</v>
      </c>
      <c r="I96" s="161">
        <f>(H96-F96)/E96</f>
        <v>0.4192</v>
      </c>
      <c r="J96" s="161">
        <f>H96/$E$96</f>
        <v>2.0108</v>
      </c>
      <c r="L96" s="191"/>
    </row>
    <row r="97">
      <c r="B97" s="27"/>
      <c r="C97" s="40"/>
      <c r="D97" s="164" t="s">
        <v>24</v>
      </c>
      <c r="E97" s="167">
        <v>0.0</v>
      </c>
      <c r="F97" s="159">
        <v>412.0</v>
      </c>
      <c r="G97" s="160">
        <f t="shared" si="32"/>
        <v>584</v>
      </c>
      <c r="H97" s="160">
        <f>'PENDATAAN PERUMAHAN'!L229</f>
        <v>996</v>
      </c>
      <c r="I97" s="161"/>
      <c r="J97" s="161">
        <f>H97/421</f>
        <v>2.365795724</v>
      </c>
      <c r="L97" s="191"/>
    </row>
    <row r="98">
      <c r="B98" s="27"/>
      <c r="C98" s="157" t="s">
        <v>13</v>
      </c>
      <c r="D98" s="164" t="s">
        <v>512</v>
      </c>
      <c r="E98" s="159">
        <v>160000.0</v>
      </c>
      <c r="F98" s="159">
        <v>14196.0</v>
      </c>
      <c r="G98" s="160">
        <f t="shared" si="32"/>
        <v>1843</v>
      </c>
      <c r="H98" s="160">
        <f>'PENDATAAN PERUMAHAN'!F229</f>
        <v>16039</v>
      </c>
      <c r="I98" s="161">
        <f t="shared" ref="I98:I101" si="34">(H98-F98)/E98</f>
        <v>0.01151875</v>
      </c>
      <c r="J98" s="161">
        <f t="shared" ref="J98:J107" si="35">H98/E98</f>
        <v>0.10024375</v>
      </c>
      <c r="L98" s="191"/>
    </row>
    <row r="99">
      <c r="B99" s="27"/>
      <c r="C99" s="40"/>
      <c r="D99" s="164" t="s">
        <v>514</v>
      </c>
      <c r="E99" s="159">
        <v>80000.0</v>
      </c>
      <c r="F99" s="159">
        <v>99.0</v>
      </c>
      <c r="G99" s="160">
        <f t="shared" si="32"/>
        <v>78</v>
      </c>
      <c r="H99" s="159">
        <f>'PENDATAAN PERUMAHAN'!G229</f>
        <v>177</v>
      </c>
      <c r="I99" s="161">
        <f t="shared" si="34"/>
        <v>0.000975</v>
      </c>
      <c r="J99" s="161">
        <f t="shared" si="35"/>
        <v>0.0022125</v>
      </c>
      <c r="L99" s="191"/>
    </row>
    <row r="100">
      <c r="B100" s="27"/>
      <c r="C100" s="157" t="s">
        <v>14</v>
      </c>
      <c r="D100" s="158" t="s">
        <v>21</v>
      </c>
      <c r="E100" s="159">
        <v>197500.0</v>
      </c>
      <c r="F100" s="159">
        <v>6825.0</v>
      </c>
      <c r="G100" s="160">
        <f t="shared" si="32"/>
        <v>2619</v>
      </c>
      <c r="H100" s="160">
        <f>'PENDATAAN PERUMAHAN'!H229</f>
        <v>9444</v>
      </c>
      <c r="I100" s="161">
        <f t="shared" si="34"/>
        <v>0.01326075949</v>
      </c>
      <c r="J100" s="161">
        <f t="shared" si="35"/>
        <v>0.04781772152</v>
      </c>
      <c r="L100" s="191"/>
    </row>
    <row r="101">
      <c r="B101" s="27"/>
      <c r="C101" s="27"/>
      <c r="D101" s="158" t="s">
        <v>517</v>
      </c>
      <c r="E101" s="166">
        <v>850.0</v>
      </c>
      <c r="F101" s="166">
        <v>291.0</v>
      </c>
      <c r="G101" s="160">
        <f t="shared" si="32"/>
        <v>2</v>
      </c>
      <c r="H101" s="159">
        <v>293.0</v>
      </c>
      <c r="I101" s="161">
        <f t="shared" si="34"/>
        <v>0.002352941176</v>
      </c>
      <c r="J101" s="161">
        <f t="shared" si="35"/>
        <v>0.3447058824</v>
      </c>
      <c r="L101" s="191"/>
    </row>
    <row r="102">
      <c r="B102" s="40"/>
      <c r="C102" s="40"/>
      <c r="D102" s="171" t="s">
        <v>519</v>
      </c>
      <c r="E102" s="166">
        <v>50.0</v>
      </c>
      <c r="F102" s="166">
        <v>16.0</v>
      </c>
      <c r="G102" s="160">
        <f t="shared" si="32"/>
        <v>0</v>
      </c>
      <c r="H102" s="159">
        <v>16.0</v>
      </c>
      <c r="I102" s="161"/>
      <c r="J102" s="161">
        <f t="shared" si="35"/>
        <v>0.32</v>
      </c>
      <c r="K102" s="169">
        <f>SUM(H94:H101)</f>
        <v>32074</v>
      </c>
      <c r="L102" s="191"/>
    </row>
    <row r="103">
      <c r="B103" s="156" t="s">
        <v>521</v>
      </c>
      <c r="C103" s="157" t="s">
        <v>522</v>
      </c>
      <c r="D103" s="171" t="s">
        <v>506</v>
      </c>
      <c r="E103" s="159">
        <v>15110.0</v>
      </c>
      <c r="F103" s="166">
        <v>0.0</v>
      </c>
      <c r="G103" s="160">
        <f t="shared" si="32"/>
        <v>0</v>
      </c>
      <c r="H103" s="160">
        <f>'PENDATAAN PERUMAHAN'!N229</f>
        <v>0</v>
      </c>
      <c r="I103" s="161">
        <f>(H103-F103)/E103</f>
        <v>0</v>
      </c>
      <c r="J103" s="161">
        <f t="shared" si="35"/>
        <v>0</v>
      </c>
      <c r="K103" s="169">
        <f>K102+H114</f>
        <v>177660</v>
      </c>
      <c r="L103" s="191"/>
    </row>
    <row r="104">
      <c r="B104" s="27"/>
      <c r="C104" s="27"/>
      <c r="D104" s="171" t="s">
        <v>508</v>
      </c>
      <c r="E104" s="159">
        <v>100.0</v>
      </c>
      <c r="F104" s="166">
        <v>569.0</v>
      </c>
      <c r="G104" s="160">
        <f t="shared" si="32"/>
        <v>10</v>
      </c>
      <c r="H104" s="160">
        <f>'PENDATAAN PERUMAHAN'!O229</f>
        <v>579</v>
      </c>
      <c r="I104" s="161"/>
      <c r="J104" s="161">
        <f t="shared" si="35"/>
        <v>5.79</v>
      </c>
      <c r="L104" s="191"/>
    </row>
    <row r="105">
      <c r="B105" s="27"/>
      <c r="C105" s="27"/>
      <c r="D105" s="171" t="s">
        <v>525</v>
      </c>
      <c r="E105" s="159">
        <v>675.0</v>
      </c>
      <c r="F105" s="159">
        <v>79.0</v>
      </c>
      <c r="G105" s="160">
        <f t="shared" si="32"/>
        <v>0</v>
      </c>
      <c r="H105" s="160">
        <f>'PENDATAAN PERUMAHAN'!P229</f>
        <v>79</v>
      </c>
      <c r="I105" s="161">
        <f t="shared" ref="I105:I110" si="36">(H105-F105)/E105</f>
        <v>0</v>
      </c>
      <c r="J105" s="161">
        <f t="shared" si="35"/>
        <v>0.117037037</v>
      </c>
      <c r="L105" s="191"/>
    </row>
    <row r="106">
      <c r="B106" s="27"/>
      <c r="C106" s="27"/>
      <c r="D106" s="171" t="s">
        <v>25</v>
      </c>
      <c r="E106" s="159">
        <v>13500.0</v>
      </c>
      <c r="F106" s="159">
        <v>25808.0</v>
      </c>
      <c r="G106" s="160">
        <f t="shared" si="32"/>
        <v>2308</v>
      </c>
      <c r="H106" s="159">
        <f>'PENDATAAN PERUMAHAN'!R229</f>
        <v>28116</v>
      </c>
      <c r="I106" s="161">
        <f t="shared" si="36"/>
        <v>0.170962963</v>
      </c>
      <c r="J106" s="161">
        <f t="shared" si="35"/>
        <v>2.082666667</v>
      </c>
      <c r="L106" s="191"/>
    </row>
    <row r="107">
      <c r="B107" s="27"/>
      <c r="C107" s="27"/>
      <c r="D107" s="158" t="s">
        <v>24</v>
      </c>
      <c r="E107" s="159">
        <v>42200.0</v>
      </c>
      <c r="F107" s="159">
        <v>2435.0</v>
      </c>
      <c r="G107" s="160">
        <f t="shared" si="32"/>
        <v>2190</v>
      </c>
      <c r="H107" s="160">
        <f>'PENDATAAN PERUMAHAN'!Q229</f>
        <v>4625</v>
      </c>
      <c r="I107" s="161">
        <f t="shared" si="36"/>
        <v>0.0518957346</v>
      </c>
      <c r="J107" s="161">
        <f t="shared" si="35"/>
        <v>0.1095971564</v>
      </c>
      <c r="L107" s="191"/>
    </row>
    <row r="108">
      <c r="B108" s="27"/>
      <c r="C108" s="27"/>
      <c r="D108" s="158" t="s">
        <v>28</v>
      </c>
      <c r="E108" s="159">
        <v>0.0</v>
      </c>
      <c r="F108" s="159">
        <v>0.0</v>
      </c>
      <c r="G108" s="160">
        <f t="shared" si="32"/>
        <v>0</v>
      </c>
      <c r="H108" s="160">
        <f>'PENDATAAN PERUMAHAN'!T229</f>
        <v>0</v>
      </c>
      <c r="I108" s="161" t="str">
        <f t="shared" si="36"/>
        <v>#DIV/0!</v>
      </c>
      <c r="J108" s="161">
        <f>H108/36</f>
        <v>0</v>
      </c>
      <c r="L108" s="191"/>
    </row>
    <row r="109">
      <c r="B109" s="27"/>
      <c r="C109" s="27"/>
      <c r="D109" s="158" t="s">
        <v>517</v>
      </c>
      <c r="E109" s="159">
        <v>600.0</v>
      </c>
      <c r="F109" s="159">
        <v>1517.0</v>
      </c>
      <c r="G109" s="160">
        <f t="shared" si="32"/>
        <v>102</v>
      </c>
      <c r="H109" s="159">
        <v>1619.0</v>
      </c>
      <c r="I109" s="161">
        <f t="shared" si="36"/>
        <v>0.17</v>
      </c>
      <c r="J109" s="161">
        <f t="shared" ref="J109:J112" si="37">H109/E109</f>
        <v>2.698333333</v>
      </c>
      <c r="L109" s="191"/>
      <c r="M109" s="249">
        <f>293+16+1619+169</f>
        <v>2097</v>
      </c>
    </row>
    <row r="110">
      <c r="B110" s="27"/>
      <c r="C110" s="27"/>
      <c r="D110" s="158" t="s">
        <v>29</v>
      </c>
      <c r="E110" s="159">
        <v>486897.0</v>
      </c>
      <c r="F110" s="159">
        <v>1164.0</v>
      </c>
      <c r="G110" s="160">
        <f t="shared" si="32"/>
        <v>109168</v>
      </c>
      <c r="H110" s="159">
        <f>'PENDATAAN PERUMAHAN'!U229</f>
        <v>110332</v>
      </c>
      <c r="I110" s="161">
        <f t="shared" si="36"/>
        <v>0.2242116916</v>
      </c>
      <c r="J110" s="161">
        <f t="shared" si="37"/>
        <v>0.2266023409</v>
      </c>
      <c r="L110" s="191"/>
    </row>
    <row r="111">
      <c r="B111" s="40"/>
      <c r="C111" s="40"/>
      <c r="D111" s="174" t="s">
        <v>519</v>
      </c>
      <c r="E111" s="175">
        <v>200.0</v>
      </c>
      <c r="F111" s="175">
        <v>169.0</v>
      </c>
      <c r="G111" s="175">
        <f t="shared" si="32"/>
        <v>0</v>
      </c>
      <c r="H111" s="175">
        <v>169.0</v>
      </c>
      <c r="I111" s="175"/>
      <c r="J111" s="161">
        <f t="shared" si="37"/>
        <v>0.845</v>
      </c>
      <c r="K111" s="169">
        <f>SUM(H103:H111)</f>
        <v>145519</v>
      </c>
      <c r="L111" s="191"/>
    </row>
    <row r="112">
      <c r="B112" s="182" t="s">
        <v>533</v>
      </c>
      <c r="C112" s="183"/>
      <c r="D112" s="31"/>
      <c r="E112" s="184">
        <f t="shared" ref="E112:F112" si="38">SUM(E94:E111)</f>
        <v>1000700</v>
      </c>
      <c r="F112" s="184">
        <f t="shared" si="38"/>
        <v>57626</v>
      </c>
      <c r="G112" s="185">
        <f>sum(G94:G111)</f>
        <v>119983</v>
      </c>
      <c r="H112" s="185">
        <f>SUM(H94:H111)</f>
        <v>177609</v>
      </c>
      <c r="I112" s="186">
        <f>(H112-F112)/E112</f>
        <v>0.1198990707</v>
      </c>
      <c r="J112" s="186">
        <f t="shared" si="37"/>
        <v>0.1774847607</v>
      </c>
      <c r="L112" s="191"/>
    </row>
    <row r="113">
      <c r="B113" s="187"/>
      <c r="C113" s="188"/>
      <c r="D113" s="189"/>
      <c r="E113" s="159"/>
      <c r="F113" s="160"/>
      <c r="G113" s="160"/>
      <c r="H113" s="160"/>
      <c r="I113" s="161"/>
      <c r="J113" s="161"/>
      <c r="L113" s="191"/>
    </row>
    <row r="114">
      <c r="B114" s="156" t="s">
        <v>6</v>
      </c>
      <c r="C114" s="157" t="s">
        <v>8</v>
      </c>
      <c r="D114" s="158" t="s">
        <v>536</v>
      </c>
      <c r="E114" s="159">
        <v>217500.0</v>
      </c>
      <c r="F114" s="159">
        <v>71251.0</v>
      </c>
      <c r="G114" s="160">
        <f t="shared" ref="G114:G115" si="39">H114-F114</f>
        <v>74335</v>
      </c>
      <c r="H114" s="160">
        <f>'PENDATAAN PERUMAHAN'!E229</f>
        <v>145586</v>
      </c>
      <c r="I114" s="161">
        <f t="shared" ref="I114:I118" si="40">(H114-F114)/E114</f>
        <v>0.3417701149</v>
      </c>
      <c r="J114" s="161">
        <f t="shared" ref="J114:J115" si="41">H114/E114</f>
        <v>0.6693609195</v>
      </c>
      <c r="L114" s="191"/>
    </row>
    <row r="115">
      <c r="B115" s="27"/>
      <c r="C115" s="27"/>
      <c r="D115" s="158" t="s">
        <v>538</v>
      </c>
      <c r="E115" s="159">
        <v>300000.0</v>
      </c>
      <c r="F115" s="159">
        <v>0.0</v>
      </c>
      <c r="G115" s="160">
        <f t="shared" si="39"/>
        <v>0</v>
      </c>
      <c r="H115" s="159">
        <v>0.0</v>
      </c>
      <c r="I115" s="161">
        <f t="shared" si="40"/>
        <v>0</v>
      </c>
      <c r="J115" s="161">
        <f t="shared" si="41"/>
        <v>0</v>
      </c>
      <c r="L115" s="191"/>
    </row>
    <row r="116">
      <c r="B116" s="40"/>
      <c r="C116" s="40"/>
      <c r="D116" s="158" t="s">
        <v>541</v>
      </c>
      <c r="E116" s="159">
        <v>0.0</v>
      </c>
      <c r="F116" s="159">
        <v>0.0</v>
      </c>
      <c r="G116" s="159">
        <v>0.0</v>
      </c>
      <c r="H116" s="159">
        <v>0.0</v>
      </c>
      <c r="I116" s="161" t="str">
        <f t="shared" si="40"/>
        <v>#DIV/0!</v>
      </c>
      <c r="J116" s="190">
        <v>0.0</v>
      </c>
      <c r="L116" s="191"/>
    </row>
    <row r="117">
      <c r="B117" s="193" t="s">
        <v>542</v>
      </c>
      <c r="C117" s="19"/>
      <c r="D117" s="20"/>
      <c r="E117" s="194">
        <f>E114+E115+E116</f>
        <v>517500</v>
      </c>
      <c r="F117" s="195">
        <f>SUM(F114:F116)</f>
        <v>71251</v>
      </c>
      <c r="G117" s="195">
        <f t="shared" ref="G117:G118" si="42">H117-F117</f>
        <v>74335</v>
      </c>
      <c r="H117" s="195">
        <f>H114+H115+H116</f>
        <v>145586</v>
      </c>
      <c r="I117" s="186">
        <f t="shared" si="40"/>
        <v>0.1436425121</v>
      </c>
      <c r="J117" s="186">
        <f t="shared" ref="J117:J118" si="43">H117/E117</f>
        <v>0.2813256039</v>
      </c>
      <c r="L117" s="191"/>
    </row>
    <row r="118">
      <c r="B118" s="197" t="s">
        <v>544</v>
      </c>
      <c r="C118" s="19"/>
      <c r="D118" s="20"/>
      <c r="E118" s="198">
        <f>E117+E112</f>
        <v>1518200</v>
      </c>
      <c r="F118" s="199">
        <f>F112+F117</f>
        <v>128877</v>
      </c>
      <c r="G118" s="200">
        <f t="shared" si="42"/>
        <v>194318</v>
      </c>
      <c r="H118" s="199">
        <f>H117+H112</f>
        <v>323195</v>
      </c>
      <c r="I118" s="201">
        <f t="shared" si="40"/>
        <v>0.1279923594</v>
      </c>
      <c r="J118" s="201">
        <f t="shared" si="43"/>
        <v>0.2128803847</v>
      </c>
      <c r="L118" s="191"/>
    </row>
    <row r="119">
      <c r="L119" s="191"/>
    </row>
    <row r="120">
      <c r="B120" s="248" t="s">
        <v>580</v>
      </c>
      <c r="L120" s="191"/>
    </row>
    <row r="121">
      <c r="B121" s="151" t="s">
        <v>494</v>
      </c>
      <c r="C121" s="152" t="s">
        <v>495</v>
      </c>
      <c r="D121" s="152" t="s">
        <v>15</v>
      </c>
      <c r="E121" s="152" t="s">
        <v>496</v>
      </c>
      <c r="F121" s="152" t="s">
        <v>497</v>
      </c>
      <c r="G121" s="152" t="s">
        <v>498</v>
      </c>
      <c r="H121" s="152" t="s">
        <v>499</v>
      </c>
      <c r="I121" s="152" t="s">
        <v>500</v>
      </c>
      <c r="J121" s="152" t="s">
        <v>501</v>
      </c>
      <c r="L121" s="191"/>
    </row>
    <row r="122">
      <c r="B122" s="156" t="s">
        <v>2</v>
      </c>
      <c r="C122" s="157" t="s">
        <v>505</v>
      </c>
      <c r="D122" s="158" t="s">
        <v>506</v>
      </c>
      <c r="E122" s="159">
        <v>518.0</v>
      </c>
      <c r="F122" s="159">
        <v>0.0</v>
      </c>
      <c r="G122" s="160">
        <f t="shared" ref="G122:G139" si="44">H122-F122</f>
        <v>25</v>
      </c>
      <c r="H122" s="160">
        <f>'PENDATAAN PERUMAHAN'!J229</f>
        <v>25</v>
      </c>
      <c r="I122" s="161">
        <f>(H122-F122)/E122</f>
        <v>0.04826254826</v>
      </c>
      <c r="J122" s="161">
        <f t="shared" ref="J122:J123" si="45">H122/$E$2</f>
        <v>0.04826254826</v>
      </c>
      <c r="L122" s="191"/>
    </row>
    <row r="123">
      <c r="B123" s="27"/>
      <c r="C123" s="27"/>
      <c r="D123" s="164" t="s">
        <v>508</v>
      </c>
      <c r="E123" s="159">
        <v>0.0</v>
      </c>
      <c r="F123" s="159">
        <v>67.0</v>
      </c>
      <c r="G123" s="160">
        <f t="shared" si="44"/>
        <v>6</v>
      </c>
      <c r="H123" s="160">
        <f>'PENDATAAN PERUMAHAN'!K229</f>
        <v>73</v>
      </c>
      <c r="I123" s="161"/>
      <c r="J123" s="161">
        <f t="shared" si="45"/>
        <v>0.1409266409</v>
      </c>
      <c r="L123" s="191"/>
    </row>
    <row r="124">
      <c r="B124" s="27"/>
      <c r="C124" s="27"/>
      <c r="D124" s="164" t="s">
        <v>25</v>
      </c>
      <c r="E124" s="166">
        <v>2500.0</v>
      </c>
      <c r="F124" s="159">
        <v>3979.0</v>
      </c>
      <c r="G124" s="160">
        <f t="shared" si="44"/>
        <v>1048</v>
      </c>
      <c r="H124" s="160">
        <f>'PENDATAAN PERUMAHAN'!M229</f>
        <v>5027</v>
      </c>
      <c r="I124" s="161">
        <f>(H124-F124)/E124</f>
        <v>0.4192</v>
      </c>
      <c r="J124" s="161">
        <f>H124/E124</f>
        <v>2.0108</v>
      </c>
      <c r="L124" s="191"/>
    </row>
    <row r="125">
      <c r="B125" s="27"/>
      <c r="C125" s="40"/>
      <c r="D125" s="164" t="s">
        <v>24</v>
      </c>
      <c r="E125" s="40"/>
      <c r="F125" s="159">
        <v>412.0</v>
      </c>
      <c r="G125" s="160">
        <f t="shared" si="44"/>
        <v>584</v>
      </c>
      <c r="H125" s="160">
        <f>'PENDATAAN PERUMAHAN'!L229</f>
        <v>996</v>
      </c>
      <c r="I125" s="161"/>
      <c r="J125" s="161"/>
      <c r="L125" s="191"/>
    </row>
    <row r="126">
      <c r="B126" s="27"/>
      <c r="C126" s="157" t="s">
        <v>13</v>
      </c>
      <c r="D126" s="164" t="s">
        <v>512</v>
      </c>
      <c r="E126" s="159">
        <v>160000.0</v>
      </c>
      <c r="F126" s="159">
        <v>14196.0</v>
      </c>
      <c r="G126" s="160">
        <f t="shared" si="44"/>
        <v>1843</v>
      </c>
      <c r="H126" s="160">
        <f>'PENDATAAN PERUMAHAN'!F229</f>
        <v>16039</v>
      </c>
      <c r="I126" s="161">
        <f t="shared" ref="I126:I129" si="46">(H126-F126)/E126</f>
        <v>0.01151875</v>
      </c>
      <c r="J126" s="161">
        <f t="shared" ref="J126:J135" si="47">H126/E126</f>
        <v>0.10024375</v>
      </c>
      <c r="L126" s="191"/>
    </row>
    <row r="127">
      <c r="B127" s="27"/>
      <c r="C127" s="40"/>
      <c r="D127" s="164" t="s">
        <v>514</v>
      </c>
      <c r="E127" s="159">
        <v>80000.0</v>
      </c>
      <c r="F127" s="159">
        <v>99.0</v>
      </c>
      <c r="G127" s="160">
        <f t="shared" si="44"/>
        <v>78</v>
      </c>
      <c r="H127" s="159">
        <f>'PENDATAAN PERUMAHAN'!G229</f>
        <v>177</v>
      </c>
      <c r="I127" s="161">
        <f t="shared" si="46"/>
        <v>0.000975</v>
      </c>
      <c r="J127" s="161">
        <f t="shared" si="47"/>
        <v>0.0022125</v>
      </c>
      <c r="L127" s="191"/>
    </row>
    <row r="128">
      <c r="B128" s="27"/>
      <c r="C128" s="157" t="s">
        <v>14</v>
      </c>
      <c r="D128" s="158" t="s">
        <v>21</v>
      </c>
      <c r="E128" s="159">
        <v>197500.0</v>
      </c>
      <c r="F128" s="159">
        <v>6825.0</v>
      </c>
      <c r="G128" s="160">
        <f t="shared" si="44"/>
        <v>2619</v>
      </c>
      <c r="H128" s="160">
        <f>'PENDATAAN PERUMAHAN'!H229</f>
        <v>9444</v>
      </c>
      <c r="I128" s="161">
        <f t="shared" si="46"/>
        <v>0.01326075949</v>
      </c>
      <c r="J128" s="161">
        <f t="shared" si="47"/>
        <v>0.04781772152</v>
      </c>
      <c r="L128" s="191"/>
    </row>
    <row r="129">
      <c r="B129" s="40"/>
      <c r="C129" s="40"/>
      <c r="D129" s="158" t="s">
        <v>517</v>
      </c>
      <c r="E129" s="166">
        <v>150.0</v>
      </c>
      <c r="F129" s="166">
        <v>291.0</v>
      </c>
      <c r="G129" s="160">
        <f t="shared" si="44"/>
        <v>1434</v>
      </c>
      <c r="H129" s="160">
        <f>'PENDATAAN PERUMAHAN'!I229</f>
        <v>1725</v>
      </c>
      <c r="I129" s="161">
        <f t="shared" si="46"/>
        <v>9.56</v>
      </c>
      <c r="J129" s="161">
        <f t="shared" si="47"/>
        <v>11.5</v>
      </c>
      <c r="L129" s="191"/>
    </row>
    <row r="130">
      <c r="B130" s="187"/>
      <c r="C130" s="164"/>
      <c r="D130" s="171" t="s">
        <v>519</v>
      </c>
      <c r="E130" s="166">
        <v>50.0</v>
      </c>
      <c r="F130" s="166">
        <v>16.0</v>
      </c>
      <c r="G130" s="160">
        <f t="shared" si="44"/>
        <v>0</v>
      </c>
      <c r="H130" s="159">
        <v>16.0</v>
      </c>
      <c r="I130" s="161"/>
      <c r="J130" s="161">
        <f t="shared" si="47"/>
        <v>0.32</v>
      </c>
      <c r="L130" s="191"/>
    </row>
    <row r="131">
      <c r="B131" s="156" t="s">
        <v>521</v>
      </c>
      <c r="C131" s="157" t="s">
        <v>522</v>
      </c>
      <c r="D131" s="171" t="s">
        <v>506</v>
      </c>
      <c r="E131" s="159">
        <v>15110.0</v>
      </c>
      <c r="F131" s="166">
        <v>0.0</v>
      </c>
      <c r="G131" s="160">
        <f t="shared" si="44"/>
        <v>0</v>
      </c>
      <c r="H131" s="160">
        <f>'PENDATAAN PERUMAHAN'!N229</f>
        <v>0</v>
      </c>
      <c r="I131" s="161">
        <f>(H131-F131)/E131</f>
        <v>0</v>
      </c>
      <c r="J131" s="161">
        <f t="shared" si="47"/>
        <v>0</v>
      </c>
      <c r="L131" s="191"/>
    </row>
    <row r="132">
      <c r="B132" s="27"/>
      <c r="C132" s="27"/>
      <c r="D132" s="171" t="s">
        <v>508</v>
      </c>
      <c r="E132" s="159">
        <v>100.0</v>
      </c>
      <c r="F132" s="166">
        <v>569.0</v>
      </c>
      <c r="G132" s="160">
        <f t="shared" si="44"/>
        <v>10</v>
      </c>
      <c r="H132" s="160">
        <f>'PENDATAAN PERUMAHAN'!O229</f>
        <v>579</v>
      </c>
      <c r="I132" s="161"/>
      <c r="J132" s="161">
        <f t="shared" si="47"/>
        <v>5.79</v>
      </c>
      <c r="L132" s="191"/>
    </row>
    <row r="133">
      <c r="B133" s="27"/>
      <c r="C133" s="27"/>
      <c r="D133" s="171" t="s">
        <v>525</v>
      </c>
      <c r="E133" s="159">
        <v>675.0</v>
      </c>
      <c r="F133" s="159">
        <v>79.0</v>
      </c>
      <c r="G133" s="160">
        <f t="shared" si="44"/>
        <v>0</v>
      </c>
      <c r="H133" s="160">
        <f>'PENDATAAN PERUMAHAN'!P229</f>
        <v>79</v>
      </c>
      <c r="I133" s="161">
        <f t="shared" ref="I133:I138" si="48">(H133-F133)/E133</f>
        <v>0</v>
      </c>
      <c r="J133" s="161">
        <f t="shared" si="47"/>
        <v>0.117037037</v>
      </c>
      <c r="L133" s="191"/>
    </row>
    <row r="134">
      <c r="B134" s="27"/>
      <c r="C134" s="27"/>
      <c r="D134" s="171" t="s">
        <v>25</v>
      </c>
      <c r="E134" s="159">
        <v>13500.0</v>
      </c>
      <c r="F134" s="159">
        <v>25808.0</v>
      </c>
      <c r="G134" s="160">
        <f t="shared" si="44"/>
        <v>2308</v>
      </c>
      <c r="H134" s="159">
        <f>'PENDATAAN PERUMAHAN'!R229</f>
        <v>28116</v>
      </c>
      <c r="I134" s="161">
        <f t="shared" si="48"/>
        <v>0.170962963</v>
      </c>
      <c r="J134" s="161">
        <f t="shared" si="47"/>
        <v>2.082666667</v>
      </c>
      <c r="L134" s="191"/>
    </row>
    <row r="135">
      <c r="B135" s="27"/>
      <c r="C135" s="27"/>
      <c r="D135" s="158" t="s">
        <v>24</v>
      </c>
      <c r="E135" s="159">
        <v>42200.0</v>
      </c>
      <c r="F135" s="159">
        <v>2435.0</v>
      </c>
      <c r="G135" s="160">
        <f t="shared" si="44"/>
        <v>2190</v>
      </c>
      <c r="H135" s="160">
        <f>'PENDATAAN PERUMAHAN'!Q229</f>
        <v>4625</v>
      </c>
      <c r="I135" s="161">
        <f t="shared" si="48"/>
        <v>0.0518957346</v>
      </c>
      <c r="J135" s="161">
        <f t="shared" si="47"/>
        <v>0.1095971564</v>
      </c>
      <c r="L135" s="191"/>
    </row>
    <row r="136">
      <c r="B136" s="27"/>
      <c r="C136" s="27"/>
      <c r="D136" s="158" t="s">
        <v>28</v>
      </c>
      <c r="E136" s="159">
        <v>0.0</v>
      </c>
      <c r="F136" s="159">
        <v>0.0</v>
      </c>
      <c r="G136" s="160">
        <f t="shared" si="44"/>
        <v>0</v>
      </c>
      <c r="H136" s="160">
        <f>'PENDATAAN PERUMAHAN'!T229</f>
        <v>0</v>
      </c>
      <c r="I136" s="161" t="str">
        <f t="shared" si="48"/>
        <v>#DIV/0!</v>
      </c>
      <c r="J136" s="161">
        <f>H136/36</f>
        <v>0</v>
      </c>
      <c r="L136" s="191"/>
    </row>
    <row r="137">
      <c r="B137" s="27"/>
      <c r="C137" s="27"/>
      <c r="D137" s="158" t="s">
        <v>517</v>
      </c>
      <c r="E137" s="159">
        <v>600.0</v>
      </c>
      <c r="F137" s="159">
        <v>1517.0</v>
      </c>
      <c r="G137" s="160">
        <f t="shared" si="44"/>
        <v>1146</v>
      </c>
      <c r="H137" s="160">
        <f>'PENDATAAN PERUMAHAN'!S229</f>
        <v>2663</v>
      </c>
      <c r="I137" s="161">
        <f t="shared" si="48"/>
        <v>1.91</v>
      </c>
      <c r="J137" s="161">
        <f t="shared" ref="J137:J140" si="49">H137/E137</f>
        <v>4.438333333</v>
      </c>
      <c r="L137" s="191"/>
    </row>
    <row r="138">
      <c r="B138" s="40"/>
      <c r="C138" s="40"/>
      <c r="D138" s="158" t="s">
        <v>29</v>
      </c>
      <c r="E138" s="159">
        <v>486897.0</v>
      </c>
      <c r="F138" s="159">
        <v>1164.0</v>
      </c>
      <c r="G138" s="160">
        <f t="shared" si="44"/>
        <v>109168</v>
      </c>
      <c r="H138" s="159">
        <f>'PENDATAAN PERUMAHAN'!U229</f>
        <v>110332</v>
      </c>
      <c r="I138" s="161">
        <f t="shared" si="48"/>
        <v>0.2242116916</v>
      </c>
      <c r="J138" s="161">
        <f t="shared" si="49"/>
        <v>0.2266023409</v>
      </c>
      <c r="L138" s="191"/>
    </row>
    <row r="139">
      <c r="B139" s="250"/>
      <c r="C139" s="250"/>
      <c r="D139" s="174" t="s">
        <v>519</v>
      </c>
      <c r="E139" s="175">
        <v>200.0</v>
      </c>
      <c r="F139" s="175">
        <v>169.0</v>
      </c>
      <c r="G139" s="175">
        <f t="shared" si="44"/>
        <v>0</v>
      </c>
      <c r="H139" s="175">
        <v>169.0</v>
      </c>
      <c r="I139" s="175"/>
      <c r="J139" s="161">
        <f t="shared" si="49"/>
        <v>0.845</v>
      </c>
      <c r="L139" s="191"/>
    </row>
    <row r="140">
      <c r="B140" s="182" t="s">
        <v>533</v>
      </c>
      <c r="C140" s="183"/>
      <c r="D140" s="31"/>
      <c r="E140" s="184">
        <f t="shared" ref="E140:F140" si="50">SUM(E122:E139)</f>
        <v>1000000</v>
      </c>
      <c r="F140" s="184">
        <f t="shared" si="50"/>
        <v>57626</v>
      </c>
      <c r="G140" s="185"/>
      <c r="H140" s="185">
        <f>SUM(H122:H139)</f>
        <v>180085</v>
      </c>
      <c r="I140" s="186">
        <f>(H140-F140)/E140</f>
        <v>0.122459</v>
      </c>
      <c r="J140" s="186">
        <f t="shared" si="49"/>
        <v>0.180085</v>
      </c>
      <c r="L140" s="191"/>
    </row>
    <row r="141">
      <c r="B141" s="187"/>
      <c r="C141" s="188"/>
      <c r="D141" s="189"/>
      <c r="E141" s="159"/>
      <c r="F141" s="160"/>
      <c r="G141" s="160"/>
      <c r="H141" s="160"/>
      <c r="I141" s="161"/>
      <c r="J141" s="161"/>
      <c r="L141" s="191"/>
    </row>
    <row r="142">
      <c r="B142" s="156" t="s">
        <v>6</v>
      </c>
      <c r="C142" s="157" t="s">
        <v>8</v>
      </c>
      <c r="D142" s="158" t="s">
        <v>536</v>
      </c>
      <c r="E142" s="159">
        <v>217500.0</v>
      </c>
      <c r="F142" s="159">
        <v>71251.0</v>
      </c>
      <c r="G142" s="160">
        <f t="shared" ref="G142:G143" si="51">H142-F142</f>
        <v>74335</v>
      </c>
      <c r="H142" s="160">
        <f>'PENDATAAN PERUMAHAN'!E229</f>
        <v>145586</v>
      </c>
      <c r="I142" s="161">
        <f t="shared" ref="I142:I146" si="52">(H142-F142)/E142</f>
        <v>0.3417701149</v>
      </c>
      <c r="J142" s="161">
        <f t="shared" ref="J142:J143" si="53">H142/E142</f>
        <v>0.6693609195</v>
      </c>
      <c r="L142" s="191"/>
    </row>
    <row r="143">
      <c r="B143" s="27"/>
      <c r="C143" s="27"/>
      <c r="D143" s="158" t="s">
        <v>538</v>
      </c>
      <c r="E143" s="159">
        <v>300000.0</v>
      </c>
      <c r="F143" s="159">
        <v>0.0</v>
      </c>
      <c r="G143" s="160">
        <f t="shared" si="51"/>
        <v>0</v>
      </c>
      <c r="H143" s="160">
        <f>'PENDATAAN PERUMAHAN'!V229</f>
        <v>0</v>
      </c>
      <c r="I143" s="161">
        <f t="shared" si="52"/>
        <v>0</v>
      </c>
      <c r="J143" s="161">
        <f t="shared" si="53"/>
        <v>0</v>
      </c>
      <c r="L143" s="191"/>
    </row>
    <row r="144">
      <c r="B144" s="40"/>
      <c r="C144" s="40"/>
      <c r="D144" s="158" t="s">
        <v>541</v>
      </c>
      <c r="E144" s="159">
        <v>700.0</v>
      </c>
      <c r="F144" s="159">
        <v>0.0</v>
      </c>
      <c r="G144" s="159">
        <v>0.0</v>
      </c>
      <c r="H144" s="160">
        <f>'PENDATAAN PERUMAHAN'!W229</f>
        <v>0</v>
      </c>
      <c r="I144" s="161">
        <f t="shared" si="52"/>
        <v>0</v>
      </c>
      <c r="J144" s="161"/>
      <c r="L144" s="191"/>
    </row>
    <row r="145">
      <c r="B145" s="193" t="s">
        <v>542</v>
      </c>
      <c r="C145" s="19"/>
      <c r="D145" s="20"/>
      <c r="E145" s="194">
        <f>E142+E143+E144</f>
        <v>518200</v>
      </c>
      <c r="F145" s="195">
        <f>SUM(F142:F144)</f>
        <v>71251</v>
      </c>
      <c r="G145" s="195">
        <f t="shared" ref="G145:G146" si="54">H145-F145</f>
        <v>74335</v>
      </c>
      <c r="H145" s="195">
        <f>H142+H143+H144</f>
        <v>145586</v>
      </c>
      <c r="I145" s="186">
        <f t="shared" si="52"/>
        <v>0.1434484755</v>
      </c>
      <c r="J145" s="186">
        <f t="shared" ref="J145:J146" si="55">H145/E145</f>
        <v>0.2809455809</v>
      </c>
      <c r="L145" s="191"/>
    </row>
    <row r="146">
      <c r="B146" s="197" t="s">
        <v>544</v>
      </c>
      <c r="C146" s="19"/>
      <c r="D146" s="20"/>
      <c r="E146" s="198">
        <f>E145+E140</f>
        <v>1518200</v>
      </c>
      <c r="F146" s="199">
        <f>F140+F145</f>
        <v>128877</v>
      </c>
      <c r="G146" s="200">
        <f t="shared" si="54"/>
        <v>196794</v>
      </c>
      <c r="H146" s="199">
        <f>H145+H140</f>
        <v>325671</v>
      </c>
      <c r="I146" s="201">
        <f t="shared" si="52"/>
        <v>0.129623238</v>
      </c>
      <c r="J146" s="201">
        <f t="shared" si="55"/>
        <v>0.2145112633</v>
      </c>
      <c r="L146" s="191"/>
    </row>
    <row r="147">
      <c r="L147" s="191"/>
    </row>
    <row r="148">
      <c r="L148" s="191"/>
    </row>
    <row r="149">
      <c r="B149" s="151" t="s">
        <v>494</v>
      </c>
      <c r="C149" s="152" t="s">
        <v>495</v>
      </c>
      <c r="D149" s="152" t="s">
        <v>15</v>
      </c>
      <c r="E149" s="152" t="s">
        <v>496</v>
      </c>
      <c r="F149" s="152" t="s">
        <v>497</v>
      </c>
      <c r="G149" s="152" t="s">
        <v>498</v>
      </c>
      <c r="H149" s="152" t="s">
        <v>499</v>
      </c>
      <c r="I149" s="152" t="s">
        <v>500</v>
      </c>
      <c r="J149" s="152" t="s">
        <v>501</v>
      </c>
      <c r="L149" s="191"/>
    </row>
    <row r="150">
      <c r="B150" s="156" t="s">
        <v>2</v>
      </c>
      <c r="C150" s="157" t="s">
        <v>505</v>
      </c>
      <c r="D150" s="158" t="s">
        <v>506</v>
      </c>
      <c r="E150" s="159">
        <v>518.0</v>
      </c>
      <c r="F150" s="159">
        <v>0.0</v>
      </c>
      <c r="G150" s="160">
        <f t="shared" ref="G150:G167" si="56">H150-F150</f>
        <v>25</v>
      </c>
      <c r="H150" s="160">
        <f>'PENDATAAN PERUMAHAN'!J229</f>
        <v>25</v>
      </c>
      <c r="I150" s="161">
        <f>(H150-F150)/E150</f>
        <v>0.04826254826</v>
      </c>
      <c r="J150" s="161">
        <f t="shared" ref="J150:J151" si="57">H150/$E$2</f>
        <v>0.04826254826</v>
      </c>
      <c r="L150" s="191"/>
    </row>
    <row r="151">
      <c r="B151" s="27"/>
      <c r="C151" s="27"/>
      <c r="D151" s="164" t="s">
        <v>508</v>
      </c>
      <c r="E151" s="159">
        <v>0.0</v>
      </c>
      <c r="F151" s="159">
        <v>67.0</v>
      </c>
      <c r="G151" s="160">
        <f t="shared" si="56"/>
        <v>6</v>
      </c>
      <c r="H151" s="160">
        <f>'PENDATAAN PERUMAHAN'!K229</f>
        <v>73</v>
      </c>
      <c r="I151" s="161"/>
      <c r="J151" s="161">
        <f t="shared" si="57"/>
        <v>0.1409266409</v>
      </c>
      <c r="L151" s="191"/>
    </row>
    <row r="152">
      <c r="B152" s="27"/>
      <c r="C152" s="27"/>
      <c r="D152" s="164" t="s">
        <v>25</v>
      </c>
      <c r="E152" s="159">
        <v>2500.0</v>
      </c>
      <c r="F152" s="159">
        <v>4222.0</v>
      </c>
      <c r="G152" s="160">
        <f t="shared" si="56"/>
        <v>805</v>
      </c>
      <c r="H152" s="160">
        <f>'PENDATAAN PERUMAHAN'!M229</f>
        <v>5027</v>
      </c>
      <c r="I152" s="161">
        <f>(H152-F152)/E152</f>
        <v>0.322</v>
      </c>
      <c r="J152" s="161">
        <f>H152/E152</f>
        <v>2.0108</v>
      </c>
      <c r="L152" s="191"/>
    </row>
    <row r="153">
      <c r="B153" s="27"/>
      <c r="C153" s="40"/>
      <c r="D153" s="164" t="s">
        <v>24</v>
      </c>
      <c r="E153" s="159">
        <v>0.0</v>
      </c>
      <c r="F153" s="159">
        <v>421.0</v>
      </c>
      <c r="G153" s="160">
        <f t="shared" si="56"/>
        <v>575</v>
      </c>
      <c r="H153" s="160">
        <f>'PENDATAAN PERUMAHAN'!L229</f>
        <v>996</v>
      </c>
      <c r="I153" s="161"/>
      <c r="J153" s="161"/>
      <c r="L153" s="191"/>
    </row>
    <row r="154">
      <c r="B154" s="27"/>
      <c r="C154" s="157" t="s">
        <v>13</v>
      </c>
      <c r="D154" s="164" t="s">
        <v>512</v>
      </c>
      <c r="E154" s="159">
        <v>160000.0</v>
      </c>
      <c r="F154" s="159">
        <v>14408.0</v>
      </c>
      <c r="G154" s="160">
        <f t="shared" si="56"/>
        <v>1631</v>
      </c>
      <c r="H154" s="160">
        <f>'PENDATAAN PERUMAHAN'!F229</f>
        <v>16039</v>
      </c>
      <c r="I154" s="161">
        <f t="shared" ref="I154:I157" si="58">(H154-F154)/E154</f>
        <v>0.01019375</v>
      </c>
      <c r="J154" s="161">
        <f t="shared" ref="J154:J163" si="59">H154/E154</f>
        <v>0.10024375</v>
      </c>
      <c r="L154" s="191"/>
    </row>
    <row r="155">
      <c r="B155" s="27"/>
      <c r="C155" s="40"/>
      <c r="D155" s="164" t="s">
        <v>514</v>
      </c>
      <c r="E155" s="159">
        <v>80000.0</v>
      </c>
      <c r="F155" s="159">
        <v>177.0</v>
      </c>
      <c r="G155" s="160">
        <f t="shared" si="56"/>
        <v>0</v>
      </c>
      <c r="H155" s="159">
        <f>'PENDATAAN PERUMAHAN'!G229</f>
        <v>177</v>
      </c>
      <c r="I155" s="161">
        <f t="shared" si="58"/>
        <v>0</v>
      </c>
      <c r="J155" s="161">
        <f t="shared" si="59"/>
        <v>0.0022125</v>
      </c>
      <c r="L155" s="191"/>
    </row>
    <row r="156">
      <c r="B156" s="27"/>
      <c r="C156" s="157" t="s">
        <v>14</v>
      </c>
      <c r="D156" s="158" t="s">
        <v>21</v>
      </c>
      <c r="E156" s="159">
        <v>197500.0</v>
      </c>
      <c r="F156" s="159">
        <v>7040.0</v>
      </c>
      <c r="G156" s="160">
        <f t="shared" si="56"/>
        <v>2404</v>
      </c>
      <c r="H156" s="160">
        <f>'PENDATAAN PERUMAHAN'!H229</f>
        <v>9444</v>
      </c>
      <c r="I156" s="161">
        <f t="shared" si="58"/>
        <v>0.0121721519</v>
      </c>
      <c r="J156" s="161">
        <f t="shared" si="59"/>
        <v>0.04781772152</v>
      </c>
      <c r="L156" s="191"/>
    </row>
    <row r="157">
      <c r="B157" s="27"/>
      <c r="C157" s="27"/>
      <c r="D157" s="158" t="s">
        <v>517</v>
      </c>
      <c r="E157" s="166">
        <v>150.0</v>
      </c>
      <c r="F157" s="166">
        <v>293.0</v>
      </c>
      <c r="G157" s="160">
        <f t="shared" si="56"/>
        <v>7</v>
      </c>
      <c r="H157" s="159">
        <v>300.0</v>
      </c>
      <c r="I157" s="161">
        <f t="shared" si="58"/>
        <v>0.04666666667</v>
      </c>
      <c r="J157" s="161">
        <f t="shared" si="59"/>
        <v>2</v>
      </c>
      <c r="K157" s="169">
        <f>K159+H170</f>
        <v>177683</v>
      </c>
      <c r="L157" s="191"/>
    </row>
    <row r="158">
      <c r="B158" s="40"/>
      <c r="C158" s="40"/>
      <c r="D158" s="171" t="s">
        <v>519</v>
      </c>
      <c r="E158" s="166">
        <v>50.0</v>
      </c>
      <c r="F158" s="166">
        <v>16.0</v>
      </c>
      <c r="G158" s="160">
        <f t="shared" si="56"/>
        <v>0</v>
      </c>
      <c r="H158" s="159">
        <v>16.0</v>
      </c>
      <c r="I158" s="161"/>
      <c r="J158" s="161">
        <f t="shared" si="59"/>
        <v>0.32</v>
      </c>
      <c r="L158" s="191"/>
    </row>
    <row r="159">
      <c r="B159" s="156" t="s">
        <v>521</v>
      </c>
      <c r="C159" s="157" t="s">
        <v>522</v>
      </c>
      <c r="D159" s="171" t="s">
        <v>506</v>
      </c>
      <c r="E159" s="159">
        <v>15110.0</v>
      </c>
      <c r="F159" s="166">
        <v>0.0</v>
      </c>
      <c r="G159" s="160">
        <f t="shared" si="56"/>
        <v>0</v>
      </c>
      <c r="H159" s="160">
        <f>'PENDATAAN PERUMAHAN'!N229</f>
        <v>0</v>
      </c>
      <c r="I159" s="161">
        <f>(H159-F159)/E159</f>
        <v>0</v>
      </c>
      <c r="J159" s="161">
        <f t="shared" si="59"/>
        <v>0</v>
      </c>
      <c r="K159" s="169">
        <f>sum(H150:H158)</f>
        <v>32097</v>
      </c>
      <c r="L159" s="191"/>
    </row>
    <row r="160">
      <c r="B160" s="27"/>
      <c r="C160" s="27"/>
      <c r="D160" s="171" t="s">
        <v>508</v>
      </c>
      <c r="E160" s="159">
        <v>100.0</v>
      </c>
      <c r="F160" s="166">
        <v>569.0</v>
      </c>
      <c r="G160" s="160">
        <f t="shared" si="56"/>
        <v>10</v>
      </c>
      <c r="H160" s="160">
        <f>'PENDATAAN PERUMAHAN'!O229</f>
        <v>579</v>
      </c>
      <c r="I160" s="161"/>
      <c r="J160" s="161">
        <f t="shared" si="59"/>
        <v>5.79</v>
      </c>
      <c r="L160" s="191"/>
    </row>
    <row r="161">
      <c r="B161" s="27"/>
      <c r="C161" s="27"/>
      <c r="D161" s="171" t="s">
        <v>525</v>
      </c>
      <c r="E161" s="159">
        <v>675.0</v>
      </c>
      <c r="F161" s="159">
        <v>79.0</v>
      </c>
      <c r="G161" s="160">
        <f t="shared" si="56"/>
        <v>0</v>
      </c>
      <c r="H161" s="160">
        <f>'PENDATAAN PERUMAHAN'!P229</f>
        <v>79</v>
      </c>
      <c r="I161" s="161">
        <f t="shared" ref="I161:I166" si="60">(H161-F161)/E161</f>
        <v>0</v>
      </c>
      <c r="J161" s="161">
        <f t="shared" si="59"/>
        <v>0.117037037</v>
      </c>
      <c r="L161" s="191"/>
    </row>
    <row r="162">
      <c r="B162" s="27"/>
      <c r="C162" s="27"/>
      <c r="D162" s="171" t="s">
        <v>25</v>
      </c>
      <c r="E162" s="159">
        <v>13500.0</v>
      </c>
      <c r="F162" s="159">
        <v>25858.0</v>
      </c>
      <c r="G162" s="160">
        <f t="shared" si="56"/>
        <v>2258</v>
      </c>
      <c r="H162" s="159">
        <f>'PENDATAAN PERUMAHAN'!R229</f>
        <v>28116</v>
      </c>
      <c r="I162" s="161">
        <f t="shared" si="60"/>
        <v>0.1672592593</v>
      </c>
      <c r="J162" s="161">
        <f t="shared" si="59"/>
        <v>2.082666667</v>
      </c>
      <c r="L162" s="191"/>
    </row>
    <row r="163">
      <c r="B163" s="27"/>
      <c r="C163" s="27"/>
      <c r="D163" s="158" t="s">
        <v>24</v>
      </c>
      <c r="E163" s="159">
        <v>42200.0</v>
      </c>
      <c r="F163" s="159">
        <v>2778.0</v>
      </c>
      <c r="G163" s="160">
        <f t="shared" si="56"/>
        <v>1847</v>
      </c>
      <c r="H163" s="160">
        <f>'PENDATAAN PERUMAHAN'!Q229</f>
        <v>4625</v>
      </c>
      <c r="I163" s="161">
        <f t="shared" si="60"/>
        <v>0.04376777251</v>
      </c>
      <c r="J163" s="161">
        <f t="shared" si="59"/>
        <v>0.1095971564</v>
      </c>
      <c r="L163" s="191"/>
    </row>
    <row r="164">
      <c r="B164" s="27"/>
      <c r="C164" s="27"/>
      <c r="D164" s="158" t="s">
        <v>28</v>
      </c>
      <c r="E164" s="159">
        <v>0.0</v>
      </c>
      <c r="F164" s="159">
        <v>0.0</v>
      </c>
      <c r="G164" s="160">
        <f t="shared" si="56"/>
        <v>0</v>
      </c>
      <c r="H164" s="160">
        <f>'PENDATAAN PERUMAHAN'!T229</f>
        <v>0</v>
      </c>
      <c r="I164" s="161" t="str">
        <f t="shared" si="60"/>
        <v>#DIV/0!</v>
      </c>
      <c r="J164" s="161">
        <f>H164/36</f>
        <v>0</v>
      </c>
      <c r="L164" s="191"/>
    </row>
    <row r="165">
      <c r="B165" s="27"/>
      <c r="C165" s="27"/>
      <c r="D165" s="158" t="s">
        <v>517</v>
      </c>
      <c r="E165" s="159">
        <v>600.0</v>
      </c>
      <c r="F165" s="159">
        <v>1619.0</v>
      </c>
      <c r="G165" s="160">
        <f t="shared" si="56"/>
        <v>37</v>
      </c>
      <c r="H165" s="159">
        <v>1656.0</v>
      </c>
      <c r="I165" s="161">
        <f t="shared" si="60"/>
        <v>0.06166666667</v>
      </c>
      <c r="J165" s="161">
        <f t="shared" ref="J165:J168" si="61">H165/E165</f>
        <v>2.76</v>
      </c>
      <c r="L165" s="191"/>
    </row>
    <row r="166">
      <c r="B166" s="27"/>
      <c r="C166" s="27"/>
      <c r="D166" s="158" t="s">
        <v>29</v>
      </c>
      <c r="E166" s="159">
        <v>486897.0</v>
      </c>
      <c r="F166" s="159">
        <v>1480.0</v>
      </c>
      <c r="G166" s="160">
        <f t="shared" si="56"/>
        <v>108852</v>
      </c>
      <c r="H166" s="159">
        <f>'PENDATAAN PERUMAHAN'!U229</f>
        <v>110332</v>
      </c>
      <c r="I166" s="161">
        <f t="shared" si="60"/>
        <v>0.2235626837</v>
      </c>
      <c r="J166" s="161">
        <f t="shared" si="61"/>
        <v>0.2266023409</v>
      </c>
      <c r="K166" s="169">
        <f>sum(H159:H167)</f>
        <v>145556</v>
      </c>
      <c r="L166" s="191"/>
    </row>
    <row r="167">
      <c r="B167" s="40"/>
      <c r="C167" s="40"/>
      <c r="D167" s="174" t="s">
        <v>519</v>
      </c>
      <c r="E167" s="175">
        <v>200.0</v>
      </c>
      <c r="F167" s="175">
        <v>169.0</v>
      </c>
      <c r="G167" s="175">
        <f t="shared" si="56"/>
        <v>0</v>
      </c>
      <c r="H167" s="175">
        <v>169.0</v>
      </c>
      <c r="I167" s="175"/>
      <c r="J167" s="161">
        <f t="shared" si="61"/>
        <v>0.845</v>
      </c>
      <c r="K167" s="176"/>
      <c r="L167" s="191"/>
    </row>
    <row r="168">
      <c r="B168" s="182" t="s">
        <v>533</v>
      </c>
      <c r="C168" s="183"/>
      <c r="D168" s="31"/>
      <c r="E168" s="184">
        <f t="shared" ref="E168:F168" si="62">SUM(E150:E167)</f>
        <v>1000000</v>
      </c>
      <c r="F168" s="184">
        <f t="shared" si="62"/>
        <v>59196</v>
      </c>
      <c r="G168" s="185">
        <f>sum(G150:G167)</f>
        <v>118457</v>
      </c>
      <c r="H168" s="185">
        <f>SUM(H150:H167)</f>
        <v>177653</v>
      </c>
      <c r="I168" s="186">
        <f>(H168-F168)/E168</f>
        <v>0.118457</v>
      </c>
      <c r="J168" s="186">
        <f t="shared" si="61"/>
        <v>0.177653</v>
      </c>
      <c r="L168" s="191"/>
    </row>
    <row r="169">
      <c r="B169" s="187"/>
      <c r="C169" s="188"/>
      <c r="D169" s="189"/>
      <c r="E169" s="159"/>
      <c r="F169" s="160"/>
      <c r="G169" s="160"/>
      <c r="H169" s="160"/>
      <c r="I169" s="161"/>
      <c r="J169" s="161"/>
      <c r="L169" s="191"/>
    </row>
    <row r="170">
      <c r="B170" s="156" t="s">
        <v>6</v>
      </c>
      <c r="C170" s="157" t="s">
        <v>8</v>
      </c>
      <c r="D170" s="158" t="s">
        <v>536</v>
      </c>
      <c r="E170" s="159">
        <v>217500.0</v>
      </c>
      <c r="F170" s="159">
        <v>92569.0</v>
      </c>
      <c r="G170" s="160">
        <f t="shared" ref="G170:G171" si="63">H170-F170</f>
        <v>53017</v>
      </c>
      <c r="H170" s="160">
        <f>'PENDATAAN PERUMAHAN'!E229</f>
        <v>145586</v>
      </c>
      <c r="I170" s="161">
        <f t="shared" ref="I170:I171" si="64">(H170-F170)/E170</f>
        <v>0.2437563218</v>
      </c>
      <c r="J170" s="161">
        <f t="shared" ref="J170:J171" si="65">H170/E170</f>
        <v>0.6693609195</v>
      </c>
      <c r="L170" s="191"/>
    </row>
    <row r="171">
      <c r="B171" s="27"/>
      <c r="C171" s="27"/>
      <c r="D171" s="158" t="s">
        <v>538</v>
      </c>
      <c r="E171" s="159">
        <v>300000.0</v>
      </c>
      <c r="F171" s="159">
        <v>0.0</v>
      </c>
      <c r="G171" s="160">
        <f t="shared" si="63"/>
        <v>0</v>
      </c>
      <c r="H171" s="160">
        <f>'PENDATAAN PERUMAHAN'!V229</f>
        <v>0</v>
      </c>
      <c r="I171" s="161">
        <f t="shared" si="64"/>
        <v>0</v>
      </c>
      <c r="J171" s="161">
        <f t="shared" si="65"/>
        <v>0</v>
      </c>
      <c r="L171" s="191"/>
    </row>
    <row r="172">
      <c r="B172" s="27"/>
      <c r="C172" s="27"/>
      <c r="D172" s="158" t="s">
        <v>540</v>
      </c>
      <c r="E172" s="159">
        <v>700.0</v>
      </c>
      <c r="F172" s="159">
        <v>0.0</v>
      </c>
      <c r="G172" s="159">
        <v>0.0</v>
      </c>
      <c r="H172" s="159">
        <v>0.0</v>
      </c>
      <c r="I172" s="161"/>
      <c r="J172" s="190">
        <v>0.0</v>
      </c>
      <c r="L172" s="191"/>
    </row>
    <row r="173" hidden="1">
      <c r="B173" s="40"/>
      <c r="C173" s="40"/>
      <c r="D173" s="158" t="s">
        <v>541</v>
      </c>
      <c r="E173" s="159">
        <v>0.0</v>
      </c>
      <c r="F173" s="159">
        <v>0.0</v>
      </c>
      <c r="G173" s="160"/>
      <c r="H173" s="160">
        <f>'PENDATAAN PERUMAHAN'!W229</f>
        <v>0</v>
      </c>
      <c r="I173" s="161" t="str">
        <f t="shared" ref="I173:I175" si="66">(H173-F173)/E173</f>
        <v>#DIV/0!</v>
      </c>
      <c r="J173" s="161" t="str">
        <f t="shared" ref="J173:J175" si="67">H173/E173</f>
        <v>#DIV/0!</v>
      </c>
      <c r="L173" s="191"/>
    </row>
    <row r="174">
      <c r="B174" s="193" t="s">
        <v>542</v>
      </c>
      <c r="C174" s="19"/>
      <c r="D174" s="20"/>
      <c r="E174" s="194">
        <f>sum(E170:E172)</f>
        <v>518200</v>
      </c>
      <c r="F174" s="195">
        <f>SUM(F170:F173)</f>
        <v>92569</v>
      </c>
      <c r="G174" s="195">
        <f t="shared" ref="G174:G175" si="68">H174-F174</f>
        <v>53017</v>
      </c>
      <c r="H174" s="195">
        <f>H170+H171+H173</f>
        <v>145586</v>
      </c>
      <c r="I174" s="186">
        <f t="shared" si="66"/>
        <v>0.102309919</v>
      </c>
      <c r="J174" s="186">
        <f t="shared" si="67"/>
        <v>0.2809455809</v>
      </c>
      <c r="L174" s="191"/>
    </row>
    <row r="175">
      <c r="B175" s="197" t="s">
        <v>544</v>
      </c>
      <c r="C175" s="19"/>
      <c r="D175" s="20"/>
      <c r="E175" s="198">
        <f>E174+E168</f>
        <v>1518200</v>
      </c>
      <c r="F175" s="199">
        <f>F168+F174</f>
        <v>151765</v>
      </c>
      <c r="G175" s="200">
        <f t="shared" si="68"/>
        <v>171474</v>
      </c>
      <c r="H175" s="199">
        <f>H174+H168</f>
        <v>323239</v>
      </c>
      <c r="I175" s="201">
        <f t="shared" si="66"/>
        <v>0.1129455935</v>
      </c>
      <c r="J175" s="201">
        <f t="shared" si="67"/>
        <v>0.2129093664</v>
      </c>
      <c r="L175" s="191"/>
    </row>
    <row r="176">
      <c r="L176" s="191"/>
    </row>
    <row r="177">
      <c r="L177" s="191"/>
    </row>
    <row r="178">
      <c r="L178" s="191"/>
    </row>
    <row r="179">
      <c r="E179" s="169">
        <f>SUM(E150:E158)</f>
        <v>440718</v>
      </c>
      <c r="L179" s="191"/>
    </row>
    <row r="180">
      <c r="E180" s="169">
        <f>SUM(E179+E170)</f>
        <v>658218</v>
      </c>
      <c r="L180" s="191"/>
    </row>
    <row r="181">
      <c r="B181" s="248" t="s">
        <v>581</v>
      </c>
      <c r="L181" s="191"/>
    </row>
    <row r="182">
      <c r="B182" s="151" t="s">
        <v>494</v>
      </c>
      <c r="C182" s="152" t="s">
        <v>495</v>
      </c>
      <c r="D182" s="152" t="s">
        <v>15</v>
      </c>
      <c r="E182" s="152" t="s">
        <v>496</v>
      </c>
      <c r="F182" s="152" t="s">
        <v>497</v>
      </c>
      <c r="G182" s="152" t="s">
        <v>498</v>
      </c>
      <c r="H182" s="152" t="s">
        <v>499</v>
      </c>
      <c r="I182" s="152" t="s">
        <v>500</v>
      </c>
      <c r="J182" s="152" t="s">
        <v>501</v>
      </c>
      <c r="L182" s="191"/>
    </row>
    <row r="183">
      <c r="B183" s="156" t="s">
        <v>2</v>
      </c>
      <c r="C183" s="157" t="s">
        <v>505</v>
      </c>
      <c r="D183" s="158" t="s">
        <v>506</v>
      </c>
      <c r="E183" s="159">
        <v>518.0</v>
      </c>
      <c r="F183" s="159">
        <v>0.0</v>
      </c>
      <c r="G183" s="160">
        <f t="shared" ref="G183:G200" si="69">H183-F183</f>
        <v>25</v>
      </c>
      <c r="H183" s="160">
        <f>'PENDATAAN PERUMAHAN'!J229</f>
        <v>25</v>
      </c>
      <c r="I183" s="161">
        <f>(H183-F183)/E183</f>
        <v>0.04826254826</v>
      </c>
      <c r="J183" s="161">
        <f t="shared" ref="J183:J184" si="70">H183/$E$2</f>
        <v>0.04826254826</v>
      </c>
      <c r="L183" s="191"/>
    </row>
    <row r="184">
      <c r="B184" s="27"/>
      <c r="C184" s="27"/>
      <c r="D184" s="164" t="s">
        <v>508</v>
      </c>
      <c r="E184" s="159">
        <v>0.0</v>
      </c>
      <c r="F184" s="159">
        <v>67.0</v>
      </c>
      <c r="G184" s="160">
        <f t="shared" si="69"/>
        <v>6</v>
      </c>
      <c r="H184" s="160">
        <f>'PENDATAAN PERUMAHAN'!K229</f>
        <v>73</v>
      </c>
      <c r="I184" s="161"/>
      <c r="J184" s="161">
        <f t="shared" si="70"/>
        <v>0.1409266409</v>
      </c>
      <c r="L184" s="191"/>
    </row>
    <row r="185">
      <c r="B185" s="27"/>
      <c r="C185" s="27"/>
      <c r="D185" s="164" t="s">
        <v>25</v>
      </c>
      <c r="E185" s="166">
        <v>2500.0</v>
      </c>
      <c r="F185" s="159">
        <v>4526.0</v>
      </c>
      <c r="G185" s="160">
        <f t="shared" si="69"/>
        <v>501</v>
      </c>
      <c r="H185" s="160">
        <f>'PENDATAAN PERUMAHAN'!M229</f>
        <v>5027</v>
      </c>
      <c r="I185" s="161">
        <f>(H185-F185)/E185</f>
        <v>0.2004</v>
      </c>
      <c r="J185" s="161">
        <f>H185/E185</f>
        <v>2.0108</v>
      </c>
      <c r="L185" s="191"/>
    </row>
    <row r="186">
      <c r="B186" s="27"/>
      <c r="C186" s="40"/>
      <c r="D186" s="164" t="s">
        <v>24</v>
      </c>
      <c r="E186" s="40"/>
      <c r="F186" s="159">
        <v>468.0</v>
      </c>
      <c r="G186" s="160">
        <f t="shared" si="69"/>
        <v>528</v>
      </c>
      <c r="H186" s="160">
        <f>'PENDATAAN PERUMAHAN'!L229</f>
        <v>996</v>
      </c>
      <c r="I186" s="161"/>
      <c r="J186" s="161"/>
      <c r="L186" s="191"/>
    </row>
    <row r="187">
      <c r="B187" s="27"/>
      <c r="C187" s="157" t="s">
        <v>13</v>
      </c>
      <c r="D187" s="164" t="s">
        <v>512</v>
      </c>
      <c r="E187" s="159">
        <v>160000.0</v>
      </c>
      <c r="F187" s="159">
        <v>14408.0</v>
      </c>
      <c r="G187" s="160">
        <f t="shared" si="69"/>
        <v>1631</v>
      </c>
      <c r="H187" s="160">
        <f>'PENDATAAN PERUMAHAN'!F229</f>
        <v>16039</v>
      </c>
      <c r="I187" s="161">
        <f t="shared" ref="I187:I190" si="71">(H187-F187)/E187</f>
        <v>0.01019375</v>
      </c>
      <c r="J187" s="161">
        <f t="shared" ref="J187:J196" si="72">H187/E187</f>
        <v>0.10024375</v>
      </c>
      <c r="L187" s="191"/>
    </row>
    <row r="188">
      <c r="B188" s="27"/>
      <c r="C188" s="40"/>
      <c r="D188" s="164" t="s">
        <v>514</v>
      </c>
      <c r="E188" s="159">
        <v>80000.0</v>
      </c>
      <c r="F188" s="159">
        <v>177.0</v>
      </c>
      <c r="G188" s="160">
        <f t="shared" si="69"/>
        <v>0</v>
      </c>
      <c r="H188" s="159">
        <f>'PENDATAAN PERUMAHAN'!G229</f>
        <v>177</v>
      </c>
      <c r="I188" s="161">
        <f t="shared" si="71"/>
        <v>0</v>
      </c>
      <c r="J188" s="161">
        <f t="shared" si="72"/>
        <v>0.0022125</v>
      </c>
      <c r="L188" s="191"/>
    </row>
    <row r="189">
      <c r="B189" s="27"/>
      <c r="C189" s="157" t="s">
        <v>14</v>
      </c>
      <c r="D189" s="158" t="s">
        <v>21</v>
      </c>
      <c r="E189" s="159">
        <v>197500.0</v>
      </c>
      <c r="F189" s="159">
        <v>7148.0</v>
      </c>
      <c r="G189" s="160">
        <f t="shared" si="69"/>
        <v>2296</v>
      </c>
      <c r="H189" s="160">
        <f>'PENDATAAN PERUMAHAN'!H229</f>
        <v>9444</v>
      </c>
      <c r="I189" s="161">
        <f t="shared" si="71"/>
        <v>0.01162531646</v>
      </c>
      <c r="J189" s="161">
        <f t="shared" si="72"/>
        <v>0.04781772152</v>
      </c>
      <c r="L189" s="191"/>
    </row>
    <row r="190">
      <c r="B190" s="27"/>
      <c r="C190" s="27"/>
      <c r="D190" s="158" t="s">
        <v>517</v>
      </c>
      <c r="E190" s="166">
        <v>150.0</v>
      </c>
      <c r="F190" s="166">
        <v>300.0</v>
      </c>
      <c r="G190" s="160">
        <f t="shared" si="69"/>
        <v>26</v>
      </c>
      <c r="H190" s="159">
        <v>326.0</v>
      </c>
      <c r="I190" s="161">
        <f t="shared" si="71"/>
        <v>0.1733333333</v>
      </c>
      <c r="J190" s="161">
        <f t="shared" si="72"/>
        <v>2.173333333</v>
      </c>
      <c r="K190" s="169">
        <f>K192+H203</f>
        <v>177709</v>
      </c>
      <c r="L190" s="153" t="s">
        <v>582</v>
      </c>
    </row>
    <row r="191">
      <c r="B191" s="40"/>
      <c r="C191" s="40"/>
      <c r="D191" s="171" t="s">
        <v>519</v>
      </c>
      <c r="E191" s="166">
        <v>50.0</v>
      </c>
      <c r="F191" s="166">
        <v>16.0</v>
      </c>
      <c r="G191" s="160">
        <f t="shared" si="69"/>
        <v>0</v>
      </c>
      <c r="H191" s="159">
        <v>16.0</v>
      </c>
      <c r="I191" s="161"/>
      <c r="J191" s="161">
        <f t="shared" si="72"/>
        <v>0.32</v>
      </c>
      <c r="L191" s="191"/>
    </row>
    <row r="192">
      <c r="B192" s="156" t="s">
        <v>521</v>
      </c>
      <c r="C192" s="157" t="s">
        <v>522</v>
      </c>
      <c r="D192" s="171" t="s">
        <v>506</v>
      </c>
      <c r="E192" s="159">
        <v>15110.0</v>
      </c>
      <c r="F192" s="166">
        <v>0.0</v>
      </c>
      <c r="G192" s="160">
        <f t="shared" si="69"/>
        <v>0</v>
      </c>
      <c r="H192" s="160">
        <f>'PENDATAAN PERUMAHAN'!N229</f>
        <v>0</v>
      </c>
      <c r="I192" s="161">
        <f>(H192-F192)/E192</f>
        <v>0</v>
      </c>
      <c r="J192" s="161">
        <f t="shared" si="72"/>
        <v>0</v>
      </c>
      <c r="K192" s="169">
        <f>sum(H183:H191)</f>
        <v>32123</v>
      </c>
      <c r="L192" s="153" t="s">
        <v>583</v>
      </c>
    </row>
    <row r="193">
      <c r="B193" s="27"/>
      <c r="C193" s="27"/>
      <c r="D193" s="171" t="s">
        <v>508</v>
      </c>
      <c r="E193" s="159">
        <v>100.0</v>
      </c>
      <c r="F193" s="166">
        <v>569.0</v>
      </c>
      <c r="G193" s="160">
        <f t="shared" si="69"/>
        <v>10</v>
      </c>
      <c r="H193" s="160">
        <f>'PENDATAAN PERUMAHAN'!O229</f>
        <v>579</v>
      </c>
      <c r="I193" s="161"/>
      <c r="J193" s="161">
        <f t="shared" si="72"/>
        <v>5.79</v>
      </c>
      <c r="L193" s="191"/>
    </row>
    <row r="194">
      <c r="B194" s="27"/>
      <c r="C194" s="27"/>
      <c r="D194" s="171" t="s">
        <v>525</v>
      </c>
      <c r="E194" s="159">
        <v>675.0</v>
      </c>
      <c r="F194" s="159">
        <v>79.0</v>
      </c>
      <c r="G194" s="160">
        <f t="shared" si="69"/>
        <v>0</v>
      </c>
      <c r="H194" s="160">
        <f>'PENDATAAN PERUMAHAN'!P229</f>
        <v>79</v>
      </c>
      <c r="I194" s="161">
        <f t="shared" ref="I194:I199" si="73">(H194-F194)/E194</f>
        <v>0</v>
      </c>
      <c r="J194" s="161">
        <f t="shared" si="72"/>
        <v>0.117037037</v>
      </c>
      <c r="L194" s="191"/>
    </row>
    <row r="195">
      <c r="B195" s="27"/>
      <c r="C195" s="27"/>
      <c r="D195" s="171" t="s">
        <v>25</v>
      </c>
      <c r="E195" s="159">
        <v>13500.0</v>
      </c>
      <c r="F195" s="159">
        <v>26536.0</v>
      </c>
      <c r="G195" s="160">
        <f t="shared" si="69"/>
        <v>1580</v>
      </c>
      <c r="H195" s="159">
        <f>'PENDATAAN PERUMAHAN'!R229</f>
        <v>28116</v>
      </c>
      <c r="I195" s="161">
        <f t="shared" si="73"/>
        <v>0.117037037</v>
      </c>
      <c r="J195" s="161">
        <f t="shared" si="72"/>
        <v>2.082666667</v>
      </c>
      <c r="L195" s="191"/>
    </row>
    <row r="196">
      <c r="B196" s="27"/>
      <c r="C196" s="27"/>
      <c r="D196" s="158" t="s">
        <v>24</v>
      </c>
      <c r="E196" s="159">
        <v>42200.0</v>
      </c>
      <c r="F196" s="159">
        <v>2778.0</v>
      </c>
      <c r="G196" s="160">
        <f t="shared" si="69"/>
        <v>1847</v>
      </c>
      <c r="H196" s="160">
        <f>'PENDATAAN PERUMAHAN'!Q229</f>
        <v>4625</v>
      </c>
      <c r="I196" s="161">
        <f t="shared" si="73"/>
        <v>0.04376777251</v>
      </c>
      <c r="J196" s="161">
        <f t="shared" si="72"/>
        <v>0.1095971564</v>
      </c>
      <c r="L196" s="191"/>
    </row>
    <row r="197">
      <c r="B197" s="27"/>
      <c r="C197" s="27"/>
      <c r="D197" s="158" t="s">
        <v>28</v>
      </c>
      <c r="E197" s="159">
        <v>0.0</v>
      </c>
      <c r="F197" s="159">
        <v>0.0</v>
      </c>
      <c r="G197" s="160">
        <f t="shared" si="69"/>
        <v>0</v>
      </c>
      <c r="H197" s="160">
        <f>'PENDATAAN PERUMAHAN'!T229</f>
        <v>0</v>
      </c>
      <c r="I197" s="161" t="str">
        <f t="shared" si="73"/>
        <v>#DIV/0!</v>
      </c>
      <c r="J197" s="161">
        <f>H197/36</f>
        <v>0</v>
      </c>
      <c r="L197" s="191"/>
    </row>
    <row r="198">
      <c r="B198" s="27"/>
      <c r="C198" s="27"/>
      <c r="D198" s="158" t="s">
        <v>517</v>
      </c>
      <c r="E198" s="159">
        <v>600.0</v>
      </c>
      <c r="F198" s="159">
        <v>1656.0</v>
      </c>
      <c r="G198" s="160">
        <f t="shared" si="69"/>
        <v>1007</v>
      </c>
      <c r="H198" s="160">
        <f>'PENDATAAN PERUMAHAN'!S229</f>
        <v>2663</v>
      </c>
      <c r="I198" s="161">
        <f t="shared" si="73"/>
        <v>1.678333333</v>
      </c>
      <c r="J198" s="161">
        <f t="shared" ref="J198:J201" si="74">H198/E198</f>
        <v>4.438333333</v>
      </c>
      <c r="L198" s="191"/>
    </row>
    <row r="199">
      <c r="B199" s="27"/>
      <c r="C199" s="27"/>
      <c r="D199" s="158" t="s">
        <v>29</v>
      </c>
      <c r="E199" s="159">
        <v>486897.0</v>
      </c>
      <c r="F199" s="159">
        <v>1628.0</v>
      </c>
      <c r="G199" s="160">
        <f t="shared" si="69"/>
        <v>108704</v>
      </c>
      <c r="H199" s="159">
        <f>'PENDATAAN PERUMAHAN'!U229</f>
        <v>110332</v>
      </c>
      <c r="I199" s="161">
        <f t="shared" si="73"/>
        <v>0.223258718</v>
      </c>
      <c r="J199" s="161">
        <f t="shared" si="74"/>
        <v>0.2266023409</v>
      </c>
      <c r="K199" s="169">
        <f>sum(H192:H200)</f>
        <v>146563</v>
      </c>
      <c r="L199" s="153" t="s">
        <v>584</v>
      </c>
    </row>
    <row r="200">
      <c r="B200" s="40"/>
      <c r="C200" s="40"/>
      <c r="D200" s="174" t="s">
        <v>519</v>
      </c>
      <c r="E200" s="175">
        <v>200.0</v>
      </c>
      <c r="F200" s="175">
        <v>169.0</v>
      </c>
      <c r="G200" s="175">
        <f t="shared" si="69"/>
        <v>0</v>
      </c>
      <c r="H200" s="175">
        <v>169.0</v>
      </c>
      <c r="I200" s="175"/>
      <c r="J200" s="161">
        <f t="shared" si="74"/>
        <v>0.845</v>
      </c>
      <c r="L200" s="191"/>
    </row>
    <row r="201">
      <c r="B201" s="182" t="s">
        <v>533</v>
      </c>
      <c r="C201" s="183"/>
      <c r="D201" s="31"/>
      <c r="E201" s="184">
        <f t="shared" ref="E201:F201" si="75">SUM(E183:E200)</f>
        <v>1000000</v>
      </c>
      <c r="F201" s="184">
        <f t="shared" si="75"/>
        <v>60525</v>
      </c>
      <c r="G201" s="185">
        <f>sum(G183:G200)</f>
        <v>118161</v>
      </c>
      <c r="H201" s="185">
        <f>SUM(H183:H200)</f>
        <v>178686</v>
      </c>
      <c r="I201" s="186">
        <f>(H201-F201)/E201</f>
        <v>0.118161</v>
      </c>
      <c r="J201" s="186">
        <f t="shared" si="74"/>
        <v>0.178686</v>
      </c>
      <c r="L201" s="191"/>
    </row>
    <row r="202">
      <c r="B202" s="187"/>
      <c r="C202" s="188"/>
      <c r="D202" s="189"/>
      <c r="E202" s="159"/>
      <c r="F202" s="160"/>
      <c r="G202" s="160"/>
      <c r="H202" s="160"/>
      <c r="I202" s="161"/>
      <c r="J202" s="161"/>
      <c r="L202" s="191"/>
    </row>
    <row r="203">
      <c r="B203" s="156" t="s">
        <v>6</v>
      </c>
      <c r="C203" s="157" t="s">
        <v>8</v>
      </c>
      <c r="D203" s="158" t="s">
        <v>536</v>
      </c>
      <c r="E203" s="159">
        <v>217500.0</v>
      </c>
      <c r="F203" s="159">
        <v>99334.0</v>
      </c>
      <c r="G203" s="160">
        <f t="shared" ref="G203:G204" si="76">H203-F203</f>
        <v>46252</v>
      </c>
      <c r="H203" s="160">
        <f>'PENDATAAN PERUMAHAN'!E229</f>
        <v>145586</v>
      </c>
      <c r="I203" s="161">
        <f t="shared" ref="I203:I204" si="77">(H203-F203)/E203</f>
        <v>0.2126528736</v>
      </c>
      <c r="J203" s="161">
        <f t="shared" ref="J203:J204" si="78">H203/E203</f>
        <v>0.6693609195</v>
      </c>
      <c r="L203" s="191"/>
    </row>
    <row r="204">
      <c r="B204" s="27"/>
      <c r="C204" s="27"/>
      <c r="D204" s="158" t="s">
        <v>538</v>
      </c>
      <c r="E204" s="159">
        <v>300000.0</v>
      </c>
      <c r="F204" s="159">
        <v>0.0</v>
      </c>
      <c r="G204" s="160">
        <f t="shared" si="76"/>
        <v>0</v>
      </c>
      <c r="H204" s="160">
        <f>'PENDATAAN PERUMAHAN'!V229</f>
        <v>0</v>
      </c>
      <c r="I204" s="161">
        <f t="shared" si="77"/>
        <v>0</v>
      </c>
      <c r="J204" s="161">
        <f t="shared" si="78"/>
        <v>0</v>
      </c>
      <c r="L204" s="191"/>
    </row>
    <row r="205">
      <c r="B205" s="27"/>
      <c r="C205" s="27"/>
      <c r="D205" s="158" t="s">
        <v>540</v>
      </c>
      <c r="E205" s="159">
        <v>700.0</v>
      </c>
      <c r="F205" s="159">
        <v>0.0</v>
      </c>
      <c r="G205" s="159">
        <v>0.0</v>
      </c>
      <c r="H205" s="159">
        <v>0.0</v>
      </c>
      <c r="I205" s="161"/>
      <c r="J205" s="190">
        <v>0.0</v>
      </c>
      <c r="L205" s="191"/>
    </row>
    <row r="206" hidden="1">
      <c r="B206" s="40"/>
      <c r="C206" s="40"/>
      <c r="D206" s="158" t="s">
        <v>541</v>
      </c>
      <c r="E206" s="159">
        <v>0.0</v>
      </c>
      <c r="F206" s="159">
        <v>0.0</v>
      </c>
      <c r="G206" s="160"/>
      <c r="H206" s="159">
        <v>0.0</v>
      </c>
      <c r="I206" s="161" t="str">
        <f t="shared" ref="I206:I208" si="79">(H206-F206)/E206</f>
        <v>#DIV/0!</v>
      </c>
      <c r="J206" s="161" t="str">
        <f t="shared" ref="J206:J208" si="80">H206/E206</f>
        <v>#DIV/0!</v>
      </c>
      <c r="L206" s="191"/>
    </row>
    <row r="207">
      <c r="B207" s="193" t="s">
        <v>542</v>
      </c>
      <c r="C207" s="19"/>
      <c r="D207" s="20"/>
      <c r="E207" s="194">
        <f>sum(E203:E205)</f>
        <v>518200</v>
      </c>
      <c r="F207" s="195">
        <f>SUM(F203:F206)</f>
        <v>99334</v>
      </c>
      <c r="G207" s="195">
        <f t="shared" ref="G207:G208" si="81">H207-F207</f>
        <v>46252</v>
      </c>
      <c r="H207" s="195">
        <f>H203+H204+H206</f>
        <v>145586</v>
      </c>
      <c r="I207" s="186">
        <f t="shared" si="79"/>
        <v>0.08925511386</v>
      </c>
      <c r="J207" s="186">
        <f t="shared" si="80"/>
        <v>0.2809455809</v>
      </c>
      <c r="L207" s="191"/>
    </row>
    <row r="208">
      <c r="B208" s="197" t="s">
        <v>544</v>
      </c>
      <c r="C208" s="19"/>
      <c r="D208" s="20"/>
      <c r="E208" s="198">
        <f>E207+E201</f>
        <v>1518200</v>
      </c>
      <c r="F208" s="199">
        <f>F201+F207</f>
        <v>159859</v>
      </c>
      <c r="G208" s="200">
        <f t="shared" si="81"/>
        <v>164413</v>
      </c>
      <c r="H208" s="199">
        <f>H207+H201</f>
        <v>324272</v>
      </c>
      <c r="I208" s="201">
        <f t="shared" si="79"/>
        <v>0.1082946911</v>
      </c>
      <c r="J208" s="201">
        <f t="shared" si="80"/>
        <v>0.2135897774</v>
      </c>
      <c r="L208" s="191"/>
    </row>
    <row r="209">
      <c r="L209" s="191"/>
    </row>
    <row r="210">
      <c r="L210" s="191"/>
    </row>
    <row r="211">
      <c r="L211" s="191"/>
    </row>
    <row r="212">
      <c r="B212" s="151" t="s">
        <v>494</v>
      </c>
      <c r="C212" s="152" t="s">
        <v>495</v>
      </c>
      <c r="D212" s="152" t="s">
        <v>15</v>
      </c>
      <c r="E212" s="152" t="s">
        <v>496</v>
      </c>
      <c r="F212" s="152" t="s">
        <v>497</v>
      </c>
      <c r="G212" s="152" t="s">
        <v>498</v>
      </c>
      <c r="H212" s="152" t="s">
        <v>499</v>
      </c>
      <c r="I212" s="152" t="s">
        <v>500</v>
      </c>
      <c r="J212" s="152" t="s">
        <v>501</v>
      </c>
      <c r="L212" s="191"/>
    </row>
    <row r="213">
      <c r="B213" s="156" t="s">
        <v>2</v>
      </c>
      <c r="C213" s="157" t="s">
        <v>505</v>
      </c>
      <c r="D213" s="158" t="s">
        <v>506</v>
      </c>
      <c r="E213" s="159">
        <v>518.0</v>
      </c>
      <c r="F213" s="159">
        <v>0.0</v>
      </c>
      <c r="G213" s="160">
        <f t="shared" ref="G213:G230" si="82">H213-F213</f>
        <v>25</v>
      </c>
      <c r="H213" s="160">
        <f>'PENDATAAN PERUMAHAN'!J229</f>
        <v>25</v>
      </c>
      <c r="I213" s="161">
        <f>(H213-F213)/E213</f>
        <v>0.04826254826</v>
      </c>
      <c r="J213" s="161">
        <f t="shared" ref="J213:J214" si="83">H213/$E$2</f>
        <v>0.04826254826</v>
      </c>
      <c r="L213" s="191"/>
    </row>
    <row r="214">
      <c r="B214" s="27"/>
      <c r="C214" s="27"/>
      <c r="D214" s="164" t="s">
        <v>508</v>
      </c>
      <c r="E214" s="159">
        <v>0.0</v>
      </c>
      <c r="F214" s="159">
        <v>73.0</v>
      </c>
      <c r="G214" s="160">
        <f t="shared" si="82"/>
        <v>0</v>
      </c>
      <c r="H214" s="160">
        <f>'PENDATAAN PERUMAHAN'!K229</f>
        <v>73</v>
      </c>
      <c r="I214" s="161"/>
      <c r="J214" s="161">
        <f t="shared" si="83"/>
        <v>0.1409266409</v>
      </c>
      <c r="L214" s="191"/>
    </row>
    <row r="215">
      <c r="B215" s="27"/>
      <c r="C215" s="27"/>
      <c r="D215" s="164" t="s">
        <v>25</v>
      </c>
      <c r="E215" s="166">
        <v>2500.0</v>
      </c>
      <c r="F215" s="159">
        <v>4526.0</v>
      </c>
      <c r="G215" s="160">
        <f t="shared" si="82"/>
        <v>501</v>
      </c>
      <c r="H215" s="160">
        <f>'PENDATAAN PERUMAHAN'!M229</f>
        <v>5027</v>
      </c>
      <c r="I215" s="161">
        <f>(H215-F215)/E215</f>
        <v>0.2004</v>
      </c>
      <c r="J215" s="161">
        <f>H215/E215</f>
        <v>2.0108</v>
      </c>
      <c r="L215" s="191"/>
    </row>
    <row r="216">
      <c r="B216" s="27"/>
      <c r="C216" s="40"/>
      <c r="D216" s="164" t="s">
        <v>24</v>
      </c>
      <c r="E216" s="40"/>
      <c r="F216" s="159">
        <v>477.0</v>
      </c>
      <c r="G216" s="160">
        <f t="shared" si="82"/>
        <v>519</v>
      </c>
      <c r="H216" s="160">
        <f>'PENDATAAN PERUMAHAN'!L229</f>
        <v>996</v>
      </c>
      <c r="I216" s="161"/>
      <c r="J216" s="161"/>
      <c r="L216" s="191"/>
    </row>
    <row r="217">
      <c r="B217" s="27"/>
      <c r="C217" s="157" t="s">
        <v>13</v>
      </c>
      <c r="D217" s="164" t="s">
        <v>512</v>
      </c>
      <c r="E217" s="159">
        <v>160000.0</v>
      </c>
      <c r="F217" s="159">
        <v>14454.0</v>
      </c>
      <c r="G217" s="160">
        <f t="shared" si="82"/>
        <v>1585</v>
      </c>
      <c r="H217" s="160">
        <f>'PENDATAAN PERUMAHAN'!F229</f>
        <v>16039</v>
      </c>
      <c r="I217" s="161">
        <f t="shared" ref="I217:I220" si="84">(H217-F217)/E217</f>
        <v>0.00990625</v>
      </c>
      <c r="J217" s="161">
        <f t="shared" ref="J217:J226" si="85">H217/E217</f>
        <v>0.10024375</v>
      </c>
      <c r="L217" s="191"/>
    </row>
    <row r="218">
      <c r="B218" s="27"/>
      <c r="C218" s="40"/>
      <c r="D218" s="164" t="s">
        <v>514</v>
      </c>
      <c r="E218" s="159">
        <v>80000.0</v>
      </c>
      <c r="F218" s="159">
        <v>177.0</v>
      </c>
      <c r="G218" s="160">
        <f t="shared" si="82"/>
        <v>0</v>
      </c>
      <c r="H218" s="159">
        <f>'PENDATAAN PERUMAHAN'!G229</f>
        <v>177</v>
      </c>
      <c r="I218" s="161">
        <f t="shared" si="84"/>
        <v>0</v>
      </c>
      <c r="J218" s="161">
        <f t="shared" si="85"/>
        <v>0.0022125</v>
      </c>
      <c r="L218" s="191"/>
    </row>
    <row r="219">
      <c r="B219" s="27"/>
      <c r="C219" s="157" t="s">
        <v>14</v>
      </c>
      <c r="D219" s="158" t="s">
        <v>21</v>
      </c>
      <c r="E219" s="159">
        <v>197500.0</v>
      </c>
      <c r="F219" s="159">
        <v>7319.0</v>
      </c>
      <c r="G219" s="160">
        <f t="shared" si="82"/>
        <v>2125</v>
      </c>
      <c r="H219" s="160">
        <f>'PENDATAAN PERUMAHAN'!H229</f>
        <v>9444</v>
      </c>
      <c r="I219" s="161">
        <f t="shared" si="84"/>
        <v>0.01075949367</v>
      </c>
      <c r="J219" s="161">
        <f t="shared" si="85"/>
        <v>0.04781772152</v>
      </c>
      <c r="L219" s="191"/>
    </row>
    <row r="220">
      <c r="B220" s="27"/>
      <c r="C220" s="27"/>
      <c r="D220" s="158" t="s">
        <v>517</v>
      </c>
      <c r="E220" s="166">
        <v>150.0</v>
      </c>
      <c r="F220" s="166">
        <v>326.0</v>
      </c>
      <c r="G220" s="160">
        <f t="shared" si="82"/>
        <v>0</v>
      </c>
      <c r="H220" s="159">
        <v>326.0</v>
      </c>
      <c r="I220" s="161">
        <f t="shared" si="84"/>
        <v>0</v>
      </c>
      <c r="J220" s="161">
        <f t="shared" si="85"/>
        <v>2.173333333</v>
      </c>
      <c r="K220" s="169">
        <f>K222+H233</f>
        <v>177709</v>
      </c>
      <c r="L220" s="153" t="s">
        <v>582</v>
      </c>
    </row>
    <row r="221">
      <c r="B221" s="40"/>
      <c r="C221" s="40"/>
      <c r="D221" s="171" t="s">
        <v>519</v>
      </c>
      <c r="E221" s="166">
        <v>50.0</v>
      </c>
      <c r="F221" s="166">
        <v>16.0</v>
      </c>
      <c r="G221" s="160">
        <f t="shared" si="82"/>
        <v>0</v>
      </c>
      <c r="H221" s="159">
        <v>16.0</v>
      </c>
      <c r="I221" s="161"/>
      <c r="J221" s="161">
        <f t="shared" si="85"/>
        <v>0.32</v>
      </c>
      <c r="L221" s="191"/>
    </row>
    <row r="222">
      <c r="B222" s="156" t="s">
        <v>521</v>
      </c>
      <c r="C222" s="157" t="s">
        <v>522</v>
      </c>
      <c r="D222" s="171" t="s">
        <v>506</v>
      </c>
      <c r="E222" s="159">
        <v>15110.0</v>
      </c>
      <c r="F222" s="166">
        <v>0.0</v>
      </c>
      <c r="G222" s="160">
        <f t="shared" si="82"/>
        <v>0</v>
      </c>
      <c r="H222" s="160">
        <f>'PENDATAAN PERUMAHAN'!N229</f>
        <v>0</v>
      </c>
      <c r="I222" s="161">
        <f>(H222-F222)/E222</f>
        <v>0</v>
      </c>
      <c r="J222" s="161">
        <f t="shared" si="85"/>
        <v>0</v>
      </c>
      <c r="K222" s="169">
        <f>sum(H213:H221)</f>
        <v>32123</v>
      </c>
      <c r="L222" s="153" t="s">
        <v>583</v>
      </c>
    </row>
    <row r="223">
      <c r="B223" s="27"/>
      <c r="C223" s="27"/>
      <c r="D223" s="171" t="s">
        <v>508</v>
      </c>
      <c r="E223" s="159">
        <v>100.0</v>
      </c>
      <c r="F223" s="166">
        <v>569.0</v>
      </c>
      <c r="G223" s="160">
        <f t="shared" si="82"/>
        <v>10</v>
      </c>
      <c r="H223" s="160">
        <f>'PENDATAAN PERUMAHAN'!O229</f>
        <v>579</v>
      </c>
      <c r="I223" s="161"/>
      <c r="J223" s="161">
        <f t="shared" si="85"/>
        <v>5.79</v>
      </c>
      <c r="L223" s="191"/>
    </row>
    <row r="224">
      <c r="B224" s="27"/>
      <c r="C224" s="27"/>
      <c r="D224" s="171" t="s">
        <v>525</v>
      </c>
      <c r="E224" s="159">
        <v>675.0</v>
      </c>
      <c r="F224" s="159">
        <v>79.0</v>
      </c>
      <c r="G224" s="160">
        <f t="shared" si="82"/>
        <v>0</v>
      </c>
      <c r="H224" s="160">
        <f>'PENDATAAN PERUMAHAN'!P229</f>
        <v>79</v>
      </c>
      <c r="I224" s="161">
        <f t="shared" ref="I224:I229" si="86">(H224-F224)/E224</f>
        <v>0</v>
      </c>
      <c r="J224" s="161">
        <f t="shared" si="85"/>
        <v>0.117037037</v>
      </c>
      <c r="L224" s="191"/>
    </row>
    <row r="225">
      <c r="B225" s="27"/>
      <c r="C225" s="27"/>
      <c r="D225" s="171" t="s">
        <v>25</v>
      </c>
      <c r="E225" s="159">
        <v>13500.0</v>
      </c>
      <c r="F225" s="159">
        <v>27759.0</v>
      </c>
      <c r="G225" s="160">
        <f t="shared" si="82"/>
        <v>357</v>
      </c>
      <c r="H225" s="159">
        <f>'PENDATAAN PERUMAHAN'!R229</f>
        <v>28116</v>
      </c>
      <c r="I225" s="161">
        <f t="shared" si="86"/>
        <v>0.02644444444</v>
      </c>
      <c r="J225" s="161">
        <f t="shared" si="85"/>
        <v>2.082666667</v>
      </c>
      <c r="L225" s="191"/>
    </row>
    <row r="226">
      <c r="B226" s="27"/>
      <c r="C226" s="27"/>
      <c r="D226" s="158" t="s">
        <v>24</v>
      </c>
      <c r="E226" s="159">
        <v>42200.0</v>
      </c>
      <c r="F226" s="159">
        <v>2930.0</v>
      </c>
      <c r="G226" s="160">
        <f t="shared" si="82"/>
        <v>1695</v>
      </c>
      <c r="H226" s="160">
        <f>'PENDATAAN PERUMAHAN'!Q229</f>
        <v>4625</v>
      </c>
      <c r="I226" s="161">
        <f t="shared" si="86"/>
        <v>0.04016587678</v>
      </c>
      <c r="J226" s="161">
        <f t="shared" si="85"/>
        <v>0.1095971564</v>
      </c>
      <c r="L226" s="191"/>
    </row>
    <row r="227">
      <c r="B227" s="27"/>
      <c r="C227" s="27"/>
      <c r="D227" s="158" t="s">
        <v>28</v>
      </c>
      <c r="E227" s="159">
        <v>0.0</v>
      </c>
      <c r="F227" s="159">
        <v>0.0</v>
      </c>
      <c r="G227" s="160">
        <f t="shared" si="82"/>
        <v>0</v>
      </c>
      <c r="H227" s="160">
        <f>'PENDATAAN PERUMAHAN'!T229</f>
        <v>0</v>
      </c>
      <c r="I227" s="161" t="str">
        <f t="shared" si="86"/>
        <v>#DIV/0!</v>
      </c>
      <c r="J227" s="161">
        <f>H227/36</f>
        <v>0</v>
      </c>
      <c r="L227" s="191"/>
    </row>
    <row r="228">
      <c r="B228" s="27"/>
      <c r="C228" s="27"/>
      <c r="D228" s="158" t="s">
        <v>517</v>
      </c>
      <c r="E228" s="159">
        <v>600.0</v>
      </c>
      <c r="F228" s="159">
        <v>1825.0</v>
      </c>
      <c r="G228" s="160">
        <f t="shared" si="82"/>
        <v>27</v>
      </c>
      <c r="H228" s="159">
        <v>1852.0</v>
      </c>
      <c r="I228" s="161">
        <f t="shared" si="86"/>
        <v>0.045</v>
      </c>
      <c r="J228" s="161">
        <f t="shared" ref="J228:J231" si="87">H228/E228</f>
        <v>3.086666667</v>
      </c>
      <c r="L228" s="191"/>
    </row>
    <row r="229">
      <c r="B229" s="27"/>
      <c r="C229" s="27"/>
      <c r="D229" s="158" t="s">
        <v>29</v>
      </c>
      <c r="E229" s="159">
        <v>486897.0</v>
      </c>
      <c r="F229" s="159">
        <v>1726.0</v>
      </c>
      <c r="G229" s="160">
        <f t="shared" si="82"/>
        <v>108606</v>
      </c>
      <c r="H229" s="159">
        <f>'PENDATAAN PERUMAHAN'!U229</f>
        <v>110332</v>
      </c>
      <c r="I229" s="161">
        <f t="shared" si="86"/>
        <v>0.2230574434</v>
      </c>
      <c r="J229" s="161">
        <f t="shared" si="87"/>
        <v>0.2266023409</v>
      </c>
      <c r="K229" s="169">
        <f>sum(H222:H230)</f>
        <v>145752</v>
      </c>
      <c r="L229" s="153" t="s">
        <v>584</v>
      </c>
    </row>
    <row r="230">
      <c r="B230" s="40"/>
      <c r="C230" s="40"/>
      <c r="D230" s="174" t="s">
        <v>519</v>
      </c>
      <c r="E230" s="175">
        <v>200.0</v>
      </c>
      <c r="F230" s="175">
        <v>169.0</v>
      </c>
      <c r="G230" s="175">
        <f t="shared" si="82"/>
        <v>0</v>
      </c>
      <c r="H230" s="175">
        <v>169.0</v>
      </c>
      <c r="I230" s="175"/>
      <c r="J230" s="161">
        <f t="shared" si="87"/>
        <v>0.845</v>
      </c>
      <c r="L230" s="191"/>
    </row>
    <row r="231">
      <c r="B231" s="182" t="s">
        <v>533</v>
      </c>
      <c r="C231" s="183"/>
      <c r="D231" s="31"/>
      <c r="E231" s="184">
        <f t="shared" ref="E231:F231" si="88">SUM(E213:E230)</f>
        <v>1000000</v>
      </c>
      <c r="F231" s="184">
        <f t="shared" si="88"/>
        <v>62425</v>
      </c>
      <c r="G231" s="185">
        <f>sum(G213:G230)</f>
        <v>115450</v>
      </c>
      <c r="H231" s="185">
        <f>SUM(H213:H230)</f>
        <v>177875</v>
      </c>
      <c r="I231" s="186">
        <f>(H231-F231)/E231</f>
        <v>0.11545</v>
      </c>
      <c r="J231" s="186">
        <f t="shared" si="87"/>
        <v>0.177875</v>
      </c>
      <c r="L231" s="191"/>
    </row>
    <row r="232">
      <c r="B232" s="187"/>
      <c r="C232" s="188"/>
      <c r="D232" s="189"/>
      <c r="E232" s="159"/>
      <c r="F232" s="160"/>
      <c r="G232" s="160"/>
      <c r="H232" s="160"/>
      <c r="I232" s="161"/>
      <c r="J232" s="161"/>
      <c r="L232" s="191"/>
    </row>
    <row r="233">
      <c r="B233" s="156" t="s">
        <v>6</v>
      </c>
      <c r="C233" s="157" t="s">
        <v>8</v>
      </c>
      <c r="D233" s="158" t="s">
        <v>536</v>
      </c>
      <c r="E233" s="159">
        <v>217500.0</v>
      </c>
      <c r="F233" s="159">
        <v>105413.0</v>
      </c>
      <c r="G233" s="160">
        <f t="shared" ref="G233:G234" si="89">H233-F233</f>
        <v>40173</v>
      </c>
      <c r="H233" s="160">
        <f>'PENDATAAN PERUMAHAN'!E229</f>
        <v>145586</v>
      </c>
      <c r="I233" s="161">
        <f t="shared" ref="I233:I234" si="90">(H233-F233)/E233</f>
        <v>0.1847034483</v>
      </c>
      <c r="J233" s="161">
        <f t="shared" ref="J233:J234" si="91">H233/E233</f>
        <v>0.6693609195</v>
      </c>
      <c r="L233" s="191"/>
    </row>
    <row r="234">
      <c r="B234" s="27"/>
      <c r="C234" s="27"/>
      <c r="D234" s="158" t="s">
        <v>538</v>
      </c>
      <c r="E234" s="159">
        <v>300000.0</v>
      </c>
      <c r="F234" s="159">
        <v>0.0</v>
      </c>
      <c r="G234" s="160">
        <f t="shared" si="89"/>
        <v>0</v>
      </c>
      <c r="H234" s="160">
        <f>'PENDATAAN PERUMAHAN'!V229</f>
        <v>0</v>
      </c>
      <c r="I234" s="161">
        <f t="shared" si="90"/>
        <v>0</v>
      </c>
      <c r="J234" s="161">
        <f t="shared" si="91"/>
        <v>0</v>
      </c>
      <c r="L234" s="191"/>
    </row>
    <row r="235">
      <c r="B235" s="27"/>
      <c r="C235" s="27"/>
      <c r="D235" s="158" t="s">
        <v>540</v>
      </c>
      <c r="E235" s="159">
        <v>700.0</v>
      </c>
      <c r="F235" s="159">
        <v>0.0</v>
      </c>
      <c r="G235" s="159">
        <v>0.0</v>
      </c>
      <c r="H235" s="159">
        <v>0.0</v>
      </c>
      <c r="I235" s="161"/>
      <c r="J235" s="190">
        <v>0.0</v>
      </c>
      <c r="L235" s="191"/>
    </row>
    <row r="236" hidden="1">
      <c r="B236" s="40"/>
      <c r="C236" s="40"/>
      <c r="D236" s="158" t="s">
        <v>541</v>
      </c>
      <c r="E236" s="159">
        <v>0.0</v>
      </c>
      <c r="F236" s="159">
        <v>0.0</v>
      </c>
      <c r="G236" s="160"/>
      <c r="H236" s="160">
        <f>'PENDATAAN PERUMAHAN'!W229</f>
        <v>0</v>
      </c>
      <c r="I236" s="161" t="str">
        <f t="shared" ref="I236:I238" si="92">(H236-F236)/E236</f>
        <v>#DIV/0!</v>
      </c>
      <c r="J236" s="161"/>
      <c r="L236" s="191"/>
    </row>
    <row r="237">
      <c r="B237" s="193" t="s">
        <v>542</v>
      </c>
      <c r="C237" s="19"/>
      <c r="D237" s="20"/>
      <c r="E237" s="194">
        <f>sum(E233:E235)</f>
        <v>518200</v>
      </c>
      <c r="F237" s="195">
        <f>SUM(F233:F236)</f>
        <v>105413</v>
      </c>
      <c r="G237" s="195">
        <f t="shared" ref="G237:G238" si="93">H237-F237</f>
        <v>40173</v>
      </c>
      <c r="H237" s="195">
        <f>H233+H234+H236</f>
        <v>145586</v>
      </c>
      <c r="I237" s="186">
        <f t="shared" si="92"/>
        <v>0.07752412196</v>
      </c>
      <c r="J237" s="186">
        <f t="shared" ref="J237:J238" si="94">H237/E237</f>
        <v>0.2809455809</v>
      </c>
      <c r="L237" s="191"/>
    </row>
    <row r="238">
      <c r="B238" s="197" t="s">
        <v>544</v>
      </c>
      <c r="C238" s="19"/>
      <c r="D238" s="20"/>
      <c r="E238" s="198">
        <f>E237+E231</f>
        <v>1518200</v>
      </c>
      <c r="F238" s="199">
        <f>F231+F237</f>
        <v>167838</v>
      </c>
      <c r="G238" s="200">
        <f t="shared" si="93"/>
        <v>155623</v>
      </c>
      <c r="H238" s="199">
        <f>H237+H231</f>
        <v>323461</v>
      </c>
      <c r="I238" s="201">
        <f t="shared" si="92"/>
        <v>0.1025049401</v>
      </c>
      <c r="J238" s="201">
        <f t="shared" si="94"/>
        <v>0.2130555921</v>
      </c>
      <c r="L238" s="191"/>
    </row>
    <row r="239">
      <c r="L239" s="191"/>
    </row>
    <row r="240">
      <c r="L240" s="191"/>
    </row>
    <row r="241">
      <c r="B241" s="251"/>
      <c r="C241" s="251"/>
      <c r="D241" s="251"/>
      <c r="E241" s="251"/>
      <c r="F241" s="251"/>
      <c r="G241" s="251"/>
      <c r="H241" s="251"/>
      <c r="I241" s="251"/>
      <c r="J241" s="251"/>
      <c r="L241" s="191"/>
    </row>
    <row r="242">
      <c r="B242" s="151" t="s">
        <v>494</v>
      </c>
      <c r="C242" s="152" t="s">
        <v>495</v>
      </c>
      <c r="D242" s="152" t="s">
        <v>15</v>
      </c>
      <c r="E242" s="152" t="s">
        <v>496</v>
      </c>
      <c r="F242" s="152" t="s">
        <v>497</v>
      </c>
      <c r="G242" s="152" t="s">
        <v>498</v>
      </c>
      <c r="H242" s="152" t="s">
        <v>499</v>
      </c>
      <c r="I242" s="152" t="s">
        <v>500</v>
      </c>
      <c r="J242" s="152" t="s">
        <v>501</v>
      </c>
      <c r="L242" s="191"/>
    </row>
    <row r="243">
      <c r="B243" s="156" t="s">
        <v>2</v>
      </c>
      <c r="C243" s="157" t="s">
        <v>505</v>
      </c>
      <c r="D243" s="158" t="s">
        <v>506</v>
      </c>
      <c r="E243" s="159">
        <v>518.0</v>
      </c>
      <c r="F243" s="160">
        <v>0.0</v>
      </c>
      <c r="G243" s="160">
        <v>0.0</v>
      </c>
      <c r="H243" s="160">
        <f>'PENDATAAN PERUMAHAN'!J229</f>
        <v>25</v>
      </c>
      <c r="I243" s="161">
        <f>(H243-F243)/E243</f>
        <v>0.04826254826</v>
      </c>
      <c r="J243" s="161">
        <f t="shared" ref="J243:J244" si="95">H243/$E$2</f>
        <v>0.04826254826</v>
      </c>
      <c r="L243" s="191"/>
    </row>
    <row r="244">
      <c r="B244" s="27"/>
      <c r="C244" s="27"/>
      <c r="D244" s="164" t="s">
        <v>508</v>
      </c>
      <c r="E244" s="159">
        <v>0.0</v>
      </c>
      <c r="F244" s="160">
        <v>73.0</v>
      </c>
      <c r="G244" s="160">
        <v>6.0</v>
      </c>
      <c r="H244" s="160">
        <f>'PENDATAAN PERUMAHAN'!K229</f>
        <v>73</v>
      </c>
      <c r="I244" s="161"/>
      <c r="J244" s="161">
        <f t="shared" si="95"/>
        <v>0.1409266409</v>
      </c>
      <c r="L244" s="191"/>
    </row>
    <row r="245">
      <c r="B245" s="27"/>
      <c r="C245" s="27"/>
      <c r="D245" s="164" t="s">
        <v>25</v>
      </c>
      <c r="E245" s="166">
        <v>2500.0</v>
      </c>
      <c r="F245" s="159">
        <v>4527.0</v>
      </c>
      <c r="G245" s="160">
        <v>310.0</v>
      </c>
      <c r="H245" s="160">
        <f>'PENDATAAN PERUMAHAN'!M229</f>
        <v>5027</v>
      </c>
      <c r="I245" s="161">
        <f>(H245-F245)/E245</f>
        <v>0.2</v>
      </c>
      <c r="J245" s="252">
        <f>H245/E245</f>
        <v>2.0108</v>
      </c>
      <c r="L245" s="191"/>
    </row>
    <row r="246">
      <c r="B246" s="27"/>
      <c r="C246" s="40"/>
      <c r="D246" s="164" t="s">
        <v>24</v>
      </c>
      <c r="E246" s="40"/>
      <c r="F246" s="159">
        <v>481.0</v>
      </c>
      <c r="G246" s="160">
        <v>76.0</v>
      </c>
      <c r="H246" s="160">
        <f>'PENDATAAN PERUMAHAN'!L229</f>
        <v>996</v>
      </c>
      <c r="I246" s="161"/>
      <c r="J246" s="40"/>
      <c r="L246" s="191"/>
    </row>
    <row r="247">
      <c r="B247" s="27"/>
      <c r="C247" s="157" t="s">
        <v>13</v>
      </c>
      <c r="D247" s="164" t="s">
        <v>512</v>
      </c>
      <c r="E247" s="159">
        <v>160000.0</v>
      </c>
      <c r="F247" s="159">
        <v>14594.0</v>
      </c>
      <c r="G247" s="160">
        <v>185.0</v>
      </c>
      <c r="H247" s="160">
        <f>'PENDATAAN PERUMAHAN'!F229</f>
        <v>16039</v>
      </c>
      <c r="I247" s="161">
        <f t="shared" ref="I247:I250" si="96">(H247-F247)/E247</f>
        <v>0.00903125</v>
      </c>
      <c r="J247" s="161">
        <f t="shared" ref="J247:J256" si="97">H247/E247</f>
        <v>0.10024375</v>
      </c>
      <c r="L247" s="191"/>
    </row>
    <row r="248">
      <c r="B248" s="27"/>
      <c r="C248" s="40"/>
      <c r="D248" s="164" t="s">
        <v>514</v>
      </c>
      <c r="E248" s="159">
        <v>80000.0</v>
      </c>
      <c r="F248" s="159">
        <v>177.0</v>
      </c>
      <c r="G248" s="160">
        <v>0.0</v>
      </c>
      <c r="H248" s="159">
        <f>'PENDATAAN PERUMAHAN'!G229</f>
        <v>177</v>
      </c>
      <c r="I248" s="161">
        <f t="shared" si="96"/>
        <v>0</v>
      </c>
      <c r="J248" s="161">
        <f t="shared" si="97"/>
        <v>0.0022125</v>
      </c>
      <c r="L248" s="191"/>
    </row>
    <row r="249">
      <c r="B249" s="27"/>
      <c r="C249" s="157" t="s">
        <v>14</v>
      </c>
      <c r="D249" s="158" t="s">
        <v>21</v>
      </c>
      <c r="E249" s="159">
        <v>197500.0</v>
      </c>
      <c r="F249" s="159">
        <v>7448.0</v>
      </c>
      <c r="G249" s="160">
        <v>539.0</v>
      </c>
      <c r="H249" s="160">
        <f>'PENDATAAN PERUMAHAN'!H229</f>
        <v>9444</v>
      </c>
      <c r="I249" s="161">
        <f t="shared" si="96"/>
        <v>0.01010632911</v>
      </c>
      <c r="J249" s="161">
        <f t="shared" si="97"/>
        <v>0.04781772152</v>
      </c>
      <c r="L249" s="191"/>
    </row>
    <row r="250">
      <c r="B250" s="27"/>
      <c r="C250" s="27"/>
      <c r="D250" s="158" t="s">
        <v>517</v>
      </c>
      <c r="E250" s="166">
        <v>150.0</v>
      </c>
      <c r="F250" s="166">
        <v>326.0</v>
      </c>
      <c r="G250" s="159">
        <v>0.0</v>
      </c>
      <c r="H250" s="159">
        <v>326.0</v>
      </c>
      <c r="I250" s="161">
        <f t="shared" si="96"/>
        <v>0</v>
      </c>
      <c r="J250" s="161">
        <f t="shared" si="97"/>
        <v>2.173333333</v>
      </c>
      <c r="K250" s="169">
        <f>K252+H263</f>
        <v>177709</v>
      </c>
      <c r="L250" s="153" t="s">
        <v>582</v>
      </c>
    </row>
    <row r="251">
      <c r="B251" s="40"/>
      <c r="C251" s="40"/>
      <c r="D251" s="171" t="s">
        <v>519</v>
      </c>
      <c r="E251" s="166">
        <v>50.0</v>
      </c>
      <c r="F251" s="166">
        <v>16.0</v>
      </c>
      <c r="G251" s="160">
        <v>0.0</v>
      </c>
      <c r="H251" s="159">
        <v>16.0</v>
      </c>
      <c r="I251" s="161"/>
      <c r="J251" s="161">
        <f t="shared" si="97"/>
        <v>0.32</v>
      </c>
      <c r="L251" s="191"/>
    </row>
    <row r="252">
      <c r="B252" s="156" t="s">
        <v>521</v>
      </c>
      <c r="C252" s="157" t="s">
        <v>522</v>
      </c>
      <c r="D252" s="171" t="s">
        <v>506</v>
      </c>
      <c r="E252" s="159">
        <v>15110.0</v>
      </c>
      <c r="F252" s="253">
        <v>0.0</v>
      </c>
      <c r="G252" s="160">
        <v>0.0</v>
      </c>
      <c r="H252" s="160">
        <f>'PENDATAAN PERUMAHAN'!N229</f>
        <v>0</v>
      </c>
      <c r="I252" s="161">
        <f>(H252-F252)/E252</f>
        <v>0</v>
      </c>
      <c r="J252" s="161">
        <f t="shared" si="97"/>
        <v>0</v>
      </c>
      <c r="K252" s="169">
        <f>sum(H243:H251)</f>
        <v>32123</v>
      </c>
      <c r="L252" s="153" t="s">
        <v>583</v>
      </c>
    </row>
    <row r="253">
      <c r="B253" s="27"/>
      <c r="C253" s="27"/>
      <c r="D253" s="171" t="s">
        <v>508</v>
      </c>
      <c r="E253" s="159">
        <v>100.0</v>
      </c>
      <c r="F253" s="253">
        <v>569.0</v>
      </c>
      <c r="G253" s="160">
        <v>0.0</v>
      </c>
      <c r="H253" s="160">
        <f>'PENDATAAN PERUMAHAN'!O229</f>
        <v>579</v>
      </c>
      <c r="I253" s="161"/>
      <c r="J253" s="161">
        <f t="shared" si="97"/>
        <v>5.79</v>
      </c>
      <c r="L253" s="191"/>
    </row>
    <row r="254">
      <c r="B254" s="27"/>
      <c r="C254" s="27"/>
      <c r="D254" s="171" t="s">
        <v>525</v>
      </c>
      <c r="E254" s="159">
        <v>675.0</v>
      </c>
      <c r="F254" s="160">
        <v>79.0</v>
      </c>
      <c r="G254" s="160">
        <v>0.0</v>
      </c>
      <c r="H254" s="160">
        <f>'PENDATAAN PERUMAHAN'!P229</f>
        <v>79</v>
      </c>
      <c r="I254" s="161">
        <f t="shared" ref="I254:I259" si="98">(H254-F254)/E254</f>
        <v>0</v>
      </c>
      <c r="J254" s="161">
        <f t="shared" si="97"/>
        <v>0.117037037</v>
      </c>
      <c r="L254" s="191"/>
    </row>
    <row r="255">
      <c r="B255" s="27"/>
      <c r="C255" s="27"/>
      <c r="D255" s="171" t="s">
        <v>25</v>
      </c>
      <c r="E255" s="159">
        <v>13500.0</v>
      </c>
      <c r="F255" s="159">
        <v>27867.0</v>
      </c>
      <c r="G255" s="160">
        <v>2260.0</v>
      </c>
      <c r="H255" s="159">
        <f>'PENDATAAN PERUMAHAN'!R229</f>
        <v>28116</v>
      </c>
      <c r="I255" s="161">
        <f t="shared" si="98"/>
        <v>0.01844444444</v>
      </c>
      <c r="J255" s="161">
        <f t="shared" si="97"/>
        <v>2.082666667</v>
      </c>
      <c r="L255" s="191"/>
    </row>
    <row r="256">
      <c r="B256" s="27"/>
      <c r="C256" s="27"/>
      <c r="D256" s="158" t="s">
        <v>24</v>
      </c>
      <c r="E256" s="159">
        <v>42200.0</v>
      </c>
      <c r="F256" s="159">
        <v>3014.0</v>
      </c>
      <c r="G256" s="160">
        <v>196.0</v>
      </c>
      <c r="H256" s="160">
        <f>'PENDATAAN PERUMAHAN'!Q229</f>
        <v>4625</v>
      </c>
      <c r="I256" s="161">
        <f t="shared" si="98"/>
        <v>0.03817535545</v>
      </c>
      <c r="J256" s="161">
        <f t="shared" si="97"/>
        <v>0.1095971564</v>
      </c>
      <c r="L256" s="191"/>
    </row>
    <row r="257">
      <c r="B257" s="27"/>
      <c r="C257" s="27"/>
      <c r="D257" s="158" t="s">
        <v>28</v>
      </c>
      <c r="E257" s="159">
        <v>0.0</v>
      </c>
      <c r="F257" s="160">
        <v>0.0</v>
      </c>
      <c r="G257" s="160">
        <v>0.0</v>
      </c>
      <c r="H257" s="160">
        <f>'PENDATAAN PERUMAHAN'!T229</f>
        <v>0</v>
      </c>
      <c r="I257" s="161" t="str">
        <f t="shared" si="98"/>
        <v>#DIV/0!</v>
      </c>
      <c r="J257" s="161">
        <f>H257/36</f>
        <v>0</v>
      </c>
      <c r="L257" s="191"/>
    </row>
    <row r="258">
      <c r="B258" s="27"/>
      <c r="C258" s="27"/>
      <c r="D258" s="158" t="s">
        <v>517</v>
      </c>
      <c r="E258" s="159">
        <v>600.0</v>
      </c>
      <c r="F258" s="159">
        <v>1852.0</v>
      </c>
      <c r="G258" s="160">
        <f>1936-F258</f>
        <v>84</v>
      </c>
      <c r="H258" s="159">
        <v>1936.0</v>
      </c>
      <c r="I258" s="161">
        <f t="shared" si="98"/>
        <v>0.14</v>
      </c>
      <c r="J258" s="161">
        <f t="shared" ref="J258:J261" si="99">H258/E258</f>
        <v>3.226666667</v>
      </c>
      <c r="L258" s="191"/>
    </row>
    <row r="259">
      <c r="B259" s="27"/>
      <c r="C259" s="27"/>
      <c r="D259" s="158" t="s">
        <v>29</v>
      </c>
      <c r="E259" s="159">
        <v>486897.0</v>
      </c>
      <c r="F259" s="159">
        <v>1865.0</v>
      </c>
      <c r="G259" s="160">
        <v>682.0</v>
      </c>
      <c r="H259" s="159">
        <f>'PENDATAAN PERUMAHAN'!U229</f>
        <v>110332</v>
      </c>
      <c r="I259" s="161">
        <f t="shared" si="98"/>
        <v>0.222771962</v>
      </c>
      <c r="J259" s="161">
        <f t="shared" si="99"/>
        <v>0.2266023409</v>
      </c>
      <c r="K259" s="169">
        <f>sum(H252:H260)</f>
        <v>145836</v>
      </c>
      <c r="L259" s="153" t="s">
        <v>584</v>
      </c>
    </row>
    <row r="260">
      <c r="B260" s="40"/>
      <c r="C260" s="40"/>
      <c r="D260" s="174" t="s">
        <v>519</v>
      </c>
      <c r="E260" s="175">
        <v>200.0</v>
      </c>
      <c r="F260" s="175">
        <v>169.0</v>
      </c>
      <c r="G260" s="175">
        <v>0.0</v>
      </c>
      <c r="H260" s="175">
        <v>169.0</v>
      </c>
      <c r="I260" s="175"/>
      <c r="J260" s="161">
        <f t="shared" si="99"/>
        <v>0.845</v>
      </c>
      <c r="L260" s="191"/>
    </row>
    <row r="261">
      <c r="B261" s="182" t="s">
        <v>533</v>
      </c>
      <c r="C261" s="183"/>
      <c r="D261" s="31"/>
      <c r="E261" s="184">
        <f>SUM(E243:E260)</f>
        <v>1000000</v>
      </c>
      <c r="F261" s="185">
        <f>sum(F243:F260)</f>
        <v>63057</v>
      </c>
      <c r="G261" s="185">
        <v>5175.0</v>
      </c>
      <c r="H261" s="185">
        <f>SUM(H243:H260)</f>
        <v>177959</v>
      </c>
      <c r="I261" s="186">
        <f>(H261-F261)/E261</f>
        <v>0.114902</v>
      </c>
      <c r="J261" s="186">
        <f t="shared" si="99"/>
        <v>0.177959</v>
      </c>
      <c r="L261" s="191"/>
    </row>
    <row r="262">
      <c r="B262" s="187"/>
      <c r="C262" s="188"/>
      <c r="D262" s="189"/>
      <c r="E262" s="159"/>
      <c r="F262" s="160"/>
      <c r="G262" s="160"/>
      <c r="H262" s="160" t="str">
        <f>'PENDATAAN PERUMAHAN'!J248</f>
        <v/>
      </c>
      <c r="I262" s="161"/>
      <c r="J262" s="161"/>
      <c r="L262" s="191"/>
    </row>
    <row r="263">
      <c r="B263" s="156" t="s">
        <v>6</v>
      </c>
      <c r="C263" s="157" t="s">
        <v>8</v>
      </c>
      <c r="D263" s="158" t="s">
        <v>536</v>
      </c>
      <c r="E263" s="159">
        <v>217500.0</v>
      </c>
      <c r="F263" s="159">
        <v>106767.0</v>
      </c>
      <c r="G263" s="160">
        <v>16077.0</v>
      </c>
      <c r="H263" s="160">
        <f>'PENDATAAN PERUMAHAN'!E229</f>
        <v>145586</v>
      </c>
      <c r="I263" s="161">
        <f t="shared" ref="I263:I264" si="100">(H263-F263)/E263</f>
        <v>0.1784781609</v>
      </c>
      <c r="J263" s="161">
        <f t="shared" ref="J263:J264" si="101">H263/E263</f>
        <v>0.6693609195</v>
      </c>
      <c r="L263" s="191"/>
    </row>
    <row r="264">
      <c r="B264" s="27"/>
      <c r="C264" s="27"/>
      <c r="D264" s="158" t="s">
        <v>538</v>
      </c>
      <c r="E264" s="159">
        <v>300000.0</v>
      </c>
      <c r="F264" s="160">
        <v>0.0</v>
      </c>
      <c r="G264" s="160">
        <v>0.0</v>
      </c>
      <c r="H264" s="160">
        <f>'PENDATAAN PERUMAHAN'!V229</f>
        <v>0</v>
      </c>
      <c r="I264" s="161">
        <f t="shared" si="100"/>
        <v>0</v>
      </c>
      <c r="J264" s="161">
        <f t="shared" si="101"/>
        <v>0</v>
      </c>
      <c r="L264" s="191"/>
    </row>
    <row r="265">
      <c r="B265" s="40"/>
      <c r="C265" s="40"/>
      <c r="D265" s="158" t="s">
        <v>540</v>
      </c>
      <c r="E265" s="159">
        <v>700.0</v>
      </c>
      <c r="F265" s="159">
        <v>0.0</v>
      </c>
      <c r="G265" s="159">
        <v>0.0</v>
      </c>
      <c r="H265" s="160">
        <v>0.0</v>
      </c>
      <c r="I265" s="161"/>
      <c r="J265" s="190">
        <v>0.0</v>
      </c>
      <c r="L265" s="191"/>
    </row>
    <row r="266">
      <c r="B266" s="193" t="s">
        <v>542</v>
      </c>
      <c r="C266" s="19"/>
      <c r="D266" s="20"/>
      <c r="E266" s="194">
        <f>sum(E263:E265)</f>
        <v>518200</v>
      </c>
      <c r="F266" s="195">
        <f>SUM(F263:F265)</f>
        <v>106767</v>
      </c>
      <c r="G266" s="195">
        <v>16077.0</v>
      </c>
      <c r="H266" s="195">
        <f>H263+H264</f>
        <v>145586</v>
      </c>
      <c r="I266" s="186">
        <f t="shared" ref="I266:I267" si="103">(H266-F266)/E266</f>
        <v>0.07491123118</v>
      </c>
      <c r="J266" s="186">
        <f t="shared" ref="J266:J267" si="104">H266/E266</f>
        <v>0.2809455809</v>
      </c>
      <c r="L266" s="191"/>
    </row>
    <row r="267">
      <c r="B267" s="197" t="s">
        <v>544</v>
      </c>
      <c r="C267" s="19"/>
      <c r="D267" s="20"/>
      <c r="E267" s="198">
        <f t="shared" ref="E267:F267" si="102">E266+E261</f>
        <v>1518200</v>
      </c>
      <c r="F267" s="198">
        <f t="shared" si="102"/>
        <v>169824</v>
      </c>
      <c r="G267" s="200">
        <v>21252.0</v>
      </c>
      <c r="H267" s="199">
        <f>H266+H261</f>
        <v>323545</v>
      </c>
      <c r="I267" s="201">
        <f t="shared" si="103"/>
        <v>0.1012521407</v>
      </c>
      <c r="J267" s="201">
        <f t="shared" si="104"/>
        <v>0.2131109208</v>
      </c>
      <c r="L267" s="191"/>
    </row>
    <row r="268">
      <c r="L268" s="191"/>
    </row>
    <row r="269">
      <c r="L269" s="191"/>
    </row>
    <row r="270">
      <c r="L270" s="191"/>
    </row>
    <row r="271">
      <c r="L271" s="191"/>
    </row>
    <row r="272">
      <c r="H272" s="249">
        <f>569+79</f>
        <v>648</v>
      </c>
      <c r="L272" s="191"/>
    </row>
    <row r="273">
      <c r="L273" s="191"/>
    </row>
    <row r="274">
      <c r="L274" s="191"/>
    </row>
    <row r="275">
      <c r="L275" s="191"/>
    </row>
    <row r="276">
      <c r="B276" s="248" t="s">
        <v>585</v>
      </c>
      <c r="L276" s="191"/>
    </row>
    <row r="277">
      <c r="B277" s="151" t="s">
        <v>494</v>
      </c>
      <c r="C277" s="152" t="s">
        <v>495</v>
      </c>
      <c r="D277" s="152" t="s">
        <v>15</v>
      </c>
      <c r="E277" s="152" t="s">
        <v>496</v>
      </c>
      <c r="F277" s="152" t="s">
        <v>497</v>
      </c>
      <c r="G277" s="152" t="s">
        <v>498</v>
      </c>
      <c r="H277" s="152" t="s">
        <v>499</v>
      </c>
      <c r="I277" s="152" t="s">
        <v>500</v>
      </c>
      <c r="J277" s="152" t="s">
        <v>501</v>
      </c>
      <c r="L277" s="191"/>
    </row>
    <row r="278">
      <c r="B278" s="156" t="s">
        <v>2</v>
      </c>
      <c r="C278" s="157" t="s">
        <v>505</v>
      </c>
      <c r="D278" s="158" t="s">
        <v>506</v>
      </c>
      <c r="E278" s="159">
        <v>518.0</v>
      </c>
      <c r="F278" s="254">
        <v>0.0</v>
      </c>
      <c r="G278" s="160">
        <f t="shared" ref="G278:G295" si="105">H278-F278</f>
        <v>25</v>
      </c>
      <c r="H278" s="160">
        <f>'PENDATAAN PERUMAHAN'!$J$229</f>
        <v>25</v>
      </c>
      <c r="I278" s="161">
        <f>(H278-F278)/E278</f>
        <v>0.04826254826</v>
      </c>
      <c r="J278" s="161">
        <f t="shared" ref="J278:J279" si="106">H278/$E$2</f>
        <v>0.04826254826</v>
      </c>
      <c r="L278" s="191"/>
    </row>
    <row r="279">
      <c r="B279" s="27"/>
      <c r="C279" s="27"/>
      <c r="D279" s="164" t="s">
        <v>508</v>
      </c>
      <c r="E279" s="159">
        <v>0.0</v>
      </c>
      <c r="F279" s="254">
        <v>73.0</v>
      </c>
      <c r="G279" s="160">
        <f t="shared" si="105"/>
        <v>0</v>
      </c>
      <c r="H279" s="160">
        <f>'PENDATAAN PERUMAHAN'!$K$229</f>
        <v>73</v>
      </c>
      <c r="I279" s="161"/>
      <c r="J279" s="161">
        <f t="shared" si="106"/>
        <v>0.1409266409</v>
      </c>
      <c r="L279" s="191"/>
    </row>
    <row r="280">
      <c r="B280" s="27"/>
      <c r="C280" s="27"/>
      <c r="D280" s="164" t="s">
        <v>25</v>
      </c>
      <c r="E280" s="166">
        <v>2500.0</v>
      </c>
      <c r="F280" s="254">
        <v>4532.0</v>
      </c>
      <c r="G280" s="160">
        <f t="shared" si="105"/>
        <v>495</v>
      </c>
      <c r="H280" s="160">
        <f>'PENDATAAN PERUMAHAN'!$M$229</f>
        <v>5027</v>
      </c>
      <c r="I280" s="161">
        <f>(H280-F280)/E280</f>
        <v>0.198</v>
      </c>
      <c r="J280" s="161">
        <f>H280/E280</f>
        <v>2.0108</v>
      </c>
      <c r="L280" s="191"/>
    </row>
    <row r="281">
      <c r="B281" s="27"/>
      <c r="C281" s="40"/>
      <c r="D281" s="164" t="s">
        <v>24</v>
      </c>
      <c r="E281" s="167">
        <v>0.0</v>
      </c>
      <c r="F281" s="254">
        <v>497.0</v>
      </c>
      <c r="G281" s="160">
        <f t="shared" si="105"/>
        <v>499</v>
      </c>
      <c r="H281" s="160">
        <f>'PENDATAAN PERUMAHAN'!$L$229</f>
        <v>996</v>
      </c>
      <c r="I281" s="161"/>
      <c r="J281" s="161"/>
      <c r="L281" s="191"/>
    </row>
    <row r="282">
      <c r="B282" s="27"/>
      <c r="C282" s="157" t="s">
        <v>13</v>
      </c>
      <c r="D282" s="164" t="s">
        <v>512</v>
      </c>
      <c r="E282" s="159">
        <v>160000.0</v>
      </c>
      <c r="F282" s="254">
        <v>14598.0</v>
      </c>
      <c r="G282" s="160">
        <f t="shared" si="105"/>
        <v>1441</v>
      </c>
      <c r="H282" s="160">
        <f>'PENDATAAN PERUMAHAN'!$F$229</f>
        <v>16039</v>
      </c>
      <c r="I282" s="161">
        <f t="shared" ref="I282:I285" si="107">(H282-F282)/E282</f>
        <v>0.00900625</v>
      </c>
      <c r="J282" s="161">
        <f t="shared" ref="J282:J291" si="108">H282/E282</f>
        <v>0.10024375</v>
      </c>
      <c r="L282" s="191"/>
    </row>
    <row r="283">
      <c r="B283" s="27"/>
      <c r="C283" s="40"/>
      <c r="D283" s="164" t="s">
        <v>514</v>
      </c>
      <c r="E283" s="159">
        <v>80000.0</v>
      </c>
      <c r="F283" s="254">
        <v>177.0</v>
      </c>
      <c r="G283" s="160">
        <f t="shared" si="105"/>
        <v>0</v>
      </c>
      <c r="H283" s="159">
        <f>'PENDATAAN PERUMAHAN'!$G$229</f>
        <v>177</v>
      </c>
      <c r="I283" s="161">
        <f t="shared" si="107"/>
        <v>0</v>
      </c>
      <c r="J283" s="161">
        <f t="shared" si="108"/>
        <v>0.0022125</v>
      </c>
      <c r="L283" s="191"/>
    </row>
    <row r="284">
      <c r="B284" s="27"/>
      <c r="C284" s="157" t="s">
        <v>14</v>
      </c>
      <c r="D284" s="158" t="s">
        <v>21</v>
      </c>
      <c r="E284" s="159">
        <v>197500.0</v>
      </c>
      <c r="F284" s="254">
        <v>7579.0</v>
      </c>
      <c r="G284" s="160">
        <f t="shared" si="105"/>
        <v>1865</v>
      </c>
      <c r="H284" s="160">
        <f>'PENDATAAN PERUMAHAN'!$H$229</f>
        <v>9444</v>
      </c>
      <c r="I284" s="161">
        <f t="shared" si="107"/>
        <v>0.009443037975</v>
      </c>
      <c r="J284" s="161">
        <f t="shared" si="108"/>
        <v>0.04781772152</v>
      </c>
      <c r="L284" s="191"/>
    </row>
    <row r="285">
      <c r="B285" s="27"/>
      <c r="C285" s="27"/>
      <c r="D285" s="158" t="s">
        <v>517</v>
      </c>
      <c r="E285" s="166">
        <v>150.0</v>
      </c>
      <c r="F285" s="255">
        <v>326.0</v>
      </c>
      <c r="G285" s="160">
        <f t="shared" si="105"/>
        <v>250</v>
      </c>
      <c r="H285" s="159">
        <v>576.0</v>
      </c>
      <c r="I285" s="161">
        <f t="shared" si="107"/>
        <v>1.666666667</v>
      </c>
      <c r="J285" s="161">
        <f t="shared" si="108"/>
        <v>3.84</v>
      </c>
      <c r="L285" s="191"/>
    </row>
    <row r="286">
      <c r="B286" s="40"/>
      <c r="C286" s="40"/>
      <c r="D286" s="171" t="s">
        <v>519</v>
      </c>
      <c r="E286" s="166">
        <v>50.0</v>
      </c>
      <c r="F286" s="256">
        <v>16.0</v>
      </c>
      <c r="G286" s="160">
        <f t="shared" si="105"/>
        <v>0</v>
      </c>
      <c r="H286" s="159">
        <v>16.0</v>
      </c>
      <c r="I286" s="161"/>
      <c r="J286" s="161">
        <f t="shared" si="108"/>
        <v>0.32</v>
      </c>
      <c r="L286" s="191"/>
    </row>
    <row r="287">
      <c r="B287" s="156" t="s">
        <v>521</v>
      </c>
      <c r="C287" s="157" t="s">
        <v>522</v>
      </c>
      <c r="D287" s="171" t="s">
        <v>506</v>
      </c>
      <c r="E287" s="159">
        <v>15110.0</v>
      </c>
      <c r="F287" s="256">
        <v>0.0</v>
      </c>
      <c r="G287" s="160">
        <f t="shared" si="105"/>
        <v>0</v>
      </c>
      <c r="H287" s="160">
        <f>'PENDATAAN PERUMAHAN'!$N$229</f>
        <v>0</v>
      </c>
      <c r="I287" s="161">
        <f>(H287-F287)/E287</f>
        <v>0</v>
      </c>
      <c r="J287" s="161">
        <f t="shared" si="108"/>
        <v>0</v>
      </c>
      <c r="L287" s="191"/>
    </row>
    <row r="288">
      <c r="B288" s="27"/>
      <c r="C288" s="27"/>
      <c r="D288" s="171" t="s">
        <v>508</v>
      </c>
      <c r="E288" s="159">
        <v>100.0</v>
      </c>
      <c r="F288" s="256">
        <v>569.0</v>
      </c>
      <c r="G288" s="160">
        <f t="shared" si="105"/>
        <v>10</v>
      </c>
      <c r="H288" s="160">
        <f>'PENDATAAN PERUMAHAN'!$O$229</f>
        <v>579</v>
      </c>
      <c r="I288" s="161"/>
      <c r="J288" s="161">
        <f t="shared" si="108"/>
        <v>5.79</v>
      </c>
      <c r="L288" s="191"/>
    </row>
    <row r="289">
      <c r="B289" s="27"/>
      <c r="C289" s="27"/>
      <c r="D289" s="171" t="s">
        <v>525</v>
      </c>
      <c r="E289" s="159">
        <v>675.0</v>
      </c>
      <c r="F289" s="254">
        <v>79.0</v>
      </c>
      <c r="G289" s="160">
        <f t="shared" si="105"/>
        <v>0</v>
      </c>
      <c r="H289" s="160">
        <f>'PENDATAAN PERUMAHAN'!$P$229</f>
        <v>79</v>
      </c>
      <c r="I289" s="161">
        <f t="shared" ref="I289:I294" si="109">(H289-F289)/E289</f>
        <v>0</v>
      </c>
      <c r="J289" s="161">
        <f t="shared" si="108"/>
        <v>0.117037037</v>
      </c>
      <c r="L289" s="191"/>
    </row>
    <row r="290">
      <c r="B290" s="27"/>
      <c r="C290" s="27"/>
      <c r="D290" s="171" t="s">
        <v>25</v>
      </c>
      <c r="E290" s="159">
        <v>13500.0</v>
      </c>
      <c r="F290" s="254">
        <v>28118.0</v>
      </c>
      <c r="G290" s="160">
        <f t="shared" si="105"/>
        <v>-2</v>
      </c>
      <c r="H290" s="159">
        <f>'PENDATAAN PERUMAHAN'!$R$229</f>
        <v>28116</v>
      </c>
      <c r="I290" s="161">
        <f t="shared" si="109"/>
        <v>-0.0001481481481</v>
      </c>
      <c r="J290" s="161">
        <f t="shared" si="108"/>
        <v>2.082666667</v>
      </c>
      <c r="L290" s="191"/>
    </row>
    <row r="291">
      <c r="B291" s="27"/>
      <c r="C291" s="27"/>
      <c r="D291" s="158" t="s">
        <v>24</v>
      </c>
      <c r="E291" s="159">
        <v>42200.0</v>
      </c>
      <c r="F291" s="254">
        <v>3046.0</v>
      </c>
      <c r="G291" s="160">
        <f t="shared" si="105"/>
        <v>1579</v>
      </c>
      <c r="H291" s="160">
        <f>'PENDATAAN PERUMAHAN'!$Q$229</f>
        <v>4625</v>
      </c>
      <c r="I291" s="161">
        <f t="shared" si="109"/>
        <v>0.03741706161</v>
      </c>
      <c r="J291" s="161">
        <f t="shared" si="108"/>
        <v>0.1095971564</v>
      </c>
      <c r="L291" s="191"/>
    </row>
    <row r="292">
      <c r="B292" s="27"/>
      <c r="C292" s="27"/>
      <c r="D292" s="158" t="s">
        <v>28</v>
      </c>
      <c r="E292" s="159">
        <v>0.0</v>
      </c>
      <c r="F292" s="254">
        <v>0.0</v>
      </c>
      <c r="G292" s="160">
        <f t="shared" si="105"/>
        <v>0</v>
      </c>
      <c r="H292" s="160">
        <f>'PENDATAAN PERUMAHAN'!$T$229</f>
        <v>0</v>
      </c>
      <c r="I292" s="161" t="str">
        <f t="shared" si="109"/>
        <v>#DIV/0!</v>
      </c>
      <c r="J292" s="161">
        <f>H292/36</f>
        <v>0</v>
      </c>
      <c r="L292" s="191"/>
    </row>
    <row r="293">
      <c r="B293" s="27"/>
      <c r="C293" s="27"/>
      <c r="D293" s="158" t="s">
        <v>517</v>
      </c>
      <c r="E293" s="159">
        <v>600.0</v>
      </c>
      <c r="F293" s="254">
        <v>1936.0</v>
      </c>
      <c r="G293" s="160">
        <f t="shared" si="105"/>
        <v>150</v>
      </c>
      <c r="H293" s="159">
        <v>2086.0</v>
      </c>
      <c r="I293" s="161">
        <f t="shared" si="109"/>
        <v>0.25</v>
      </c>
      <c r="J293" s="161">
        <f t="shared" ref="J293:J296" si="110">H293/E293</f>
        <v>3.476666667</v>
      </c>
      <c r="L293" s="191"/>
    </row>
    <row r="294">
      <c r="B294" s="27"/>
      <c r="C294" s="27"/>
      <c r="D294" s="158" t="s">
        <v>29</v>
      </c>
      <c r="E294" s="159">
        <v>486897.0</v>
      </c>
      <c r="F294" s="254">
        <v>2162.0</v>
      </c>
      <c r="G294" s="160">
        <f t="shared" si="105"/>
        <v>108170</v>
      </c>
      <c r="H294" s="159">
        <f>'PENDATAAN PERUMAHAN'!$U$229</f>
        <v>110332</v>
      </c>
      <c r="I294" s="161">
        <f t="shared" si="109"/>
        <v>0.2221619768</v>
      </c>
      <c r="J294" s="161">
        <f t="shared" si="110"/>
        <v>0.2266023409</v>
      </c>
      <c r="L294" s="191"/>
    </row>
    <row r="295">
      <c r="B295" s="40"/>
      <c r="C295" s="40"/>
      <c r="D295" s="174" t="s">
        <v>519</v>
      </c>
      <c r="E295" s="175">
        <v>200.0</v>
      </c>
      <c r="F295" s="257">
        <v>169.0</v>
      </c>
      <c r="G295" s="175">
        <f t="shared" si="105"/>
        <v>0</v>
      </c>
      <c r="H295" s="175">
        <v>169.0</v>
      </c>
      <c r="I295" s="175"/>
      <c r="J295" s="161">
        <f t="shared" si="110"/>
        <v>0.845</v>
      </c>
      <c r="L295" s="191"/>
    </row>
    <row r="296">
      <c r="B296" s="182" t="s">
        <v>533</v>
      </c>
      <c r="C296" s="183"/>
      <c r="D296" s="31"/>
      <c r="E296" s="184">
        <f>SUM(E278:E295)</f>
        <v>1000000</v>
      </c>
      <c r="F296" s="258">
        <v>63877.0</v>
      </c>
      <c r="G296" s="185">
        <f>sum(G278:G295)</f>
        <v>114482</v>
      </c>
      <c r="H296" s="185">
        <f>SUM(H278:H295)</f>
        <v>178359</v>
      </c>
      <c r="I296" s="186">
        <f>(H296-F296)/E296</f>
        <v>0.114482</v>
      </c>
      <c r="J296" s="186">
        <f t="shared" si="110"/>
        <v>0.178359</v>
      </c>
      <c r="L296" s="191"/>
    </row>
    <row r="297">
      <c r="B297" s="187"/>
      <c r="C297" s="188"/>
      <c r="D297" s="189"/>
      <c r="E297" s="159"/>
      <c r="F297" s="259"/>
      <c r="G297" s="160"/>
      <c r="H297" s="160"/>
      <c r="I297" s="161"/>
      <c r="J297" s="161"/>
      <c r="L297" s="191"/>
    </row>
    <row r="298">
      <c r="B298" s="156" t="s">
        <v>6</v>
      </c>
      <c r="C298" s="157" t="s">
        <v>8</v>
      </c>
      <c r="D298" s="158" t="s">
        <v>536</v>
      </c>
      <c r="E298" s="159">
        <v>217500.0</v>
      </c>
      <c r="F298" s="254">
        <v>108646.0</v>
      </c>
      <c r="G298" s="160">
        <f t="shared" ref="G298:G299" si="111">H298-F298</f>
        <v>36940</v>
      </c>
      <c r="H298" s="160">
        <f>'PENDATAAN PERUMAHAN'!$E$229</f>
        <v>145586</v>
      </c>
      <c r="I298" s="161">
        <f t="shared" ref="I298:I299" si="112">(H298-F298)/E298</f>
        <v>0.1698390805</v>
      </c>
      <c r="J298" s="161">
        <f t="shared" ref="J298:J299" si="113">H298/E298</f>
        <v>0.6693609195</v>
      </c>
      <c r="L298" s="191"/>
    </row>
    <row r="299">
      <c r="B299" s="27"/>
      <c r="C299" s="27"/>
      <c r="D299" s="158" t="s">
        <v>538</v>
      </c>
      <c r="E299" s="159">
        <v>300000.0</v>
      </c>
      <c r="F299" s="254">
        <v>0.0</v>
      </c>
      <c r="G299" s="160">
        <f t="shared" si="111"/>
        <v>0</v>
      </c>
      <c r="H299" s="160">
        <f>'PENDATAAN PERUMAHAN'!$V$229</f>
        <v>0</v>
      </c>
      <c r="I299" s="161">
        <f t="shared" si="112"/>
        <v>0</v>
      </c>
      <c r="J299" s="161">
        <f t="shared" si="113"/>
        <v>0</v>
      </c>
      <c r="L299" s="191"/>
    </row>
    <row r="300">
      <c r="B300" s="27"/>
      <c r="C300" s="27"/>
      <c r="D300" s="158" t="s">
        <v>540</v>
      </c>
      <c r="E300" s="159">
        <v>700.0</v>
      </c>
      <c r="F300" s="254">
        <v>0.0</v>
      </c>
      <c r="G300" s="159">
        <v>0.0</v>
      </c>
      <c r="H300" s="159">
        <v>0.0</v>
      </c>
      <c r="I300" s="161"/>
      <c r="J300" s="190">
        <v>0.0</v>
      </c>
      <c r="L300" s="191"/>
    </row>
    <row r="301">
      <c r="B301" s="40"/>
      <c r="C301" s="40"/>
      <c r="D301" s="158" t="s">
        <v>541</v>
      </c>
      <c r="E301" s="159">
        <v>0.0</v>
      </c>
      <c r="F301" s="159">
        <v>0.0</v>
      </c>
      <c r="G301" s="159">
        <v>0.0</v>
      </c>
      <c r="H301" s="159">
        <v>0.0</v>
      </c>
      <c r="I301" s="161" t="str">
        <f t="shared" ref="I301:I303" si="114">(H301-F301)/E301</f>
        <v>#DIV/0!</v>
      </c>
      <c r="J301" s="190">
        <v>0.0</v>
      </c>
      <c r="L301" s="191"/>
    </row>
    <row r="302">
      <c r="B302" s="193" t="s">
        <v>542</v>
      </c>
      <c r="C302" s="19"/>
      <c r="D302" s="20"/>
      <c r="E302" s="194">
        <f>sum(E298:E300)</f>
        <v>518200</v>
      </c>
      <c r="F302" s="195">
        <f>SUM(F298:F301)</f>
        <v>108646</v>
      </c>
      <c r="G302" s="195">
        <f t="shared" ref="G302:G303" si="115">H302-F302</f>
        <v>36940</v>
      </c>
      <c r="H302" s="195">
        <f>H298+H299+H301</f>
        <v>145586</v>
      </c>
      <c r="I302" s="186">
        <f t="shared" si="114"/>
        <v>0.07128521806</v>
      </c>
      <c r="J302" s="186">
        <f t="shared" ref="J302:J303" si="116">H302/E302</f>
        <v>0.2809455809</v>
      </c>
      <c r="L302" s="191"/>
    </row>
    <row r="303">
      <c r="B303" s="197" t="s">
        <v>544</v>
      </c>
      <c r="C303" s="19"/>
      <c r="D303" s="20"/>
      <c r="E303" s="198">
        <f>E302+E296</f>
        <v>1518200</v>
      </c>
      <c r="F303" s="199">
        <f>F296+F302</f>
        <v>172523</v>
      </c>
      <c r="G303" s="200">
        <f t="shared" si="115"/>
        <v>151422</v>
      </c>
      <c r="H303" s="199">
        <f>H302+H296</f>
        <v>323945</v>
      </c>
      <c r="I303" s="201">
        <f t="shared" si="114"/>
        <v>0.09973784745</v>
      </c>
      <c r="J303" s="201">
        <f t="shared" si="116"/>
        <v>0.2133743907</v>
      </c>
      <c r="L303" s="191"/>
    </row>
    <row r="304">
      <c r="L304" s="191"/>
    </row>
    <row r="305">
      <c r="L305" s="191"/>
    </row>
    <row r="306">
      <c r="B306" s="248" t="s">
        <v>586</v>
      </c>
      <c r="L306" s="191"/>
    </row>
    <row r="307">
      <c r="B307" s="260" t="s">
        <v>494</v>
      </c>
      <c r="C307" s="261" t="s">
        <v>495</v>
      </c>
      <c r="D307" s="261" t="s">
        <v>15</v>
      </c>
      <c r="E307" s="261" t="s">
        <v>496</v>
      </c>
      <c r="F307" s="261" t="s">
        <v>497</v>
      </c>
      <c r="G307" s="261" t="s">
        <v>498</v>
      </c>
      <c r="H307" s="261" t="s">
        <v>499</v>
      </c>
      <c r="I307" s="261" t="s">
        <v>500</v>
      </c>
      <c r="J307" s="261" t="s">
        <v>501</v>
      </c>
      <c r="K307" s="262"/>
    </row>
    <row r="308">
      <c r="B308" s="263" t="s">
        <v>2</v>
      </c>
      <c r="C308" s="264" t="s">
        <v>505</v>
      </c>
      <c r="D308" s="265" t="s">
        <v>506</v>
      </c>
      <c r="E308" s="266">
        <v>518.0</v>
      </c>
      <c r="F308" s="266">
        <v>0.0</v>
      </c>
      <c r="G308" s="266">
        <f t="shared" ref="G308:G325" si="117">H308-F308</f>
        <v>25</v>
      </c>
      <c r="H308" s="266">
        <f>'PENDATAAN PERUMAHAN'!$J$229</f>
        <v>25</v>
      </c>
      <c r="I308" s="267">
        <f>(H308-F308)/E308</f>
        <v>0.04826254826</v>
      </c>
      <c r="J308" s="267">
        <f t="shared" ref="J308:J309" si="118">H308/$E$2</f>
        <v>0.04826254826</v>
      </c>
      <c r="K308" s="262"/>
    </row>
    <row r="309">
      <c r="B309" s="27"/>
      <c r="C309" s="27"/>
      <c r="D309" s="268" t="s">
        <v>508</v>
      </c>
      <c r="E309" s="266">
        <v>0.0</v>
      </c>
      <c r="F309" s="269">
        <v>73.0</v>
      </c>
      <c r="G309" s="266">
        <f t="shared" si="117"/>
        <v>0</v>
      </c>
      <c r="H309" s="266">
        <f>'PENDATAAN PERUMAHAN'!$K$229</f>
        <v>73</v>
      </c>
      <c r="I309" s="270">
        <v>0.0</v>
      </c>
      <c r="J309" s="267">
        <f t="shared" si="118"/>
        <v>0.1409266409</v>
      </c>
      <c r="K309" s="262"/>
    </row>
    <row r="310">
      <c r="B310" s="27"/>
      <c r="C310" s="27"/>
      <c r="D310" s="268" t="s">
        <v>25</v>
      </c>
      <c r="E310" s="271">
        <v>2500.0</v>
      </c>
      <c r="F310" s="269">
        <v>4570.0</v>
      </c>
      <c r="G310" s="266">
        <f t="shared" si="117"/>
        <v>457</v>
      </c>
      <c r="H310" s="266">
        <f>'PENDATAAN PERUMAHAN'!$M$229</f>
        <v>5027</v>
      </c>
      <c r="I310" s="267">
        <f>(H310-F310)/E310</f>
        <v>0.1828</v>
      </c>
      <c r="J310" s="267">
        <f>H310/E310</f>
        <v>2.0108</v>
      </c>
      <c r="K310" s="262"/>
    </row>
    <row r="311">
      <c r="B311" s="27"/>
      <c r="C311" s="40"/>
      <c r="D311" s="268" t="s">
        <v>24</v>
      </c>
      <c r="E311" s="272">
        <v>0.0</v>
      </c>
      <c r="F311" s="269">
        <v>691.0</v>
      </c>
      <c r="G311" s="266">
        <f t="shared" si="117"/>
        <v>305</v>
      </c>
      <c r="H311" s="266">
        <f>'PENDATAAN PERUMAHAN'!$L$229</f>
        <v>996</v>
      </c>
      <c r="I311" s="270">
        <v>0.0</v>
      </c>
      <c r="J311" s="270">
        <v>0.0</v>
      </c>
      <c r="K311" s="262"/>
    </row>
    <row r="312">
      <c r="B312" s="27"/>
      <c r="C312" s="264" t="s">
        <v>13</v>
      </c>
      <c r="D312" s="268" t="s">
        <v>512</v>
      </c>
      <c r="E312" s="266">
        <v>160000.0</v>
      </c>
      <c r="F312" s="269">
        <v>14598.0</v>
      </c>
      <c r="G312" s="266">
        <f t="shared" si="117"/>
        <v>1441</v>
      </c>
      <c r="H312" s="266">
        <f>'PENDATAAN PERUMAHAN'!$F$229</f>
        <v>16039</v>
      </c>
      <c r="I312" s="267">
        <f t="shared" ref="I312:I321" si="119">(H312-F312)/E312</f>
        <v>0.00900625</v>
      </c>
      <c r="J312" s="267">
        <f t="shared" ref="J312:J321" si="120">H312/E312</f>
        <v>0.10024375</v>
      </c>
      <c r="K312" s="262"/>
    </row>
    <row r="313">
      <c r="B313" s="27"/>
      <c r="C313" s="40"/>
      <c r="D313" s="268" t="s">
        <v>514</v>
      </c>
      <c r="E313" s="266">
        <v>80000.0</v>
      </c>
      <c r="F313" s="266">
        <v>177.0</v>
      </c>
      <c r="G313" s="266">
        <f t="shared" si="117"/>
        <v>0</v>
      </c>
      <c r="H313" s="266">
        <f>'PENDATAAN PERUMAHAN'!$G$229</f>
        <v>177</v>
      </c>
      <c r="I313" s="267">
        <f t="shared" si="119"/>
        <v>0</v>
      </c>
      <c r="J313" s="267">
        <f t="shared" si="120"/>
        <v>0.0022125</v>
      </c>
      <c r="K313" s="262"/>
    </row>
    <row r="314">
      <c r="B314" s="27"/>
      <c r="C314" s="264" t="s">
        <v>14</v>
      </c>
      <c r="D314" s="265" t="s">
        <v>21</v>
      </c>
      <c r="E314" s="266">
        <v>197500.0</v>
      </c>
      <c r="F314" s="269">
        <v>7810.0</v>
      </c>
      <c r="G314" s="266">
        <f t="shared" si="117"/>
        <v>1634</v>
      </c>
      <c r="H314" s="266">
        <f>'PENDATAAN PERUMAHAN'!$H$229</f>
        <v>9444</v>
      </c>
      <c r="I314" s="267">
        <f t="shared" si="119"/>
        <v>0.008273417722</v>
      </c>
      <c r="J314" s="267">
        <f t="shared" si="120"/>
        <v>0.04781772152</v>
      </c>
      <c r="K314" s="262"/>
    </row>
    <row r="315">
      <c r="B315" s="27"/>
      <c r="C315" s="27"/>
      <c r="D315" s="265" t="s">
        <v>517</v>
      </c>
      <c r="E315" s="271">
        <v>150.0</v>
      </c>
      <c r="F315" s="273">
        <v>576.0</v>
      </c>
      <c r="G315" s="266">
        <f t="shared" si="117"/>
        <v>1</v>
      </c>
      <c r="H315" s="269">
        <v>577.0</v>
      </c>
      <c r="I315" s="267">
        <f t="shared" si="119"/>
        <v>0.006666666667</v>
      </c>
      <c r="J315" s="267">
        <f t="shared" si="120"/>
        <v>3.846666667</v>
      </c>
      <c r="K315" s="274">
        <f>K317+H328</f>
        <v>177960</v>
      </c>
    </row>
    <row r="316">
      <c r="B316" s="40"/>
      <c r="C316" s="40"/>
      <c r="D316" s="275" t="s">
        <v>519</v>
      </c>
      <c r="E316" s="271">
        <v>50.0</v>
      </c>
      <c r="F316" s="271">
        <v>16.0</v>
      </c>
      <c r="G316" s="266">
        <f t="shared" si="117"/>
        <v>0</v>
      </c>
      <c r="H316" s="266">
        <v>16.0</v>
      </c>
      <c r="I316" s="267">
        <f t="shared" si="119"/>
        <v>0</v>
      </c>
      <c r="J316" s="267">
        <f t="shared" si="120"/>
        <v>0.32</v>
      </c>
      <c r="K316" s="262"/>
    </row>
    <row r="317">
      <c r="B317" s="263" t="s">
        <v>521</v>
      </c>
      <c r="C317" s="264" t="s">
        <v>522</v>
      </c>
      <c r="D317" s="275" t="s">
        <v>506</v>
      </c>
      <c r="E317" s="266">
        <v>15110.0</v>
      </c>
      <c r="F317" s="271">
        <v>0.0</v>
      </c>
      <c r="G317" s="266">
        <f t="shared" si="117"/>
        <v>0</v>
      </c>
      <c r="H317" s="266">
        <f>'PENDATAAN PERUMAHAN'!$N$229</f>
        <v>0</v>
      </c>
      <c r="I317" s="267">
        <f t="shared" si="119"/>
        <v>0</v>
      </c>
      <c r="J317" s="267">
        <f t="shared" si="120"/>
        <v>0</v>
      </c>
      <c r="K317" s="274">
        <f>sum(H308:H316)</f>
        <v>32374</v>
      </c>
    </row>
    <row r="318">
      <c r="B318" s="27"/>
      <c r="C318" s="27"/>
      <c r="D318" s="275" t="s">
        <v>508</v>
      </c>
      <c r="E318" s="266">
        <v>100.0</v>
      </c>
      <c r="F318" s="271">
        <v>569.0</v>
      </c>
      <c r="G318" s="266">
        <f t="shared" si="117"/>
        <v>10</v>
      </c>
      <c r="H318" s="266">
        <f>'PENDATAAN PERUMAHAN'!$O$229</f>
        <v>579</v>
      </c>
      <c r="I318" s="267">
        <f t="shared" si="119"/>
        <v>0.1</v>
      </c>
      <c r="J318" s="267">
        <f t="shared" si="120"/>
        <v>5.79</v>
      </c>
      <c r="K318" s="262"/>
    </row>
    <row r="319">
      <c r="B319" s="27"/>
      <c r="C319" s="27"/>
      <c r="D319" s="275" t="s">
        <v>525</v>
      </c>
      <c r="E319" s="266">
        <v>675.0</v>
      </c>
      <c r="F319" s="266">
        <v>79.0</v>
      </c>
      <c r="G319" s="266">
        <f t="shared" si="117"/>
        <v>0</v>
      </c>
      <c r="H319" s="266">
        <f>'PENDATAAN PERUMAHAN'!$P$229</f>
        <v>79</v>
      </c>
      <c r="I319" s="267">
        <f t="shared" si="119"/>
        <v>0</v>
      </c>
      <c r="J319" s="267">
        <f t="shared" si="120"/>
        <v>0.117037037</v>
      </c>
      <c r="K319" s="262"/>
    </row>
    <row r="320">
      <c r="B320" s="27"/>
      <c r="C320" s="27"/>
      <c r="D320" s="275" t="s">
        <v>25</v>
      </c>
      <c r="E320" s="266">
        <v>13500.0</v>
      </c>
      <c r="F320" s="269">
        <v>28142.0</v>
      </c>
      <c r="G320" s="266">
        <f t="shared" si="117"/>
        <v>-26</v>
      </c>
      <c r="H320" s="266">
        <f>'PENDATAAN PERUMAHAN'!$R$229</f>
        <v>28116</v>
      </c>
      <c r="I320" s="267">
        <f t="shared" si="119"/>
        <v>-0.001925925926</v>
      </c>
      <c r="J320" s="267">
        <f t="shared" si="120"/>
        <v>2.082666667</v>
      </c>
      <c r="K320" s="262"/>
    </row>
    <row r="321">
      <c r="B321" s="27"/>
      <c r="C321" s="27"/>
      <c r="D321" s="265" t="s">
        <v>24</v>
      </c>
      <c r="E321" s="266">
        <v>42200.0</v>
      </c>
      <c r="F321" s="269">
        <v>3083.0</v>
      </c>
      <c r="G321" s="266">
        <f t="shared" si="117"/>
        <v>1542</v>
      </c>
      <c r="H321" s="266">
        <f>'PENDATAAN PERUMAHAN'!$Q$229</f>
        <v>4625</v>
      </c>
      <c r="I321" s="267">
        <f t="shared" si="119"/>
        <v>0.03654028436</v>
      </c>
      <c r="J321" s="267">
        <f t="shared" si="120"/>
        <v>0.1095971564</v>
      </c>
      <c r="K321" s="262"/>
    </row>
    <row r="322">
      <c r="B322" s="27"/>
      <c r="C322" s="27"/>
      <c r="D322" s="265" t="s">
        <v>28</v>
      </c>
      <c r="E322" s="266">
        <v>0.0</v>
      </c>
      <c r="F322" s="266">
        <v>0.0</v>
      </c>
      <c r="G322" s="266">
        <f t="shared" si="117"/>
        <v>0</v>
      </c>
      <c r="H322" s="266">
        <f>'PENDATAAN PERUMAHAN'!$T$229</f>
        <v>0</v>
      </c>
      <c r="I322" s="270">
        <v>0.0</v>
      </c>
      <c r="J322" s="267">
        <f>H322/36</f>
        <v>0</v>
      </c>
      <c r="K322" s="262"/>
    </row>
    <row r="323">
      <c r="B323" s="27"/>
      <c r="C323" s="27"/>
      <c r="D323" s="265" t="s">
        <v>517</v>
      </c>
      <c r="E323" s="266">
        <v>600.0</v>
      </c>
      <c r="F323" s="269">
        <v>2086.0</v>
      </c>
      <c r="G323" s="266">
        <f t="shared" si="117"/>
        <v>0</v>
      </c>
      <c r="H323" s="269">
        <v>2086.0</v>
      </c>
      <c r="I323" s="267">
        <f t="shared" ref="I323:I326" si="121">(H323-F323)/E323</f>
        <v>0</v>
      </c>
      <c r="J323" s="267">
        <f t="shared" ref="J323:J326" si="122">H323/E323</f>
        <v>3.476666667</v>
      </c>
      <c r="K323" s="262"/>
    </row>
    <row r="324">
      <c r="B324" s="27"/>
      <c r="C324" s="27"/>
      <c r="D324" s="265" t="s">
        <v>29</v>
      </c>
      <c r="E324" s="266">
        <v>486897.0</v>
      </c>
      <c r="F324" s="269">
        <v>2375.0</v>
      </c>
      <c r="G324" s="266">
        <f t="shared" si="117"/>
        <v>107957</v>
      </c>
      <c r="H324" s="266">
        <f>'PENDATAAN PERUMAHAN'!$U$229</f>
        <v>110332</v>
      </c>
      <c r="I324" s="267">
        <f t="shared" si="121"/>
        <v>0.2217245126</v>
      </c>
      <c r="J324" s="267">
        <f t="shared" si="122"/>
        <v>0.2266023409</v>
      </c>
      <c r="K324" s="274">
        <f>sum(H317:H325)</f>
        <v>145986</v>
      </c>
    </row>
    <row r="325">
      <c r="B325" s="40"/>
      <c r="C325" s="40"/>
      <c r="D325" s="265" t="s">
        <v>519</v>
      </c>
      <c r="E325" s="276">
        <v>200.0</v>
      </c>
      <c r="F325" s="276">
        <v>169.0</v>
      </c>
      <c r="G325" s="276">
        <f t="shared" si="117"/>
        <v>0</v>
      </c>
      <c r="H325" s="276">
        <v>169.0</v>
      </c>
      <c r="I325" s="267">
        <f t="shared" si="121"/>
        <v>0</v>
      </c>
      <c r="J325" s="267">
        <f t="shared" si="122"/>
        <v>0.845</v>
      </c>
      <c r="K325" s="277"/>
    </row>
    <row r="326">
      <c r="B326" s="278" t="s">
        <v>533</v>
      </c>
      <c r="C326" s="183"/>
      <c r="D326" s="31"/>
      <c r="E326" s="279">
        <f t="shared" ref="E326:F326" si="123">SUM(E308:E325)</f>
        <v>1000000</v>
      </c>
      <c r="F326" s="279">
        <f t="shared" si="123"/>
        <v>65014</v>
      </c>
      <c r="G326" s="279">
        <f>sum(G308:G325)</f>
        <v>113346</v>
      </c>
      <c r="H326" s="279">
        <f>SUM(H308:H325)</f>
        <v>178360</v>
      </c>
      <c r="I326" s="280">
        <f t="shared" si="121"/>
        <v>0.113346</v>
      </c>
      <c r="J326" s="280">
        <f t="shared" si="122"/>
        <v>0.17836</v>
      </c>
      <c r="K326" s="262"/>
    </row>
    <row r="327">
      <c r="B327" s="281"/>
      <c r="C327" s="281"/>
      <c r="D327" s="282"/>
      <c r="E327" s="283"/>
      <c r="F327" s="283"/>
      <c r="G327" s="283"/>
      <c r="H327" s="283"/>
      <c r="I327" s="284"/>
      <c r="J327" s="284"/>
      <c r="K327" s="262"/>
    </row>
    <row r="328">
      <c r="B328" s="263" t="s">
        <v>6</v>
      </c>
      <c r="C328" s="264" t="s">
        <v>8</v>
      </c>
      <c r="D328" s="265" t="s">
        <v>536</v>
      </c>
      <c r="E328" s="266">
        <v>217500.0</v>
      </c>
      <c r="F328" s="269">
        <v>108826.0</v>
      </c>
      <c r="G328" s="266">
        <f t="shared" ref="G328:G329" si="124">H328-F328</f>
        <v>36760</v>
      </c>
      <c r="H328" s="266">
        <f>'PENDATAAN PERUMAHAN'!$E$229</f>
        <v>145586</v>
      </c>
      <c r="I328" s="267">
        <f t="shared" ref="I328:I329" si="125">(H328-F328)/E328</f>
        <v>0.1690114943</v>
      </c>
      <c r="J328" s="267">
        <f t="shared" ref="J328:J329" si="126">H328/E328</f>
        <v>0.6693609195</v>
      </c>
      <c r="K328" s="262"/>
    </row>
    <row r="329">
      <c r="B329" s="27"/>
      <c r="C329" s="27"/>
      <c r="D329" s="265" t="s">
        <v>538</v>
      </c>
      <c r="E329" s="266">
        <v>300000.0</v>
      </c>
      <c r="F329" s="266">
        <v>0.0</v>
      </c>
      <c r="G329" s="266">
        <f t="shared" si="124"/>
        <v>0</v>
      </c>
      <c r="H329" s="266">
        <f>'PENDATAAN PERUMAHAN'!$V$229</f>
        <v>0</v>
      </c>
      <c r="I329" s="267">
        <f t="shared" si="125"/>
        <v>0</v>
      </c>
      <c r="J329" s="267">
        <f t="shared" si="126"/>
        <v>0</v>
      </c>
      <c r="K329" s="262"/>
    </row>
    <row r="330">
      <c r="B330" s="27"/>
      <c r="C330" s="27"/>
      <c r="D330" s="265" t="s">
        <v>540</v>
      </c>
      <c r="E330" s="266">
        <v>700.0</v>
      </c>
      <c r="F330" s="266">
        <v>0.0</v>
      </c>
      <c r="G330" s="266">
        <v>0.0</v>
      </c>
      <c r="H330" s="266">
        <v>0.0</v>
      </c>
      <c r="I330" s="270">
        <v>0.0</v>
      </c>
      <c r="J330" s="267">
        <v>0.0</v>
      </c>
      <c r="K330" s="262"/>
    </row>
    <row r="331">
      <c r="B331" s="40"/>
      <c r="C331" s="40"/>
      <c r="D331" s="265" t="s">
        <v>541</v>
      </c>
      <c r="E331" s="266">
        <v>0.0</v>
      </c>
      <c r="F331" s="266">
        <v>0.0</v>
      </c>
      <c r="G331" s="269">
        <v>0.0</v>
      </c>
      <c r="H331" s="269">
        <v>0.0</v>
      </c>
      <c r="I331" s="270">
        <v>0.0</v>
      </c>
      <c r="J331" s="270">
        <v>0.0</v>
      </c>
      <c r="K331" s="262"/>
    </row>
    <row r="332">
      <c r="B332" s="285" t="s">
        <v>542</v>
      </c>
      <c r="C332" s="19"/>
      <c r="D332" s="20"/>
      <c r="E332" s="286">
        <f>sum(E328:E330)</f>
        <v>518200</v>
      </c>
      <c r="F332" s="286">
        <f>SUM(F328:F331)</f>
        <v>108826</v>
      </c>
      <c r="G332" s="286">
        <f t="shared" ref="G332:G333" si="127">H332-F332</f>
        <v>36760</v>
      </c>
      <c r="H332" s="286">
        <f>H328+H329+H331</f>
        <v>145586</v>
      </c>
      <c r="I332" s="280">
        <f t="shared" ref="I332:I333" si="128">(H332-F332)/E332</f>
        <v>0.07093786183</v>
      </c>
      <c r="J332" s="280">
        <f t="shared" ref="J332:J333" si="129">H332/E332</f>
        <v>0.2809455809</v>
      </c>
      <c r="K332" s="262"/>
    </row>
    <row r="333">
      <c r="B333" s="287" t="s">
        <v>544</v>
      </c>
      <c r="C333" s="19"/>
      <c r="D333" s="20"/>
      <c r="E333" s="288">
        <f>E332+E326</f>
        <v>1518200</v>
      </c>
      <c r="F333" s="289">
        <f>F326+F332</f>
        <v>173840</v>
      </c>
      <c r="G333" s="290">
        <f t="shared" si="127"/>
        <v>150106</v>
      </c>
      <c r="H333" s="289">
        <f>H332+H326</f>
        <v>323946</v>
      </c>
      <c r="I333" s="291">
        <f t="shared" si="128"/>
        <v>0.09887103148</v>
      </c>
      <c r="J333" s="291">
        <f t="shared" si="129"/>
        <v>0.2133750494</v>
      </c>
      <c r="K333" s="262"/>
    </row>
    <row r="334">
      <c r="B334" s="262"/>
      <c r="C334" s="262"/>
      <c r="D334" s="262"/>
      <c r="E334" s="262"/>
      <c r="F334" s="262"/>
      <c r="G334" s="262"/>
      <c r="H334" s="262"/>
      <c r="I334" s="262"/>
      <c r="J334" s="262"/>
      <c r="K334" s="262"/>
    </row>
    <row r="335">
      <c r="B335" s="262"/>
      <c r="C335" s="262"/>
      <c r="D335" s="262"/>
      <c r="E335" s="262"/>
      <c r="F335" s="262"/>
      <c r="G335" s="262"/>
      <c r="H335" s="274">
        <f>H308+H309+H310+H311+H312+H313+H314+H315+H316+H328</f>
        <v>177960</v>
      </c>
      <c r="I335" s="262"/>
      <c r="J335" s="274">
        <f>H317+H318+H319+H320+H321+H322+H323+H324+H325</f>
        <v>145986</v>
      </c>
      <c r="K335" s="262"/>
    </row>
    <row r="336">
      <c r="B336" s="292">
        <v>45970.0</v>
      </c>
      <c r="L336" s="191"/>
    </row>
    <row r="337">
      <c r="B337" s="260" t="s">
        <v>494</v>
      </c>
      <c r="C337" s="261" t="s">
        <v>495</v>
      </c>
      <c r="D337" s="261" t="s">
        <v>15</v>
      </c>
      <c r="E337" s="261" t="s">
        <v>496</v>
      </c>
      <c r="F337" s="261" t="s">
        <v>497</v>
      </c>
      <c r="G337" s="261" t="s">
        <v>498</v>
      </c>
      <c r="H337" s="261" t="s">
        <v>499</v>
      </c>
      <c r="I337" s="261" t="s">
        <v>500</v>
      </c>
      <c r="J337" s="261" t="s">
        <v>501</v>
      </c>
      <c r="L337" s="191"/>
    </row>
    <row r="338">
      <c r="B338" s="263" t="s">
        <v>2</v>
      </c>
      <c r="C338" s="264" t="s">
        <v>505</v>
      </c>
      <c r="D338" s="265" t="s">
        <v>506</v>
      </c>
      <c r="E338" s="266">
        <v>518.0</v>
      </c>
      <c r="F338" s="269">
        <v>0.0</v>
      </c>
      <c r="G338" s="266">
        <f t="shared" ref="G338:G355" si="130">H338-F338</f>
        <v>25</v>
      </c>
      <c r="H338" s="266">
        <f>'PENDATAAN PERUMAHAN'!$J$229</f>
        <v>25</v>
      </c>
      <c r="I338" s="267">
        <f>(H338-F338)/E338</f>
        <v>0.04826254826</v>
      </c>
      <c r="J338" s="267">
        <f t="shared" ref="J338:J339" si="131">H338/$E$2</f>
        <v>0.04826254826</v>
      </c>
      <c r="L338" s="191"/>
    </row>
    <row r="339">
      <c r="B339" s="27"/>
      <c r="C339" s="27"/>
      <c r="D339" s="268" t="s">
        <v>508</v>
      </c>
      <c r="E339" s="266">
        <v>0.0</v>
      </c>
      <c r="F339" s="269">
        <v>73.0</v>
      </c>
      <c r="G339" s="266">
        <f t="shared" si="130"/>
        <v>0</v>
      </c>
      <c r="H339" s="266">
        <f>'PENDATAAN PERUMAHAN'!$K$229</f>
        <v>73</v>
      </c>
      <c r="I339" s="270">
        <v>0.0</v>
      </c>
      <c r="J339" s="267">
        <f t="shared" si="131"/>
        <v>0.1409266409</v>
      </c>
      <c r="L339" s="191"/>
    </row>
    <row r="340">
      <c r="B340" s="27"/>
      <c r="C340" s="27"/>
      <c r="D340" s="268" t="s">
        <v>25</v>
      </c>
      <c r="E340" s="271">
        <v>2500.0</v>
      </c>
      <c r="F340" s="269">
        <v>4582.0</v>
      </c>
      <c r="G340" s="266">
        <f t="shared" si="130"/>
        <v>445</v>
      </c>
      <c r="H340" s="266">
        <f>'PENDATAAN PERUMAHAN'!$M$229</f>
        <v>5027</v>
      </c>
      <c r="I340" s="267">
        <f>(H340-F340)/E340</f>
        <v>0.178</v>
      </c>
      <c r="J340" s="267">
        <f>H340/E340</f>
        <v>2.0108</v>
      </c>
      <c r="L340" s="191"/>
    </row>
    <row r="341">
      <c r="B341" s="27"/>
      <c r="C341" s="40"/>
      <c r="D341" s="268" t="s">
        <v>24</v>
      </c>
      <c r="E341" s="272">
        <v>0.0</v>
      </c>
      <c r="F341" s="269">
        <v>691.0</v>
      </c>
      <c r="G341" s="266">
        <f t="shared" si="130"/>
        <v>305</v>
      </c>
      <c r="H341" s="266">
        <f>'PENDATAAN PERUMAHAN'!$L$229</f>
        <v>996</v>
      </c>
      <c r="I341" s="270">
        <v>0.0</v>
      </c>
      <c r="J341" s="270">
        <v>0.0</v>
      </c>
      <c r="L341" s="191"/>
    </row>
    <row r="342">
      <c r="B342" s="27"/>
      <c r="C342" s="264" t="s">
        <v>13</v>
      </c>
      <c r="D342" s="268" t="s">
        <v>512</v>
      </c>
      <c r="E342" s="266">
        <v>160000.0</v>
      </c>
      <c r="F342" s="269">
        <v>14598.0</v>
      </c>
      <c r="G342" s="266">
        <f t="shared" si="130"/>
        <v>1441</v>
      </c>
      <c r="H342" s="266">
        <f>'PENDATAAN PERUMAHAN'!$F$229</f>
        <v>16039</v>
      </c>
      <c r="I342" s="267">
        <f t="shared" ref="I342:I351" si="132">(H342-F342)/E342</f>
        <v>0.00900625</v>
      </c>
      <c r="J342" s="267">
        <f t="shared" ref="J342:J351" si="133">H342/E342</f>
        <v>0.10024375</v>
      </c>
      <c r="L342" s="191"/>
    </row>
    <row r="343">
      <c r="B343" s="27"/>
      <c r="C343" s="40"/>
      <c r="D343" s="268" t="s">
        <v>514</v>
      </c>
      <c r="E343" s="266">
        <v>80000.0</v>
      </c>
      <c r="F343" s="266">
        <v>177.0</v>
      </c>
      <c r="G343" s="266">
        <f t="shared" si="130"/>
        <v>0</v>
      </c>
      <c r="H343" s="266">
        <f>'PENDATAAN PERUMAHAN'!$G$229</f>
        <v>177</v>
      </c>
      <c r="I343" s="267">
        <f t="shared" si="132"/>
        <v>0</v>
      </c>
      <c r="J343" s="267">
        <f t="shared" si="133"/>
        <v>0.0022125</v>
      </c>
      <c r="L343" s="191"/>
    </row>
    <row r="344">
      <c r="B344" s="27"/>
      <c r="C344" s="264" t="s">
        <v>14</v>
      </c>
      <c r="D344" s="265" t="s">
        <v>21</v>
      </c>
      <c r="E344" s="266">
        <v>197500.0</v>
      </c>
      <c r="F344" s="269">
        <v>7864.0</v>
      </c>
      <c r="G344" s="266">
        <f t="shared" si="130"/>
        <v>1580</v>
      </c>
      <c r="H344" s="266">
        <f>'PENDATAAN PERUMAHAN'!$H$229</f>
        <v>9444</v>
      </c>
      <c r="I344" s="267">
        <f t="shared" si="132"/>
        <v>0.008</v>
      </c>
      <c r="J344" s="267">
        <f t="shared" si="133"/>
        <v>0.04781772152</v>
      </c>
      <c r="L344" s="191"/>
    </row>
    <row r="345">
      <c r="B345" s="27"/>
      <c r="C345" s="27"/>
      <c r="D345" s="265" t="s">
        <v>517</v>
      </c>
      <c r="E345" s="271">
        <v>150.0</v>
      </c>
      <c r="F345" s="273">
        <v>577.0</v>
      </c>
      <c r="G345" s="266">
        <f t="shared" si="130"/>
        <v>3</v>
      </c>
      <c r="H345" s="269">
        <v>580.0</v>
      </c>
      <c r="I345" s="267">
        <f t="shared" si="132"/>
        <v>0.02</v>
      </c>
      <c r="J345" s="267">
        <f t="shared" si="133"/>
        <v>3.866666667</v>
      </c>
      <c r="L345" s="191"/>
    </row>
    <row r="346">
      <c r="B346" s="40"/>
      <c r="C346" s="40"/>
      <c r="D346" s="275" t="s">
        <v>519</v>
      </c>
      <c r="E346" s="271">
        <v>50.0</v>
      </c>
      <c r="F346" s="271">
        <v>16.0</v>
      </c>
      <c r="G346" s="266">
        <f t="shared" si="130"/>
        <v>0</v>
      </c>
      <c r="H346" s="266">
        <v>16.0</v>
      </c>
      <c r="I346" s="267">
        <f t="shared" si="132"/>
        <v>0</v>
      </c>
      <c r="J346" s="267">
        <f t="shared" si="133"/>
        <v>0.32</v>
      </c>
      <c r="L346" s="191"/>
    </row>
    <row r="347">
      <c r="B347" s="263" t="s">
        <v>521</v>
      </c>
      <c r="C347" s="264" t="s">
        <v>522</v>
      </c>
      <c r="D347" s="275" t="s">
        <v>506</v>
      </c>
      <c r="E347" s="266">
        <v>15110.0</v>
      </c>
      <c r="F347" s="271">
        <v>0.0</v>
      </c>
      <c r="G347" s="266">
        <f t="shared" si="130"/>
        <v>0</v>
      </c>
      <c r="H347" s="266">
        <f>'PENDATAAN PERUMAHAN'!$N$229</f>
        <v>0</v>
      </c>
      <c r="I347" s="267">
        <f t="shared" si="132"/>
        <v>0</v>
      </c>
      <c r="J347" s="267">
        <f t="shared" si="133"/>
        <v>0</v>
      </c>
      <c r="L347" s="191"/>
    </row>
    <row r="348">
      <c r="B348" s="27"/>
      <c r="C348" s="27"/>
      <c r="D348" s="275" t="s">
        <v>508</v>
      </c>
      <c r="E348" s="266">
        <v>100.0</v>
      </c>
      <c r="F348" s="271">
        <v>569.0</v>
      </c>
      <c r="G348" s="266">
        <f t="shared" si="130"/>
        <v>10</v>
      </c>
      <c r="H348" s="266">
        <f>'PENDATAAN PERUMAHAN'!$O$229</f>
        <v>579</v>
      </c>
      <c r="I348" s="267">
        <f t="shared" si="132"/>
        <v>0.1</v>
      </c>
      <c r="J348" s="267">
        <f t="shared" si="133"/>
        <v>5.79</v>
      </c>
      <c r="L348" s="191"/>
    </row>
    <row r="349">
      <c r="B349" s="27"/>
      <c r="C349" s="27"/>
      <c r="D349" s="275" t="s">
        <v>525</v>
      </c>
      <c r="E349" s="266">
        <v>675.0</v>
      </c>
      <c r="F349" s="266">
        <v>79.0</v>
      </c>
      <c r="G349" s="266">
        <f t="shared" si="130"/>
        <v>0</v>
      </c>
      <c r="H349" s="266">
        <f>'PENDATAAN PERUMAHAN'!$P$229</f>
        <v>79</v>
      </c>
      <c r="I349" s="267">
        <f t="shared" si="132"/>
        <v>0</v>
      </c>
      <c r="J349" s="267">
        <f t="shared" si="133"/>
        <v>0.117037037</v>
      </c>
      <c r="L349" s="191"/>
    </row>
    <row r="350">
      <c r="B350" s="27"/>
      <c r="C350" s="27"/>
      <c r="D350" s="275" t="s">
        <v>25</v>
      </c>
      <c r="E350" s="266">
        <v>13500.0</v>
      </c>
      <c r="F350" s="269">
        <v>28157.0</v>
      </c>
      <c r="G350" s="266">
        <f t="shared" si="130"/>
        <v>-41</v>
      </c>
      <c r="H350" s="266">
        <f>'PENDATAAN PERUMAHAN'!$R$229</f>
        <v>28116</v>
      </c>
      <c r="I350" s="267">
        <f t="shared" si="132"/>
        <v>-0.003037037037</v>
      </c>
      <c r="J350" s="267">
        <f t="shared" si="133"/>
        <v>2.082666667</v>
      </c>
      <c r="L350" s="191"/>
    </row>
    <row r="351">
      <c r="B351" s="27"/>
      <c r="C351" s="27"/>
      <c r="D351" s="265" t="s">
        <v>24</v>
      </c>
      <c r="E351" s="266">
        <v>42200.0</v>
      </c>
      <c r="F351" s="269">
        <v>3107.0</v>
      </c>
      <c r="G351" s="266">
        <f t="shared" si="130"/>
        <v>1518</v>
      </c>
      <c r="H351" s="266">
        <f>'PENDATAAN PERUMAHAN'!$Q$229</f>
        <v>4625</v>
      </c>
      <c r="I351" s="267">
        <f t="shared" si="132"/>
        <v>0.03597156398</v>
      </c>
      <c r="J351" s="267">
        <f t="shared" si="133"/>
        <v>0.1095971564</v>
      </c>
      <c r="L351" s="191"/>
    </row>
    <row r="352">
      <c r="B352" s="27"/>
      <c r="C352" s="27"/>
      <c r="D352" s="265" t="s">
        <v>28</v>
      </c>
      <c r="E352" s="266">
        <v>0.0</v>
      </c>
      <c r="F352" s="266">
        <v>0.0</v>
      </c>
      <c r="G352" s="266">
        <f t="shared" si="130"/>
        <v>0</v>
      </c>
      <c r="H352" s="266">
        <f>'PENDATAAN PERUMAHAN'!$T$229</f>
        <v>0</v>
      </c>
      <c r="I352" s="270">
        <v>0.0</v>
      </c>
      <c r="J352" s="267">
        <f>H352/36</f>
        <v>0</v>
      </c>
      <c r="L352" s="191"/>
    </row>
    <row r="353">
      <c r="B353" s="27"/>
      <c r="C353" s="27"/>
      <c r="D353" s="265" t="s">
        <v>517</v>
      </c>
      <c r="E353" s="266">
        <v>600.0</v>
      </c>
      <c r="F353" s="269">
        <v>2086.0</v>
      </c>
      <c r="G353" s="266">
        <f t="shared" si="130"/>
        <v>88</v>
      </c>
      <c r="H353" s="269">
        <v>2174.0</v>
      </c>
      <c r="I353" s="267">
        <f t="shared" ref="I353:I358" si="134">(H353-F353)/E353</f>
        <v>0.1466666667</v>
      </c>
      <c r="J353" s="267">
        <f t="shared" ref="J353:J358" si="135">H353/E353</f>
        <v>3.623333333</v>
      </c>
      <c r="L353" s="191"/>
    </row>
    <row r="354">
      <c r="B354" s="27"/>
      <c r="C354" s="27"/>
      <c r="D354" s="265" t="s">
        <v>29</v>
      </c>
      <c r="E354" s="266">
        <v>486897.0</v>
      </c>
      <c r="F354" s="269">
        <v>2489.0</v>
      </c>
      <c r="G354" s="266">
        <f t="shared" si="130"/>
        <v>107843</v>
      </c>
      <c r="H354" s="266">
        <f>'PENDATAAN PERUMAHAN'!$U$229</f>
        <v>110332</v>
      </c>
      <c r="I354" s="267">
        <f t="shared" si="134"/>
        <v>0.2214903768</v>
      </c>
      <c r="J354" s="267">
        <f t="shared" si="135"/>
        <v>0.2266023409</v>
      </c>
      <c r="L354" s="191"/>
    </row>
    <row r="355">
      <c r="B355" s="40"/>
      <c r="C355" s="40"/>
      <c r="D355" s="265" t="s">
        <v>519</v>
      </c>
      <c r="E355" s="276">
        <v>200.0</v>
      </c>
      <c r="F355" s="276">
        <v>169.0</v>
      </c>
      <c r="G355" s="276">
        <f t="shared" si="130"/>
        <v>0</v>
      </c>
      <c r="H355" s="276">
        <v>169.0</v>
      </c>
      <c r="I355" s="267">
        <f t="shared" si="134"/>
        <v>0</v>
      </c>
      <c r="J355" s="267">
        <f t="shared" si="135"/>
        <v>0.845</v>
      </c>
      <c r="L355" s="191"/>
    </row>
    <row r="356">
      <c r="B356" s="278" t="s">
        <v>533</v>
      </c>
      <c r="C356" s="183"/>
      <c r="D356" s="31"/>
      <c r="E356" s="279">
        <f t="shared" ref="E356:F356" si="136">SUM(E338:E355)</f>
        <v>1000000</v>
      </c>
      <c r="F356" s="279">
        <f t="shared" si="136"/>
        <v>65234</v>
      </c>
      <c r="G356" s="279">
        <f>sum(G338:G355)</f>
        <v>113217</v>
      </c>
      <c r="H356" s="279">
        <f>SUM(H338:H355)</f>
        <v>178451</v>
      </c>
      <c r="I356" s="280">
        <f t="shared" si="134"/>
        <v>0.113217</v>
      </c>
      <c r="J356" s="280">
        <f t="shared" si="135"/>
        <v>0.178451</v>
      </c>
      <c r="L356" s="191"/>
    </row>
    <row r="357">
      <c r="B357" s="263" t="s">
        <v>6</v>
      </c>
      <c r="C357" s="264" t="s">
        <v>8</v>
      </c>
      <c r="D357" s="265" t="s">
        <v>536</v>
      </c>
      <c r="E357" s="266">
        <v>217500.0</v>
      </c>
      <c r="F357" s="269">
        <v>108826.0</v>
      </c>
      <c r="G357" s="266">
        <f t="shared" ref="G357:G358" si="137">H357-F357</f>
        <v>36760</v>
      </c>
      <c r="H357" s="266">
        <f>'PENDATAAN PERUMAHAN'!$E$229</f>
        <v>145586</v>
      </c>
      <c r="I357" s="267">
        <f t="shared" si="134"/>
        <v>0.1690114943</v>
      </c>
      <c r="J357" s="267">
        <f t="shared" si="135"/>
        <v>0.6693609195</v>
      </c>
      <c r="L357" s="191"/>
    </row>
    <row r="358">
      <c r="B358" s="27"/>
      <c r="C358" s="27"/>
      <c r="D358" s="265" t="s">
        <v>538</v>
      </c>
      <c r="E358" s="266">
        <v>300000.0</v>
      </c>
      <c r="F358" s="266">
        <v>0.0</v>
      </c>
      <c r="G358" s="266">
        <f t="shared" si="137"/>
        <v>0</v>
      </c>
      <c r="H358" s="266">
        <f>'PENDATAAN PERUMAHAN'!$V$229</f>
        <v>0</v>
      </c>
      <c r="I358" s="267">
        <f t="shared" si="134"/>
        <v>0</v>
      </c>
      <c r="J358" s="267">
        <f t="shared" si="135"/>
        <v>0</v>
      </c>
      <c r="L358" s="191"/>
    </row>
    <row r="359">
      <c r="B359" s="27"/>
      <c r="C359" s="27"/>
      <c r="D359" s="265" t="s">
        <v>540</v>
      </c>
      <c r="E359" s="266">
        <v>700.0</v>
      </c>
      <c r="F359" s="266">
        <v>0.0</v>
      </c>
      <c r="G359" s="266">
        <v>0.0</v>
      </c>
      <c r="H359" s="266">
        <v>0.0</v>
      </c>
      <c r="I359" s="270">
        <v>0.0</v>
      </c>
      <c r="J359" s="267">
        <v>0.0</v>
      </c>
      <c r="L359" s="191"/>
    </row>
    <row r="360">
      <c r="B360" s="40"/>
      <c r="C360" s="40"/>
      <c r="D360" s="265" t="s">
        <v>541</v>
      </c>
      <c r="E360" s="266">
        <v>0.0</v>
      </c>
      <c r="F360" s="266">
        <v>0.0</v>
      </c>
      <c r="G360" s="269">
        <v>0.0</v>
      </c>
      <c r="H360" s="269">
        <v>0.0</v>
      </c>
      <c r="I360" s="270">
        <v>0.0</v>
      </c>
      <c r="J360" s="270">
        <v>0.0</v>
      </c>
      <c r="L360" s="191"/>
    </row>
    <row r="361">
      <c r="B361" s="285" t="s">
        <v>542</v>
      </c>
      <c r="C361" s="19"/>
      <c r="D361" s="20"/>
      <c r="E361" s="286">
        <f>sum(E357:E359)</f>
        <v>518200</v>
      </c>
      <c r="F361" s="286">
        <f>SUM(F357:F360)</f>
        <v>108826</v>
      </c>
      <c r="G361" s="286">
        <f t="shared" ref="G361:G362" si="138">H361-F361</f>
        <v>36760</v>
      </c>
      <c r="H361" s="286">
        <f>H357+H358+H360</f>
        <v>145586</v>
      </c>
      <c r="I361" s="280">
        <f t="shared" ref="I361:I362" si="139">(H361-F361)/E361</f>
        <v>0.07093786183</v>
      </c>
      <c r="J361" s="280">
        <f t="shared" ref="J361:J362" si="140">H361/E361</f>
        <v>0.2809455809</v>
      </c>
      <c r="L361" s="191"/>
    </row>
    <row r="362">
      <c r="B362" s="287" t="s">
        <v>544</v>
      </c>
      <c r="C362" s="19"/>
      <c r="D362" s="20"/>
      <c r="E362" s="288">
        <f>E361+E356</f>
        <v>1518200</v>
      </c>
      <c r="F362" s="289">
        <f>F356+F361</f>
        <v>174060</v>
      </c>
      <c r="G362" s="290">
        <f t="shared" si="138"/>
        <v>149977</v>
      </c>
      <c r="H362" s="289">
        <f>H361+H356</f>
        <v>324037</v>
      </c>
      <c r="I362" s="291">
        <f t="shared" si="139"/>
        <v>0.09878606244</v>
      </c>
      <c r="J362" s="291">
        <f t="shared" si="140"/>
        <v>0.2134349888</v>
      </c>
      <c r="L362" s="191"/>
    </row>
    <row r="363">
      <c r="L363" s="191"/>
    </row>
    <row r="364">
      <c r="L364" s="191"/>
    </row>
    <row r="365">
      <c r="B365" s="248" t="s">
        <v>587</v>
      </c>
      <c r="L365" s="191"/>
    </row>
    <row r="366">
      <c r="A366" s="293" t="s">
        <v>493</v>
      </c>
      <c r="B366" s="260" t="s">
        <v>494</v>
      </c>
      <c r="C366" s="261" t="s">
        <v>495</v>
      </c>
      <c r="D366" s="261" t="s">
        <v>15</v>
      </c>
      <c r="E366" s="261" t="s">
        <v>496</v>
      </c>
      <c r="F366" s="261" t="s">
        <v>497</v>
      </c>
      <c r="G366" s="261" t="s">
        <v>498</v>
      </c>
      <c r="H366" s="261" t="s">
        <v>499</v>
      </c>
      <c r="I366" s="261" t="s">
        <v>500</v>
      </c>
      <c r="J366" s="261" t="s">
        <v>501</v>
      </c>
      <c r="L366" s="191"/>
    </row>
    <row r="367">
      <c r="A367" s="294"/>
      <c r="B367" s="263" t="s">
        <v>2</v>
      </c>
      <c r="C367" s="264" t="s">
        <v>505</v>
      </c>
      <c r="D367" s="265" t="s">
        <v>506</v>
      </c>
      <c r="E367" s="266">
        <v>518.0</v>
      </c>
      <c r="F367" s="266">
        <v>0.0</v>
      </c>
      <c r="G367" s="266">
        <f t="shared" ref="G367:G384" si="141">H367-F367</f>
        <v>25</v>
      </c>
      <c r="H367" s="266">
        <f>'PENDATAAN PERUMAHAN'!$J$229</f>
        <v>25</v>
      </c>
      <c r="I367" s="267">
        <f>(H367-F367)/E367</f>
        <v>0.04826254826</v>
      </c>
      <c r="J367" s="267">
        <f t="shared" ref="J367:J368" si="142">H367/$E$2</f>
        <v>0.04826254826</v>
      </c>
      <c r="L367" s="191"/>
    </row>
    <row r="368">
      <c r="A368" s="294"/>
      <c r="B368" s="27"/>
      <c r="C368" s="27"/>
      <c r="D368" s="268" t="s">
        <v>508</v>
      </c>
      <c r="E368" s="266">
        <v>0.0</v>
      </c>
      <c r="F368" s="269">
        <v>73.0</v>
      </c>
      <c r="G368" s="266">
        <f t="shared" si="141"/>
        <v>0</v>
      </c>
      <c r="H368" s="266">
        <f>'PENDATAAN PERUMAHAN'!$K$229</f>
        <v>73</v>
      </c>
      <c r="I368" s="284"/>
      <c r="J368" s="267">
        <f t="shared" si="142"/>
        <v>0.1409266409</v>
      </c>
      <c r="L368" s="191"/>
    </row>
    <row r="369">
      <c r="A369" s="294"/>
      <c r="B369" s="27"/>
      <c r="C369" s="27"/>
      <c r="D369" s="268" t="s">
        <v>25</v>
      </c>
      <c r="E369" s="271">
        <v>2500.0</v>
      </c>
      <c r="F369" s="269">
        <v>4641.0</v>
      </c>
      <c r="G369" s="266">
        <f t="shared" si="141"/>
        <v>386</v>
      </c>
      <c r="H369" s="266">
        <f>'PENDATAAN PERUMAHAN'!$M$229</f>
        <v>5027</v>
      </c>
      <c r="I369" s="267">
        <f>(H369-F369)/E369</f>
        <v>0.1544</v>
      </c>
      <c r="J369" s="267">
        <f>H369/E369</f>
        <v>2.0108</v>
      </c>
      <c r="L369" s="191"/>
    </row>
    <row r="370">
      <c r="A370" s="294"/>
      <c r="B370" s="27"/>
      <c r="C370" s="40"/>
      <c r="D370" s="268" t="s">
        <v>24</v>
      </c>
      <c r="E370" s="295">
        <v>0.0</v>
      </c>
      <c r="F370" s="269">
        <v>820.0</v>
      </c>
      <c r="G370" s="266">
        <f t="shared" si="141"/>
        <v>176</v>
      </c>
      <c r="H370" s="266">
        <f>'PENDATAAN PERUMAHAN'!$L$229</f>
        <v>996</v>
      </c>
      <c r="I370" s="284"/>
      <c r="J370" s="267">
        <f>H370/$E$2</f>
        <v>1.922779923</v>
      </c>
      <c r="L370" s="191"/>
    </row>
    <row r="371">
      <c r="A371" s="294"/>
      <c r="B371" s="27"/>
      <c r="C371" s="264" t="s">
        <v>13</v>
      </c>
      <c r="D371" s="268" t="s">
        <v>512</v>
      </c>
      <c r="E371" s="266">
        <v>160000.0</v>
      </c>
      <c r="F371" s="269">
        <v>14967.0</v>
      </c>
      <c r="G371" s="266">
        <f t="shared" si="141"/>
        <v>1072</v>
      </c>
      <c r="H371" s="266">
        <f>'PENDATAAN PERUMAHAN'!$F$229</f>
        <v>16039</v>
      </c>
      <c r="I371" s="267">
        <f t="shared" ref="I371:I374" si="143">(H371-F371)/E371</f>
        <v>0.0067</v>
      </c>
      <c r="J371" s="267">
        <f t="shared" ref="J371:J380" si="144">H371/E371</f>
        <v>0.10024375</v>
      </c>
      <c r="L371" s="191"/>
    </row>
    <row r="372">
      <c r="A372" s="294"/>
      <c r="B372" s="27"/>
      <c r="C372" s="40"/>
      <c r="D372" s="268" t="s">
        <v>514</v>
      </c>
      <c r="E372" s="266">
        <v>80000.0</v>
      </c>
      <c r="F372" s="266">
        <v>177.0</v>
      </c>
      <c r="G372" s="266">
        <f t="shared" si="141"/>
        <v>0</v>
      </c>
      <c r="H372" s="266">
        <f>'PENDATAAN PERUMAHAN'!$G$229</f>
        <v>177</v>
      </c>
      <c r="I372" s="267">
        <f t="shared" si="143"/>
        <v>0</v>
      </c>
      <c r="J372" s="267">
        <f t="shared" si="144"/>
        <v>0.0022125</v>
      </c>
      <c r="L372" s="191"/>
    </row>
    <row r="373">
      <c r="A373" s="294"/>
      <c r="B373" s="27"/>
      <c r="C373" s="264" t="s">
        <v>14</v>
      </c>
      <c r="D373" s="265" t="s">
        <v>21</v>
      </c>
      <c r="E373" s="266">
        <v>197500.0</v>
      </c>
      <c r="F373" s="269">
        <v>8483.0</v>
      </c>
      <c r="G373" s="266">
        <f t="shared" si="141"/>
        <v>961</v>
      </c>
      <c r="H373" s="266">
        <f>'PENDATAAN PERUMAHAN'!$H$229</f>
        <v>9444</v>
      </c>
      <c r="I373" s="267">
        <f t="shared" si="143"/>
        <v>0.004865822785</v>
      </c>
      <c r="J373" s="267">
        <f t="shared" si="144"/>
        <v>0.04781772152</v>
      </c>
      <c r="L373" s="191"/>
    </row>
    <row r="374">
      <c r="A374" s="294"/>
      <c r="B374" s="27"/>
      <c r="C374" s="27"/>
      <c r="D374" s="265" t="s">
        <v>517</v>
      </c>
      <c r="E374" s="271">
        <v>150.0</v>
      </c>
      <c r="F374" s="273">
        <v>580.0</v>
      </c>
      <c r="G374" s="266">
        <f t="shared" si="141"/>
        <v>0</v>
      </c>
      <c r="H374" s="296">
        <v>580.0</v>
      </c>
      <c r="I374" s="267">
        <f t="shared" si="143"/>
        <v>0</v>
      </c>
      <c r="J374" s="267">
        <f t="shared" si="144"/>
        <v>3.866666667</v>
      </c>
      <c r="L374" s="191"/>
    </row>
    <row r="375">
      <c r="A375" s="294"/>
      <c r="B375" s="40"/>
      <c r="C375" s="40"/>
      <c r="D375" s="275" t="s">
        <v>519</v>
      </c>
      <c r="E375" s="271">
        <v>50.0</v>
      </c>
      <c r="F375" s="271">
        <v>16.0</v>
      </c>
      <c r="G375" s="266">
        <f t="shared" si="141"/>
        <v>0</v>
      </c>
      <c r="H375" s="266">
        <v>16.0</v>
      </c>
      <c r="I375" s="284"/>
      <c r="J375" s="267">
        <f t="shared" si="144"/>
        <v>0.32</v>
      </c>
      <c r="L375" s="191"/>
    </row>
    <row r="376">
      <c r="A376" s="294"/>
      <c r="B376" s="263" t="s">
        <v>521</v>
      </c>
      <c r="C376" s="264" t="s">
        <v>522</v>
      </c>
      <c r="D376" s="275" t="s">
        <v>506</v>
      </c>
      <c r="E376" s="266">
        <v>15110.0</v>
      </c>
      <c r="F376" s="271">
        <v>0.0</v>
      </c>
      <c r="G376" s="266">
        <f t="shared" si="141"/>
        <v>0</v>
      </c>
      <c r="H376" s="266">
        <f>'PENDATAAN PERUMAHAN'!$N$229</f>
        <v>0</v>
      </c>
      <c r="I376" s="267">
        <f>(H376-F376)/E376</f>
        <v>0</v>
      </c>
      <c r="J376" s="267">
        <f t="shared" si="144"/>
        <v>0</v>
      </c>
      <c r="L376" s="191"/>
    </row>
    <row r="377">
      <c r="A377" s="294"/>
      <c r="B377" s="27"/>
      <c r="C377" s="27"/>
      <c r="D377" s="275" t="s">
        <v>508</v>
      </c>
      <c r="E377" s="266">
        <v>100.0</v>
      </c>
      <c r="F377" s="271">
        <v>569.0</v>
      </c>
      <c r="G377" s="266">
        <f t="shared" si="141"/>
        <v>10</v>
      </c>
      <c r="H377" s="266">
        <f>'PENDATAAN PERUMAHAN'!$O$229</f>
        <v>579</v>
      </c>
      <c r="I377" s="284"/>
      <c r="J377" s="267">
        <f t="shared" si="144"/>
        <v>5.79</v>
      </c>
      <c r="L377" s="191"/>
    </row>
    <row r="378">
      <c r="A378" s="294"/>
      <c r="B378" s="27"/>
      <c r="C378" s="27"/>
      <c r="D378" s="275" t="s">
        <v>525</v>
      </c>
      <c r="E378" s="266">
        <v>675.0</v>
      </c>
      <c r="F378" s="266">
        <v>79.0</v>
      </c>
      <c r="G378" s="266">
        <f t="shared" si="141"/>
        <v>0</v>
      </c>
      <c r="H378" s="266">
        <f>'PENDATAAN PERUMAHAN'!$P$229</f>
        <v>79</v>
      </c>
      <c r="I378" s="267">
        <f t="shared" ref="I378:I383" si="145">(H378-F378)/E378</f>
        <v>0</v>
      </c>
      <c r="J378" s="267">
        <f t="shared" si="144"/>
        <v>0.117037037</v>
      </c>
      <c r="L378" s="191"/>
    </row>
    <row r="379">
      <c r="A379" s="294"/>
      <c r="B379" s="27"/>
      <c r="C379" s="27"/>
      <c r="D379" s="275" t="s">
        <v>25</v>
      </c>
      <c r="E379" s="266">
        <v>13500.0</v>
      </c>
      <c r="F379" s="269">
        <v>25376.0</v>
      </c>
      <c r="G379" s="266">
        <f t="shared" si="141"/>
        <v>2740</v>
      </c>
      <c r="H379" s="266">
        <f>'PENDATAAN PERUMAHAN'!$R$229</f>
        <v>28116</v>
      </c>
      <c r="I379" s="267">
        <f t="shared" si="145"/>
        <v>0.202962963</v>
      </c>
      <c r="J379" s="267">
        <f t="shared" si="144"/>
        <v>2.082666667</v>
      </c>
      <c r="L379" s="191"/>
    </row>
    <row r="380">
      <c r="A380" s="294"/>
      <c r="B380" s="27"/>
      <c r="C380" s="27"/>
      <c r="D380" s="265" t="s">
        <v>24</v>
      </c>
      <c r="E380" s="266">
        <v>42200.0</v>
      </c>
      <c r="F380" s="269">
        <v>3702.0</v>
      </c>
      <c r="G380" s="266">
        <f t="shared" si="141"/>
        <v>923</v>
      </c>
      <c r="H380" s="266">
        <f>'PENDATAAN PERUMAHAN'!$Q$229</f>
        <v>4625</v>
      </c>
      <c r="I380" s="267">
        <f t="shared" si="145"/>
        <v>0.02187203791</v>
      </c>
      <c r="J380" s="267">
        <f t="shared" si="144"/>
        <v>0.1095971564</v>
      </c>
      <c r="L380" s="191"/>
    </row>
    <row r="381">
      <c r="A381" s="294"/>
      <c r="B381" s="27"/>
      <c r="C381" s="27"/>
      <c r="D381" s="265" t="s">
        <v>28</v>
      </c>
      <c r="E381" s="266">
        <v>0.0</v>
      </c>
      <c r="F381" s="266">
        <v>0.0</v>
      </c>
      <c r="G381" s="266">
        <f t="shared" si="141"/>
        <v>0</v>
      </c>
      <c r="H381" s="266">
        <f>'PENDATAAN PERUMAHAN'!$T$229</f>
        <v>0</v>
      </c>
      <c r="I381" s="267" t="str">
        <f t="shared" si="145"/>
        <v>#DIV/0!</v>
      </c>
      <c r="J381" s="267">
        <f>H381/36</f>
        <v>0</v>
      </c>
      <c r="L381" s="191"/>
    </row>
    <row r="382">
      <c r="A382" s="294"/>
      <c r="B382" s="27"/>
      <c r="C382" s="27"/>
      <c r="D382" s="265" t="s">
        <v>517</v>
      </c>
      <c r="E382" s="266">
        <v>600.0</v>
      </c>
      <c r="F382" s="269">
        <v>2174.0</v>
      </c>
      <c r="G382" s="266">
        <f t="shared" si="141"/>
        <v>71</v>
      </c>
      <c r="H382" s="296">
        <v>2245.0</v>
      </c>
      <c r="I382" s="267">
        <f t="shared" si="145"/>
        <v>0.1183333333</v>
      </c>
      <c r="J382" s="267">
        <f t="shared" ref="J382:J387" si="146">H382/E382</f>
        <v>3.741666667</v>
      </c>
      <c r="L382" s="191"/>
    </row>
    <row r="383">
      <c r="A383" s="294"/>
      <c r="B383" s="27"/>
      <c r="C383" s="27"/>
      <c r="D383" s="265" t="s">
        <v>29</v>
      </c>
      <c r="E383" s="266">
        <v>486897.0</v>
      </c>
      <c r="F383" s="269">
        <v>47539.0</v>
      </c>
      <c r="G383" s="266">
        <f t="shared" si="141"/>
        <v>62793</v>
      </c>
      <c r="H383" s="266">
        <f>'PENDATAAN PERUMAHAN'!$U$229</f>
        <v>110332</v>
      </c>
      <c r="I383" s="267">
        <f t="shared" si="145"/>
        <v>0.1289656745</v>
      </c>
      <c r="J383" s="267">
        <f t="shared" si="146"/>
        <v>0.2266023409</v>
      </c>
      <c r="L383" s="191"/>
    </row>
    <row r="384">
      <c r="A384" s="297"/>
      <c r="B384" s="40"/>
      <c r="C384" s="40"/>
      <c r="D384" s="265" t="s">
        <v>519</v>
      </c>
      <c r="E384" s="276">
        <v>200.0</v>
      </c>
      <c r="F384" s="276">
        <v>169.0</v>
      </c>
      <c r="G384" s="276">
        <f t="shared" si="141"/>
        <v>0</v>
      </c>
      <c r="H384" s="276">
        <v>169.0</v>
      </c>
      <c r="I384" s="298"/>
      <c r="J384" s="267">
        <f t="shared" si="146"/>
        <v>0.845</v>
      </c>
      <c r="L384" s="191"/>
    </row>
    <row r="385">
      <c r="A385" s="299"/>
      <c r="B385" s="278" t="s">
        <v>533</v>
      </c>
      <c r="C385" s="183"/>
      <c r="D385" s="31"/>
      <c r="E385" s="279">
        <f t="shared" ref="E385:F385" si="147">SUM(E367:E384)</f>
        <v>1000000</v>
      </c>
      <c r="F385" s="279">
        <f t="shared" si="147"/>
        <v>109365</v>
      </c>
      <c r="G385" s="279">
        <f>sum(G367:G384)</f>
        <v>69157</v>
      </c>
      <c r="H385" s="279">
        <f>SUM(H367:H384)</f>
        <v>178522</v>
      </c>
      <c r="I385" s="280">
        <f t="shared" ref="I385:I387" si="148">(H385-F385)/E385</f>
        <v>0.069157</v>
      </c>
      <c r="J385" s="280">
        <f t="shared" si="146"/>
        <v>0.178522</v>
      </c>
      <c r="L385" s="191"/>
    </row>
    <row r="386">
      <c r="A386" s="294"/>
      <c r="B386" s="263" t="s">
        <v>6</v>
      </c>
      <c r="C386" s="264" t="s">
        <v>8</v>
      </c>
      <c r="D386" s="265" t="s">
        <v>536</v>
      </c>
      <c r="E386" s="266">
        <v>217500.0</v>
      </c>
      <c r="F386" s="269">
        <v>114533.0</v>
      </c>
      <c r="G386" s="266">
        <f t="shared" ref="G386:G387" si="149">H386-F386</f>
        <v>31053</v>
      </c>
      <c r="H386" s="266">
        <f>'PENDATAAN PERUMAHAN'!$E$229</f>
        <v>145586</v>
      </c>
      <c r="I386" s="267">
        <f t="shared" si="148"/>
        <v>0.1427724138</v>
      </c>
      <c r="J386" s="267">
        <f t="shared" si="146"/>
        <v>0.6693609195</v>
      </c>
      <c r="L386" s="191"/>
    </row>
    <row r="387">
      <c r="A387" s="294"/>
      <c r="B387" s="27"/>
      <c r="C387" s="27"/>
      <c r="D387" s="265" t="s">
        <v>538</v>
      </c>
      <c r="E387" s="266">
        <v>300000.0</v>
      </c>
      <c r="F387" s="266">
        <v>0.0</v>
      </c>
      <c r="G387" s="266">
        <f t="shared" si="149"/>
        <v>0</v>
      </c>
      <c r="H387" s="266">
        <f>'PENDATAAN PERUMAHAN'!$V$229</f>
        <v>0</v>
      </c>
      <c r="I387" s="267">
        <f t="shared" si="148"/>
        <v>0</v>
      </c>
      <c r="J387" s="267">
        <f t="shared" si="146"/>
        <v>0</v>
      </c>
      <c r="L387" s="191"/>
    </row>
    <row r="388">
      <c r="A388" s="294"/>
      <c r="B388" s="27"/>
      <c r="C388" s="27"/>
      <c r="D388" s="265" t="s">
        <v>540</v>
      </c>
      <c r="E388" s="266">
        <v>700.0</v>
      </c>
      <c r="F388" s="266">
        <v>0.0</v>
      </c>
      <c r="G388" s="266">
        <v>0.0</v>
      </c>
      <c r="H388" s="266">
        <v>0.0</v>
      </c>
      <c r="I388" s="284"/>
      <c r="J388" s="267">
        <v>0.0</v>
      </c>
      <c r="L388" s="191"/>
    </row>
    <row r="389">
      <c r="A389" s="294"/>
      <c r="B389" s="40"/>
      <c r="C389" s="40"/>
      <c r="D389" s="265" t="s">
        <v>541</v>
      </c>
      <c r="E389" s="266">
        <v>0.0</v>
      </c>
      <c r="F389" s="266">
        <v>0.0</v>
      </c>
      <c r="G389" s="266">
        <v>0.0</v>
      </c>
      <c r="H389" s="266">
        <v>0.0</v>
      </c>
      <c r="I389" s="284"/>
      <c r="J389" s="267">
        <v>0.0</v>
      </c>
      <c r="L389" s="191"/>
    </row>
    <row r="390">
      <c r="A390" s="300"/>
      <c r="B390" s="285" t="s">
        <v>542</v>
      </c>
      <c r="C390" s="19"/>
      <c r="D390" s="20"/>
      <c r="E390" s="286">
        <f>sum(E386:E388)</f>
        <v>518200</v>
      </c>
      <c r="F390" s="286">
        <f>SUM(F386:F389)</f>
        <v>114533</v>
      </c>
      <c r="G390" s="286">
        <f t="shared" ref="G390:G391" si="150">H390-F390</f>
        <v>31053</v>
      </c>
      <c r="H390" s="286">
        <f>H386+H387+H389</f>
        <v>145586</v>
      </c>
      <c r="I390" s="280">
        <f t="shared" ref="I390:I391" si="151">(H390-F390)/E390</f>
        <v>0.05992473948</v>
      </c>
      <c r="J390" s="280">
        <f t="shared" ref="J390:J391" si="152">H390/E390</f>
        <v>0.2809455809</v>
      </c>
      <c r="L390" s="191"/>
    </row>
    <row r="391">
      <c r="A391" s="301"/>
      <c r="B391" s="287" t="s">
        <v>544</v>
      </c>
      <c r="C391" s="19"/>
      <c r="D391" s="20"/>
      <c r="E391" s="288">
        <f>E390+E385</f>
        <v>1518200</v>
      </c>
      <c r="F391" s="289">
        <f>F385+F390</f>
        <v>223898</v>
      </c>
      <c r="G391" s="290">
        <f t="shared" si="150"/>
        <v>100210</v>
      </c>
      <c r="H391" s="289">
        <f>H390+H385</f>
        <v>324108</v>
      </c>
      <c r="I391" s="291">
        <f t="shared" si="151"/>
        <v>0.06600579634</v>
      </c>
      <c r="J391" s="291">
        <f t="shared" si="152"/>
        <v>0.2134817547</v>
      </c>
      <c r="L391" s="191"/>
    </row>
    <row r="392">
      <c r="L392" s="191"/>
    </row>
    <row r="393">
      <c r="B393" s="248" t="s">
        <v>588</v>
      </c>
      <c r="L393" s="191"/>
    </row>
    <row r="394">
      <c r="B394" s="151" t="s">
        <v>494</v>
      </c>
      <c r="C394" s="152" t="s">
        <v>495</v>
      </c>
      <c r="D394" s="152" t="s">
        <v>15</v>
      </c>
      <c r="E394" s="152" t="s">
        <v>496</v>
      </c>
      <c r="F394" s="152" t="s">
        <v>497</v>
      </c>
      <c r="G394" s="152" t="s">
        <v>498</v>
      </c>
      <c r="H394" s="152" t="s">
        <v>499</v>
      </c>
      <c r="I394" s="152" t="s">
        <v>500</v>
      </c>
      <c r="J394" s="152" t="s">
        <v>501</v>
      </c>
      <c r="L394" s="191"/>
    </row>
    <row r="395">
      <c r="B395" s="156" t="s">
        <v>2</v>
      </c>
      <c r="C395" s="157" t="s">
        <v>505</v>
      </c>
      <c r="D395" s="158" t="s">
        <v>506</v>
      </c>
      <c r="E395" s="159">
        <v>518.0</v>
      </c>
      <c r="F395" s="159">
        <v>0.0</v>
      </c>
      <c r="G395" s="160">
        <f t="shared" ref="G395:G412" si="153">H395-F395</f>
        <v>25</v>
      </c>
      <c r="H395" s="160">
        <f>'PENDATAAN PERUMAHAN'!$J$229</f>
        <v>25</v>
      </c>
      <c r="I395" s="161">
        <f>(H395-F395)/E395</f>
        <v>0.04826254826</v>
      </c>
      <c r="J395" s="161">
        <f t="shared" ref="J395:J396" si="154">H395/$E$2</f>
        <v>0.04826254826</v>
      </c>
      <c r="L395" s="191"/>
    </row>
    <row r="396">
      <c r="B396" s="27"/>
      <c r="C396" s="27"/>
      <c r="D396" s="164" t="s">
        <v>508</v>
      </c>
      <c r="E396" s="159">
        <v>0.0</v>
      </c>
      <c r="F396" s="159">
        <v>73.0</v>
      </c>
      <c r="G396" s="160">
        <f t="shared" si="153"/>
        <v>0</v>
      </c>
      <c r="H396" s="160">
        <f>'PENDATAAN PERUMAHAN'!$K$229</f>
        <v>73</v>
      </c>
      <c r="I396" s="161"/>
      <c r="J396" s="161">
        <f t="shared" si="154"/>
        <v>0.1409266409</v>
      </c>
      <c r="L396" s="191"/>
    </row>
    <row r="397">
      <c r="B397" s="27"/>
      <c r="C397" s="27"/>
      <c r="D397" s="164" t="s">
        <v>25</v>
      </c>
      <c r="E397" s="166">
        <v>2500.0</v>
      </c>
      <c r="F397" s="159">
        <v>4641.0</v>
      </c>
      <c r="G397" s="160">
        <f t="shared" si="153"/>
        <v>386</v>
      </c>
      <c r="H397" s="160">
        <f>'PENDATAAN PERUMAHAN'!$M$229</f>
        <v>5027</v>
      </c>
      <c r="I397" s="161">
        <f>(H397-F397)/E397</f>
        <v>0.1544</v>
      </c>
      <c r="J397" s="161">
        <f>H397/E397</f>
        <v>2.0108</v>
      </c>
      <c r="L397" s="191"/>
    </row>
    <row r="398">
      <c r="B398" s="27"/>
      <c r="C398" s="40"/>
      <c r="D398" s="164" t="s">
        <v>24</v>
      </c>
      <c r="E398" s="167">
        <v>0.0</v>
      </c>
      <c r="F398" s="159">
        <v>820.0</v>
      </c>
      <c r="G398" s="160">
        <f t="shared" si="153"/>
        <v>176</v>
      </c>
      <c r="H398" s="160">
        <f>'PENDATAAN PERUMAHAN'!$L$229</f>
        <v>996</v>
      </c>
      <c r="I398" s="161"/>
      <c r="J398" s="161"/>
      <c r="L398" s="191"/>
    </row>
    <row r="399">
      <c r="B399" s="27"/>
      <c r="C399" s="157" t="s">
        <v>13</v>
      </c>
      <c r="D399" s="164" t="s">
        <v>512</v>
      </c>
      <c r="E399" s="159">
        <v>160000.0</v>
      </c>
      <c r="F399" s="159">
        <v>14967.0</v>
      </c>
      <c r="G399" s="160">
        <f t="shared" si="153"/>
        <v>1072</v>
      </c>
      <c r="H399" s="160">
        <f>'PENDATAAN PERUMAHAN'!$F$229</f>
        <v>16039</v>
      </c>
      <c r="I399" s="161">
        <f t="shared" ref="I399:I402" si="155">(H399-F399)/E399</f>
        <v>0.0067</v>
      </c>
      <c r="J399" s="161">
        <f t="shared" ref="J399:J408" si="156">H399/E399</f>
        <v>0.10024375</v>
      </c>
      <c r="L399" s="191"/>
    </row>
    <row r="400">
      <c r="B400" s="27"/>
      <c r="C400" s="40"/>
      <c r="D400" s="164" t="s">
        <v>514</v>
      </c>
      <c r="E400" s="159">
        <v>80000.0</v>
      </c>
      <c r="F400" s="159">
        <v>177.0</v>
      </c>
      <c r="G400" s="160">
        <f t="shared" si="153"/>
        <v>0</v>
      </c>
      <c r="H400" s="159">
        <f>'PENDATAAN PERUMAHAN'!$G$229</f>
        <v>177</v>
      </c>
      <c r="I400" s="161">
        <f t="shared" si="155"/>
        <v>0</v>
      </c>
      <c r="J400" s="161">
        <f t="shared" si="156"/>
        <v>0.0022125</v>
      </c>
      <c r="L400" s="191"/>
    </row>
    <row r="401">
      <c r="B401" s="27"/>
      <c r="C401" s="157" t="s">
        <v>14</v>
      </c>
      <c r="D401" s="158" t="s">
        <v>21</v>
      </c>
      <c r="E401" s="159">
        <v>197500.0</v>
      </c>
      <c r="F401" s="159">
        <v>8518.0</v>
      </c>
      <c r="G401" s="160">
        <f t="shared" si="153"/>
        <v>926</v>
      </c>
      <c r="H401" s="160">
        <f>'PENDATAAN PERUMAHAN'!$H$229</f>
        <v>9444</v>
      </c>
      <c r="I401" s="161">
        <f t="shared" si="155"/>
        <v>0.004688607595</v>
      </c>
      <c r="J401" s="161">
        <f t="shared" si="156"/>
        <v>0.04781772152</v>
      </c>
      <c r="L401" s="191"/>
    </row>
    <row r="402">
      <c r="B402" s="27"/>
      <c r="C402" s="27"/>
      <c r="D402" s="158" t="s">
        <v>517</v>
      </c>
      <c r="E402" s="166">
        <v>150.0</v>
      </c>
      <c r="F402" s="166">
        <v>580.0</v>
      </c>
      <c r="G402" s="160">
        <f t="shared" si="153"/>
        <v>2</v>
      </c>
      <c r="H402" s="168">
        <v>582.0</v>
      </c>
      <c r="I402" s="161">
        <f t="shared" si="155"/>
        <v>0.01333333333</v>
      </c>
      <c r="J402" s="161">
        <f t="shared" si="156"/>
        <v>3.88</v>
      </c>
      <c r="K402" s="274">
        <f>K404+H415</f>
        <v>177965</v>
      </c>
      <c r="L402" s="191"/>
    </row>
    <row r="403">
      <c r="B403" s="40"/>
      <c r="C403" s="40"/>
      <c r="D403" s="171" t="s">
        <v>519</v>
      </c>
      <c r="E403" s="166">
        <v>50.0</v>
      </c>
      <c r="F403" s="166">
        <v>16.0</v>
      </c>
      <c r="G403" s="160">
        <f t="shared" si="153"/>
        <v>0</v>
      </c>
      <c r="H403" s="159">
        <v>16.0</v>
      </c>
      <c r="I403" s="161"/>
      <c r="J403" s="161">
        <f t="shared" si="156"/>
        <v>0.32</v>
      </c>
      <c r="K403" s="262"/>
      <c r="L403" s="191"/>
    </row>
    <row r="404">
      <c r="B404" s="156" t="s">
        <v>521</v>
      </c>
      <c r="C404" s="157" t="s">
        <v>522</v>
      </c>
      <c r="D404" s="171" t="s">
        <v>506</v>
      </c>
      <c r="E404" s="159">
        <v>15110.0</v>
      </c>
      <c r="F404" s="166">
        <v>0.0</v>
      </c>
      <c r="G404" s="160">
        <f t="shared" si="153"/>
        <v>0</v>
      </c>
      <c r="H404" s="160">
        <f>'PENDATAAN PERUMAHAN'!$N$229</f>
        <v>0</v>
      </c>
      <c r="I404" s="161">
        <f>(H404-F404)/E404</f>
        <v>0</v>
      </c>
      <c r="J404" s="161">
        <f t="shared" si="156"/>
        <v>0</v>
      </c>
      <c r="K404" s="274">
        <f>sum(H395:H403)</f>
        <v>32379</v>
      </c>
      <c r="L404" s="191"/>
    </row>
    <row r="405">
      <c r="B405" s="27"/>
      <c r="C405" s="27"/>
      <c r="D405" s="171" t="s">
        <v>508</v>
      </c>
      <c r="E405" s="159">
        <v>100.0</v>
      </c>
      <c r="F405" s="166">
        <v>569.0</v>
      </c>
      <c r="G405" s="160">
        <f t="shared" si="153"/>
        <v>10</v>
      </c>
      <c r="H405" s="160">
        <f>'PENDATAAN PERUMAHAN'!$O$229</f>
        <v>579</v>
      </c>
      <c r="I405" s="161"/>
      <c r="J405" s="161">
        <f t="shared" si="156"/>
        <v>5.79</v>
      </c>
      <c r="K405" s="262"/>
      <c r="L405" s="191"/>
    </row>
    <row r="406">
      <c r="B406" s="27"/>
      <c r="C406" s="27"/>
      <c r="D406" s="171" t="s">
        <v>525</v>
      </c>
      <c r="E406" s="159">
        <v>675.0</v>
      </c>
      <c r="F406" s="159">
        <v>79.0</v>
      </c>
      <c r="G406" s="160">
        <f t="shared" si="153"/>
        <v>0</v>
      </c>
      <c r="H406" s="160">
        <f>'PENDATAAN PERUMAHAN'!$P$229</f>
        <v>79</v>
      </c>
      <c r="I406" s="161">
        <f t="shared" ref="I406:I411" si="157">(H406-F406)/E406</f>
        <v>0</v>
      </c>
      <c r="J406" s="161">
        <f t="shared" si="156"/>
        <v>0.117037037</v>
      </c>
      <c r="K406" s="262"/>
      <c r="L406" s="191"/>
    </row>
    <row r="407">
      <c r="B407" s="27"/>
      <c r="C407" s="27"/>
      <c r="D407" s="171" t="s">
        <v>25</v>
      </c>
      <c r="E407" s="159">
        <v>13500.0</v>
      </c>
      <c r="F407" s="159">
        <v>25491.0</v>
      </c>
      <c r="G407" s="160">
        <f t="shared" si="153"/>
        <v>2625</v>
      </c>
      <c r="H407" s="159">
        <f>'PENDATAAN PERUMAHAN'!$R$229</f>
        <v>28116</v>
      </c>
      <c r="I407" s="161">
        <f t="shared" si="157"/>
        <v>0.1944444444</v>
      </c>
      <c r="J407" s="161">
        <f t="shared" si="156"/>
        <v>2.082666667</v>
      </c>
      <c r="K407" s="262"/>
      <c r="L407" s="191"/>
    </row>
    <row r="408">
      <c r="B408" s="27"/>
      <c r="C408" s="27"/>
      <c r="D408" s="158" t="s">
        <v>24</v>
      </c>
      <c r="E408" s="159">
        <v>42200.0</v>
      </c>
      <c r="F408" s="159">
        <v>3899.0</v>
      </c>
      <c r="G408" s="160">
        <f t="shared" si="153"/>
        <v>726</v>
      </c>
      <c r="H408" s="160">
        <f>'PENDATAAN PERUMAHAN'!$Q$229</f>
        <v>4625</v>
      </c>
      <c r="I408" s="161">
        <f t="shared" si="157"/>
        <v>0.01720379147</v>
      </c>
      <c r="J408" s="161">
        <f t="shared" si="156"/>
        <v>0.1095971564</v>
      </c>
      <c r="K408" s="262"/>
      <c r="L408" s="191"/>
    </row>
    <row r="409">
      <c r="B409" s="27"/>
      <c r="C409" s="27"/>
      <c r="D409" s="158" t="s">
        <v>28</v>
      </c>
      <c r="E409" s="159">
        <v>0.0</v>
      </c>
      <c r="F409" s="159">
        <v>0.0</v>
      </c>
      <c r="G409" s="160">
        <f t="shared" si="153"/>
        <v>0</v>
      </c>
      <c r="H409" s="160">
        <f>'PENDATAAN PERUMAHAN'!$T$229</f>
        <v>0</v>
      </c>
      <c r="I409" s="161" t="str">
        <f t="shared" si="157"/>
        <v>#DIV/0!</v>
      </c>
      <c r="J409" s="161">
        <f>H409/36</f>
        <v>0</v>
      </c>
      <c r="K409" s="262"/>
      <c r="L409" s="191"/>
    </row>
    <row r="410">
      <c r="B410" s="27"/>
      <c r="C410" s="27"/>
      <c r="D410" s="158" t="s">
        <v>517</v>
      </c>
      <c r="E410" s="159">
        <v>600.0</v>
      </c>
      <c r="F410" s="159">
        <v>2245.0</v>
      </c>
      <c r="G410" s="160">
        <f t="shared" si="153"/>
        <v>211</v>
      </c>
      <c r="H410" s="168">
        <v>2456.0</v>
      </c>
      <c r="I410" s="161">
        <f t="shared" si="157"/>
        <v>0.3516666667</v>
      </c>
      <c r="J410" s="161">
        <f t="shared" ref="J410:J413" si="158">H410/E410</f>
        <v>4.093333333</v>
      </c>
      <c r="K410" s="262"/>
      <c r="L410" s="191"/>
    </row>
    <row r="411">
      <c r="B411" s="27"/>
      <c r="C411" s="27"/>
      <c r="D411" s="158" t="s">
        <v>29</v>
      </c>
      <c r="E411" s="159">
        <v>486897.0</v>
      </c>
      <c r="F411" s="159">
        <v>47539.0</v>
      </c>
      <c r="G411" s="160">
        <f t="shared" si="153"/>
        <v>62793</v>
      </c>
      <c r="H411" s="159">
        <f>'PENDATAAN PERUMAHAN'!$U$229</f>
        <v>110332</v>
      </c>
      <c r="I411" s="161">
        <f t="shared" si="157"/>
        <v>0.1289656745</v>
      </c>
      <c r="J411" s="161">
        <f t="shared" si="158"/>
        <v>0.2266023409</v>
      </c>
      <c r="K411" s="274">
        <f>sum(H404:H412)</f>
        <v>146356</v>
      </c>
      <c r="L411" s="191"/>
    </row>
    <row r="412">
      <c r="B412" s="40"/>
      <c r="C412" s="40"/>
      <c r="D412" s="174" t="s">
        <v>519</v>
      </c>
      <c r="E412" s="175">
        <v>200.0</v>
      </c>
      <c r="F412" s="175">
        <v>169.0</v>
      </c>
      <c r="G412" s="175">
        <f t="shared" si="153"/>
        <v>0</v>
      </c>
      <c r="H412" s="175">
        <v>169.0</v>
      </c>
      <c r="I412" s="175"/>
      <c r="J412" s="161">
        <f t="shared" si="158"/>
        <v>0.845</v>
      </c>
      <c r="L412" s="191"/>
    </row>
    <row r="413">
      <c r="B413" s="182" t="s">
        <v>533</v>
      </c>
      <c r="C413" s="183"/>
      <c r="D413" s="31"/>
      <c r="E413" s="184">
        <f t="shared" ref="E413:F413" si="159">SUM(E395:E412)</f>
        <v>1000000</v>
      </c>
      <c r="F413" s="184">
        <f t="shared" si="159"/>
        <v>109783</v>
      </c>
      <c r="G413" s="185">
        <f>sum(G395:G412)</f>
        <v>68952</v>
      </c>
      <c r="H413" s="185">
        <f>SUM(H395:H412)</f>
        <v>178735</v>
      </c>
      <c r="I413" s="186">
        <f>(H413-F413)/E413</f>
        <v>0.068952</v>
      </c>
      <c r="J413" s="186">
        <f t="shared" si="158"/>
        <v>0.178735</v>
      </c>
      <c r="L413" s="191"/>
    </row>
    <row r="414">
      <c r="B414" s="187"/>
      <c r="C414" s="188"/>
      <c r="D414" s="189"/>
      <c r="E414" s="159"/>
      <c r="F414" s="160"/>
      <c r="G414" s="160"/>
      <c r="H414" s="160"/>
      <c r="I414" s="161"/>
      <c r="J414" s="161"/>
      <c r="L414" s="191"/>
    </row>
    <row r="415">
      <c r="B415" s="156" t="s">
        <v>6</v>
      </c>
      <c r="C415" s="157" t="s">
        <v>8</v>
      </c>
      <c r="D415" s="158" t="s">
        <v>536</v>
      </c>
      <c r="E415" s="159">
        <v>217500.0</v>
      </c>
      <c r="F415" s="159">
        <v>116971.0</v>
      </c>
      <c r="G415" s="160">
        <f t="shared" ref="G415:G416" si="160">H415-F415</f>
        <v>28615</v>
      </c>
      <c r="H415" s="160">
        <f>'PENDATAAN PERUMAHAN'!$E$229</f>
        <v>145586</v>
      </c>
      <c r="I415" s="161">
        <f t="shared" ref="I415:I416" si="161">(H415-F415)/E415</f>
        <v>0.1315632184</v>
      </c>
      <c r="J415" s="161">
        <f t="shared" ref="J415:J416" si="162">H415/E415</f>
        <v>0.6693609195</v>
      </c>
      <c r="L415" s="191"/>
    </row>
    <row r="416">
      <c r="B416" s="27"/>
      <c r="C416" s="27"/>
      <c r="D416" s="158" t="s">
        <v>538</v>
      </c>
      <c r="E416" s="159">
        <v>300000.0</v>
      </c>
      <c r="F416" s="159">
        <v>0.0</v>
      </c>
      <c r="G416" s="160">
        <f t="shared" si="160"/>
        <v>0</v>
      </c>
      <c r="H416" s="160">
        <f>'PENDATAAN PERUMAHAN'!$V$229</f>
        <v>0</v>
      </c>
      <c r="I416" s="161">
        <f t="shared" si="161"/>
        <v>0</v>
      </c>
      <c r="J416" s="161">
        <f t="shared" si="162"/>
        <v>0</v>
      </c>
      <c r="L416" s="191"/>
    </row>
    <row r="417">
      <c r="B417" s="27"/>
      <c r="C417" s="27"/>
      <c r="D417" s="158" t="s">
        <v>540</v>
      </c>
      <c r="E417" s="159">
        <v>700.0</v>
      </c>
      <c r="F417" s="159">
        <v>0.0</v>
      </c>
      <c r="G417" s="159">
        <v>0.0</v>
      </c>
      <c r="H417" s="159">
        <v>0.0</v>
      </c>
      <c r="I417" s="161"/>
      <c r="J417" s="190">
        <v>0.0</v>
      </c>
      <c r="L417" s="191"/>
    </row>
    <row r="418">
      <c r="B418" s="40"/>
      <c r="C418" s="40"/>
      <c r="D418" s="158" t="s">
        <v>541</v>
      </c>
      <c r="E418" s="159">
        <v>0.0</v>
      </c>
      <c r="F418" s="159">
        <v>0.0</v>
      </c>
      <c r="G418" s="159">
        <v>0.0</v>
      </c>
      <c r="H418" s="159">
        <v>0.0</v>
      </c>
      <c r="I418" s="161" t="str">
        <f t="shared" ref="I418:I420" si="163">(H418-F418)/E418</f>
        <v>#DIV/0!</v>
      </c>
      <c r="J418" s="161" t="str">
        <f t="shared" ref="J418:J420" si="164">H418/E418</f>
        <v>#DIV/0!</v>
      </c>
      <c r="L418" s="191"/>
    </row>
    <row r="419">
      <c r="B419" s="193" t="s">
        <v>542</v>
      </c>
      <c r="C419" s="19"/>
      <c r="D419" s="20"/>
      <c r="E419" s="194">
        <f>sum(E415:E417)</f>
        <v>518200</v>
      </c>
      <c r="F419" s="194">
        <v>116971.0</v>
      </c>
      <c r="G419" s="195">
        <f t="shared" ref="G419:G420" si="165">H419-F419</f>
        <v>28615</v>
      </c>
      <c r="H419" s="195">
        <f>H415+H416+H418</f>
        <v>145586</v>
      </c>
      <c r="I419" s="186">
        <f t="shared" si="163"/>
        <v>0.05521999228</v>
      </c>
      <c r="J419" s="186">
        <f t="shared" si="164"/>
        <v>0.2809455809</v>
      </c>
      <c r="L419" s="191"/>
    </row>
    <row r="420">
      <c r="B420" s="197" t="s">
        <v>544</v>
      </c>
      <c r="C420" s="19"/>
      <c r="D420" s="20"/>
      <c r="E420" s="198">
        <f>E419+E413</f>
        <v>1518200</v>
      </c>
      <c r="F420" s="302">
        <v>226754.0</v>
      </c>
      <c r="G420" s="200">
        <f t="shared" si="165"/>
        <v>97567</v>
      </c>
      <c r="H420" s="199">
        <f>H419+H413</f>
        <v>324321</v>
      </c>
      <c r="I420" s="201">
        <f t="shared" si="163"/>
        <v>0.06426491898</v>
      </c>
      <c r="J420" s="201">
        <f t="shared" si="164"/>
        <v>0.2136220524</v>
      </c>
      <c r="L420" s="191"/>
    </row>
    <row r="421">
      <c r="L421" s="191"/>
    </row>
    <row r="422">
      <c r="L422" s="191"/>
    </row>
    <row r="423">
      <c r="B423" s="303">
        <v>45698.0</v>
      </c>
      <c r="L423" s="191"/>
    </row>
    <row r="424">
      <c r="B424" s="260" t="s">
        <v>494</v>
      </c>
      <c r="C424" s="261" t="s">
        <v>495</v>
      </c>
      <c r="D424" s="261" t="s">
        <v>15</v>
      </c>
      <c r="E424" s="261" t="s">
        <v>496</v>
      </c>
      <c r="F424" s="261" t="s">
        <v>497</v>
      </c>
      <c r="G424" s="261" t="s">
        <v>498</v>
      </c>
      <c r="H424" s="261" t="s">
        <v>499</v>
      </c>
      <c r="I424" s="261" t="s">
        <v>500</v>
      </c>
      <c r="J424" s="261" t="s">
        <v>501</v>
      </c>
      <c r="K424" s="262"/>
      <c r="L424" s="191"/>
    </row>
    <row r="425">
      <c r="B425" s="263" t="s">
        <v>2</v>
      </c>
      <c r="C425" s="264" t="s">
        <v>505</v>
      </c>
      <c r="D425" s="265" t="s">
        <v>506</v>
      </c>
      <c r="E425" s="266">
        <v>518.0</v>
      </c>
      <c r="F425" s="266">
        <v>0.0</v>
      </c>
      <c r="G425" s="266">
        <f t="shared" ref="G425:G442" si="166">H425-F425</f>
        <v>25</v>
      </c>
      <c r="H425" s="266">
        <f>'PENDATAAN PERUMAHAN'!$J$229</f>
        <v>25</v>
      </c>
      <c r="I425" s="267">
        <f>(H425-F425)/E425</f>
        <v>0.04826254826</v>
      </c>
      <c r="J425" s="267">
        <f t="shared" ref="J425:J426" si="167">H425/$E$2</f>
        <v>0.04826254826</v>
      </c>
      <c r="K425" s="262"/>
      <c r="L425" s="191"/>
    </row>
    <row r="426">
      <c r="B426" s="27"/>
      <c r="C426" s="27"/>
      <c r="D426" s="268" t="s">
        <v>508</v>
      </c>
      <c r="E426" s="266">
        <v>0.0</v>
      </c>
      <c r="F426" s="269">
        <v>73.0</v>
      </c>
      <c r="G426" s="266">
        <f t="shared" si="166"/>
        <v>0</v>
      </c>
      <c r="H426" s="266">
        <f>'PENDATAAN PERUMAHAN'!$K$229</f>
        <v>73</v>
      </c>
      <c r="I426" s="284"/>
      <c r="J426" s="267">
        <f t="shared" si="167"/>
        <v>0.1409266409</v>
      </c>
      <c r="K426" s="262"/>
      <c r="L426" s="191"/>
    </row>
    <row r="427">
      <c r="B427" s="27"/>
      <c r="C427" s="27"/>
      <c r="D427" s="268" t="s">
        <v>25</v>
      </c>
      <c r="E427" s="271">
        <v>2500.0</v>
      </c>
      <c r="F427" s="269">
        <v>4718.0</v>
      </c>
      <c r="G427" s="266">
        <f t="shared" si="166"/>
        <v>309</v>
      </c>
      <c r="H427" s="266">
        <f>'PENDATAAN PERUMAHAN'!$M$229</f>
        <v>5027</v>
      </c>
      <c r="I427" s="267">
        <f>(H427-F427)/E427</f>
        <v>0.1236</v>
      </c>
      <c r="J427" s="267">
        <f>H427/E427</f>
        <v>2.0108</v>
      </c>
      <c r="K427" s="262"/>
      <c r="L427" s="191"/>
    </row>
    <row r="428">
      <c r="B428" s="27"/>
      <c r="C428" s="40"/>
      <c r="D428" s="268" t="s">
        <v>24</v>
      </c>
      <c r="E428" s="295">
        <v>0.0</v>
      </c>
      <c r="F428" s="269">
        <v>929.0</v>
      </c>
      <c r="G428" s="266">
        <f t="shared" si="166"/>
        <v>67</v>
      </c>
      <c r="H428" s="266">
        <f>'PENDATAAN PERUMAHAN'!$L$229</f>
        <v>996</v>
      </c>
      <c r="I428" s="284"/>
      <c r="J428" s="284"/>
      <c r="K428" s="262"/>
      <c r="L428" s="191"/>
    </row>
    <row r="429">
      <c r="B429" s="27"/>
      <c r="C429" s="264" t="s">
        <v>13</v>
      </c>
      <c r="D429" s="268" t="s">
        <v>512</v>
      </c>
      <c r="E429" s="266">
        <v>160000.0</v>
      </c>
      <c r="F429" s="269">
        <v>14967.0</v>
      </c>
      <c r="G429" s="266">
        <f t="shared" si="166"/>
        <v>1072</v>
      </c>
      <c r="H429" s="266">
        <f>'PENDATAAN PERUMAHAN'!$F$229</f>
        <v>16039</v>
      </c>
      <c r="I429" s="267">
        <f t="shared" ref="I429:I432" si="168">(H429-F429)/E429</f>
        <v>0.0067</v>
      </c>
      <c r="J429" s="267">
        <f t="shared" ref="J429:J438" si="169">H429/E429</f>
        <v>0.10024375</v>
      </c>
      <c r="K429" s="262"/>
      <c r="L429" s="191"/>
    </row>
    <row r="430">
      <c r="B430" s="27"/>
      <c r="C430" s="40"/>
      <c r="D430" s="268" t="s">
        <v>514</v>
      </c>
      <c r="E430" s="266">
        <v>80000.0</v>
      </c>
      <c r="F430" s="266">
        <v>177.0</v>
      </c>
      <c r="G430" s="266">
        <f t="shared" si="166"/>
        <v>0</v>
      </c>
      <c r="H430" s="266">
        <f>'PENDATAAN PERUMAHAN'!$G$229</f>
        <v>177</v>
      </c>
      <c r="I430" s="267">
        <f t="shared" si="168"/>
        <v>0</v>
      </c>
      <c r="J430" s="267">
        <f t="shared" si="169"/>
        <v>0.0022125</v>
      </c>
      <c r="K430" s="262"/>
      <c r="L430" s="191"/>
    </row>
    <row r="431">
      <c r="B431" s="27"/>
      <c r="C431" s="264" t="s">
        <v>14</v>
      </c>
      <c r="D431" s="265" t="s">
        <v>21</v>
      </c>
      <c r="E431" s="266">
        <v>197500.0</v>
      </c>
      <c r="F431" s="269">
        <v>8611.0</v>
      </c>
      <c r="G431" s="266">
        <f t="shared" si="166"/>
        <v>833</v>
      </c>
      <c r="H431" s="266">
        <f>'PENDATAAN PERUMAHAN'!$H$229</f>
        <v>9444</v>
      </c>
      <c r="I431" s="267">
        <f t="shared" si="168"/>
        <v>0.004217721519</v>
      </c>
      <c r="J431" s="267">
        <f t="shared" si="169"/>
        <v>0.04781772152</v>
      </c>
      <c r="K431" s="262"/>
      <c r="L431" s="191"/>
    </row>
    <row r="432">
      <c r="B432" s="27"/>
      <c r="C432" s="27"/>
      <c r="D432" s="265" t="s">
        <v>517</v>
      </c>
      <c r="E432" s="271">
        <v>150.0</v>
      </c>
      <c r="F432" s="273">
        <v>582.0</v>
      </c>
      <c r="G432" s="266">
        <f t="shared" si="166"/>
        <v>0</v>
      </c>
      <c r="H432" s="296">
        <v>582.0</v>
      </c>
      <c r="I432" s="267">
        <f t="shared" si="168"/>
        <v>0</v>
      </c>
      <c r="J432" s="267">
        <f t="shared" si="169"/>
        <v>3.88</v>
      </c>
      <c r="K432" s="274">
        <f>K434+H444</f>
        <v>177965</v>
      </c>
      <c r="L432" s="191"/>
    </row>
    <row r="433">
      <c r="B433" s="40"/>
      <c r="C433" s="40"/>
      <c r="D433" s="275" t="s">
        <v>519</v>
      </c>
      <c r="E433" s="271">
        <v>50.0</v>
      </c>
      <c r="F433" s="271">
        <v>16.0</v>
      </c>
      <c r="G433" s="266">
        <f t="shared" si="166"/>
        <v>0</v>
      </c>
      <c r="H433" s="266">
        <v>16.0</v>
      </c>
      <c r="I433" s="284"/>
      <c r="J433" s="267">
        <f t="shared" si="169"/>
        <v>0.32</v>
      </c>
      <c r="K433" s="262"/>
      <c r="L433" s="191"/>
    </row>
    <row r="434">
      <c r="B434" s="263" t="s">
        <v>521</v>
      </c>
      <c r="C434" s="264" t="s">
        <v>522</v>
      </c>
      <c r="D434" s="275" t="s">
        <v>506</v>
      </c>
      <c r="E434" s="266">
        <v>15110.0</v>
      </c>
      <c r="F434" s="271">
        <v>0.0</v>
      </c>
      <c r="G434" s="266">
        <f t="shared" si="166"/>
        <v>0</v>
      </c>
      <c r="H434" s="266">
        <f>'PENDATAAN PERUMAHAN'!$N$229</f>
        <v>0</v>
      </c>
      <c r="I434" s="267">
        <f>(H434-F434)/E434</f>
        <v>0</v>
      </c>
      <c r="J434" s="267">
        <f t="shared" si="169"/>
        <v>0</v>
      </c>
      <c r="K434" s="274">
        <f>sum(H425:H433)</f>
        <v>32379</v>
      </c>
      <c r="L434" s="191"/>
    </row>
    <row r="435">
      <c r="B435" s="27"/>
      <c r="C435" s="27"/>
      <c r="D435" s="275" t="s">
        <v>508</v>
      </c>
      <c r="E435" s="266">
        <v>100.0</v>
      </c>
      <c r="F435" s="271">
        <v>569.0</v>
      </c>
      <c r="G435" s="266">
        <f t="shared" si="166"/>
        <v>10</v>
      </c>
      <c r="H435" s="266">
        <f>'PENDATAAN PERUMAHAN'!$O$229</f>
        <v>579</v>
      </c>
      <c r="I435" s="284"/>
      <c r="J435" s="267">
        <f t="shared" si="169"/>
        <v>5.79</v>
      </c>
      <c r="K435" s="262"/>
      <c r="L435" s="191"/>
    </row>
    <row r="436">
      <c r="B436" s="27"/>
      <c r="C436" s="27"/>
      <c r="D436" s="275" t="s">
        <v>525</v>
      </c>
      <c r="E436" s="266">
        <v>675.0</v>
      </c>
      <c r="F436" s="266">
        <v>79.0</v>
      </c>
      <c r="G436" s="266">
        <f t="shared" si="166"/>
        <v>0</v>
      </c>
      <c r="H436" s="266">
        <f>'PENDATAAN PERUMAHAN'!$P$229</f>
        <v>79</v>
      </c>
      <c r="I436" s="267">
        <f t="shared" ref="I436:I441" si="170">(H436-F436)/E436</f>
        <v>0</v>
      </c>
      <c r="J436" s="267">
        <f t="shared" si="169"/>
        <v>0.117037037</v>
      </c>
      <c r="K436" s="262"/>
      <c r="L436" s="191"/>
    </row>
    <row r="437">
      <c r="B437" s="27"/>
      <c r="C437" s="27"/>
      <c r="D437" s="275" t="s">
        <v>25</v>
      </c>
      <c r="E437" s="266">
        <v>13500.0</v>
      </c>
      <c r="F437" s="269">
        <v>25514.0</v>
      </c>
      <c r="G437" s="266">
        <f t="shared" si="166"/>
        <v>2602</v>
      </c>
      <c r="H437" s="266">
        <f>'PENDATAAN PERUMAHAN'!$R$229</f>
        <v>28116</v>
      </c>
      <c r="I437" s="267">
        <f t="shared" si="170"/>
        <v>0.1927407407</v>
      </c>
      <c r="J437" s="267">
        <f t="shared" si="169"/>
        <v>2.082666667</v>
      </c>
      <c r="K437" s="262"/>
      <c r="L437" s="191"/>
    </row>
    <row r="438">
      <c r="B438" s="27"/>
      <c r="C438" s="27"/>
      <c r="D438" s="265" t="s">
        <v>24</v>
      </c>
      <c r="E438" s="266">
        <v>42200.0</v>
      </c>
      <c r="F438" s="269">
        <v>4013.0</v>
      </c>
      <c r="G438" s="266">
        <f t="shared" si="166"/>
        <v>612</v>
      </c>
      <c r="H438" s="266">
        <f>'PENDATAAN PERUMAHAN'!$Q$229</f>
        <v>4625</v>
      </c>
      <c r="I438" s="267">
        <f t="shared" si="170"/>
        <v>0.01450236967</v>
      </c>
      <c r="J438" s="267">
        <f t="shared" si="169"/>
        <v>0.1095971564</v>
      </c>
      <c r="K438" s="262"/>
      <c r="L438" s="191"/>
    </row>
    <row r="439">
      <c r="B439" s="27"/>
      <c r="C439" s="27"/>
      <c r="D439" s="265" t="s">
        <v>28</v>
      </c>
      <c r="E439" s="266">
        <v>0.0</v>
      </c>
      <c r="F439" s="266">
        <v>0.0</v>
      </c>
      <c r="G439" s="266">
        <f t="shared" si="166"/>
        <v>0</v>
      </c>
      <c r="H439" s="266">
        <f>'PENDATAAN PERUMAHAN'!$T$229</f>
        <v>0</v>
      </c>
      <c r="I439" s="267" t="str">
        <f t="shared" si="170"/>
        <v>#DIV/0!</v>
      </c>
      <c r="J439" s="267">
        <f>H439/36</f>
        <v>0</v>
      </c>
      <c r="K439" s="262"/>
      <c r="L439" s="191"/>
    </row>
    <row r="440">
      <c r="B440" s="27"/>
      <c r="C440" s="27"/>
      <c r="D440" s="265" t="s">
        <v>517</v>
      </c>
      <c r="E440" s="266">
        <v>600.0</v>
      </c>
      <c r="F440" s="269">
        <v>2456.0</v>
      </c>
      <c r="G440" s="266">
        <f t="shared" si="166"/>
        <v>3</v>
      </c>
      <c r="H440" s="296">
        <v>2459.0</v>
      </c>
      <c r="I440" s="267">
        <f t="shared" si="170"/>
        <v>0.005</v>
      </c>
      <c r="J440" s="267">
        <f t="shared" ref="J440:J445" si="171">H440/E440</f>
        <v>4.098333333</v>
      </c>
      <c r="K440" s="262"/>
      <c r="L440" s="191"/>
    </row>
    <row r="441">
      <c r="B441" s="27"/>
      <c r="C441" s="27"/>
      <c r="D441" s="265" t="s">
        <v>29</v>
      </c>
      <c r="E441" s="266">
        <v>486897.0</v>
      </c>
      <c r="F441" s="269">
        <v>47708.0</v>
      </c>
      <c r="G441" s="266">
        <f t="shared" si="166"/>
        <v>62624</v>
      </c>
      <c r="H441" s="266">
        <f>'PENDATAAN PERUMAHAN'!$U$229</f>
        <v>110332</v>
      </c>
      <c r="I441" s="267">
        <f t="shared" si="170"/>
        <v>0.1286185785</v>
      </c>
      <c r="J441" s="267">
        <f t="shared" si="171"/>
        <v>0.2266023409</v>
      </c>
      <c r="K441" s="274">
        <f>sum(H434:H442)</f>
        <v>146359</v>
      </c>
      <c r="L441" s="191"/>
    </row>
    <row r="442">
      <c r="B442" s="40"/>
      <c r="C442" s="40"/>
      <c r="D442" s="265" t="s">
        <v>519</v>
      </c>
      <c r="E442" s="276">
        <v>200.0</v>
      </c>
      <c r="F442" s="276">
        <v>169.0</v>
      </c>
      <c r="G442" s="276">
        <f t="shared" si="166"/>
        <v>0</v>
      </c>
      <c r="H442" s="276">
        <v>169.0</v>
      </c>
      <c r="I442" s="298"/>
      <c r="J442" s="267">
        <f t="shared" si="171"/>
        <v>0.845</v>
      </c>
      <c r="K442" s="277"/>
      <c r="L442" s="191"/>
    </row>
    <row r="443">
      <c r="B443" s="278" t="s">
        <v>533</v>
      </c>
      <c r="C443" s="183"/>
      <c r="D443" s="31"/>
      <c r="E443" s="279">
        <f t="shared" ref="E443:F443" si="172">SUM(E425:E442)</f>
        <v>1000000</v>
      </c>
      <c r="F443" s="279">
        <f t="shared" si="172"/>
        <v>110581</v>
      </c>
      <c r="G443" s="279">
        <f>sum(G425:G442)</f>
        <v>68157</v>
      </c>
      <c r="H443" s="279">
        <f>SUM(H425:H442)</f>
        <v>178738</v>
      </c>
      <c r="I443" s="280">
        <f t="shared" ref="I443:I445" si="173">(H443-F443)/E443</f>
        <v>0.068157</v>
      </c>
      <c r="J443" s="280">
        <f t="shared" si="171"/>
        <v>0.178738</v>
      </c>
      <c r="K443" s="262"/>
      <c r="L443" s="191"/>
    </row>
    <row r="444">
      <c r="B444" s="263" t="s">
        <v>6</v>
      </c>
      <c r="C444" s="264" t="s">
        <v>8</v>
      </c>
      <c r="D444" s="265" t="s">
        <v>536</v>
      </c>
      <c r="E444" s="266">
        <v>217500.0</v>
      </c>
      <c r="F444" s="269">
        <v>116971.0</v>
      </c>
      <c r="G444" s="266">
        <f t="shared" ref="G444:G445" si="174">H444-F444</f>
        <v>28615</v>
      </c>
      <c r="H444" s="266">
        <f>'PENDATAAN PERUMAHAN'!$E$229</f>
        <v>145586</v>
      </c>
      <c r="I444" s="267">
        <f t="shared" si="173"/>
        <v>0.1315632184</v>
      </c>
      <c r="J444" s="267">
        <f t="shared" si="171"/>
        <v>0.6693609195</v>
      </c>
      <c r="K444" s="262"/>
      <c r="L444" s="191"/>
    </row>
    <row r="445">
      <c r="B445" s="27"/>
      <c r="C445" s="27"/>
      <c r="D445" s="265" t="s">
        <v>538</v>
      </c>
      <c r="E445" s="266">
        <v>300000.0</v>
      </c>
      <c r="F445" s="266">
        <v>0.0</v>
      </c>
      <c r="G445" s="266">
        <f t="shared" si="174"/>
        <v>0</v>
      </c>
      <c r="H445" s="266">
        <f>'PENDATAAN PERUMAHAN'!$V$229</f>
        <v>0</v>
      </c>
      <c r="I445" s="267">
        <f t="shared" si="173"/>
        <v>0</v>
      </c>
      <c r="J445" s="267">
        <f t="shared" si="171"/>
        <v>0</v>
      </c>
      <c r="K445" s="262"/>
      <c r="L445" s="191"/>
    </row>
    <row r="446">
      <c r="B446" s="27"/>
      <c r="C446" s="27"/>
      <c r="D446" s="265" t="s">
        <v>540</v>
      </c>
      <c r="E446" s="266">
        <v>700.0</v>
      </c>
      <c r="F446" s="266">
        <v>0.0</v>
      </c>
      <c r="G446" s="266">
        <v>0.0</v>
      </c>
      <c r="H446" s="266">
        <v>0.0</v>
      </c>
      <c r="I446" s="284"/>
      <c r="J446" s="267">
        <v>0.0</v>
      </c>
      <c r="K446" s="262"/>
      <c r="L446" s="191"/>
    </row>
    <row r="447">
      <c r="B447" s="40"/>
      <c r="C447" s="40"/>
      <c r="D447" s="265" t="s">
        <v>541</v>
      </c>
      <c r="E447" s="266">
        <v>0.0</v>
      </c>
      <c r="F447" s="266">
        <v>0.0</v>
      </c>
      <c r="G447" s="266">
        <v>0.0</v>
      </c>
      <c r="H447" s="266">
        <v>0.0</v>
      </c>
      <c r="I447" s="284"/>
      <c r="J447" s="267">
        <v>0.0</v>
      </c>
      <c r="K447" s="262"/>
      <c r="L447" s="191"/>
    </row>
    <row r="448">
      <c r="B448" s="285" t="s">
        <v>542</v>
      </c>
      <c r="C448" s="19"/>
      <c r="D448" s="20"/>
      <c r="E448" s="286">
        <f>sum(E444:E446)</f>
        <v>518200</v>
      </c>
      <c r="F448" s="286">
        <f>SUM(F444:F447)</f>
        <v>116971</v>
      </c>
      <c r="G448" s="286">
        <f t="shared" ref="G448:G449" si="175">H448-F448</f>
        <v>28615</v>
      </c>
      <c r="H448" s="286">
        <f>H444+H445+H447</f>
        <v>145586</v>
      </c>
      <c r="I448" s="280">
        <f t="shared" ref="I448:I449" si="176">(H448-F448)/E448</f>
        <v>0.05521999228</v>
      </c>
      <c r="J448" s="280">
        <f t="shared" ref="J448:J449" si="177">H448/E448</f>
        <v>0.2809455809</v>
      </c>
      <c r="K448" s="262"/>
      <c r="L448" s="191"/>
    </row>
    <row r="449">
      <c r="B449" s="287" t="s">
        <v>544</v>
      </c>
      <c r="C449" s="19"/>
      <c r="D449" s="20"/>
      <c r="E449" s="288">
        <f>E448+E443</f>
        <v>1518200</v>
      </c>
      <c r="F449" s="289">
        <f>F443+F448</f>
        <v>227552</v>
      </c>
      <c r="G449" s="290">
        <f t="shared" si="175"/>
        <v>96772</v>
      </c>
      <c r="H449" s="289">
        <f>H448+H443</f>
        <v>324324</v>
      </c>
      <c r="I449" s="291">
        <f t="shared" si="176"/>
        <v>0.06374127256</v>
      </c>
      <c r="J449" s="291">
        <f t="shared" si="177"/>
        <v>0.2136240285</v>
      </c>
      <c r="K449" s="262"/>
      <c r="L449" s="191"/>
    </row>
    <row r="450">
      <c r="L450" s="191"/>
    </row>
    <row r="451">
      <c r="L451" s="191"/>
    </row>
    <row r="452">
      <c r="B452" s="303">
        <v>45910.0</v>
      </c>
      <c r="C452" s="303">
        <v>45910.0</v>
      </c>
      <c r="D452" s="303">
        <v>45910.0</v>
      </c>
      <c r="F452" s="303">
        <v>45910.0</v>
      </c>
      <c r="L452" s="191"/>
    </row>
    <row r="453">
      <c r="B453" s="151" t="s">
        <v>494</v>
      </c>
      <c r="C453" s="152" t="s">
        <v>495</v>
      </c>
      <c r="D453" s="152" t="s">
        <v>15</v>
      </c>
      <c r="E453" s="152" t="s">
        <v>496</v>
      </c>
      <c r="F453" s="152" t="s">
        <v>497</v>
      </c>
      <c r="G453" s="152" t="s">
        <v>498</v>
      </c>
      <c r="H453" s="152" t="s">
        <v>499</v>
      </c>
      <c r="I453" s="152" t="s">
        <v>500</v>
      </c>
      <c r="J453" s="152" t="s">
        <v>501</v>
      </c>
      <c r="L453" s="191"/>
    </row>
    <row r="454">
      <c r="B454" s="156" t="s">
        <v>2</v>
      </c>
      <c r="C454" s="157" t="s">
        <v>505</v>
      </c>
      <c r="D454" s="158" t="s">
        <v>506</v>
      </c>
      <c r="E454" s="159">
        <v>518.0</v>
      </c>
      <c r="F454" s="159">
        <v>0.0</v>
      </c>
      <c r="G454" s="160">
        <f t="shared" ref="G454:G471" si="178">H454-F454</f>
        <v>25</v>
      </c>
      <c r="H454" s="160">
        <f>'PENDATAAN PERUMAHAN'!$J$229</f>
        <v>25</v>
      </c>
      <c r="I454" s="161">
        <f>(H454-F454)/E454</f>
        <v>0.04826254826</v>
      </c>
      <c r="J454" s="161">
        <f t="shared" ref="J454:J455" si="179">H454/$E$2</f>
        <v>0.04826254826</v>
      </c>
      <c r="L454" s="191"/>
    </row>
    <row r="455">
      <c r="B455" s="27"/>
      <c r="C455" s="27"/>
      <c r="D455" s="164" t="s">
        <v>508</v>
      </c>
      <c r="E455" s="159">
        <v>0.0</v>
      </c>
      <c r="F455" s="159">
        <v>73.0</v>
      </c>
      <c r="G455" s="160">
        <f t="shared" si="178"/>
        <v>0</v>
      </c>
      <c r="H455" s="160">
        <f>'PENDATAAN PERUMAHAN'!$K$229</f>
        <v>73</v>
      </c>
      <c r="I455" s="161"/>
      <c r="J455" s="161">
        <f t="shared" si="179"/>
        <v>0.1409266409</v>
      </c>
      <c r="L455" s="191"/>
    </row>
    <row r="456">
      <c r="B456" s="27"/>
      <c r="C456" s="27"/>
      <c r="D456" s="164" t="s">
        <v>25</v>
      </c>
      <c r="E456" s="166">
        <v>2500.0</v>
      </c>
      <c r="F456" s="159">
        <v>4724.0</v>
      </c>
      <c r="G456" s="160">
        <f t="shared" si="178"/>
        <v>303</v>
      </c>
      <c r="H456" s="160">
        <f>'PENDATAAN PERUMAHAN'!$M$229</f>
        <v>5027</v>
      </c>
      <c r="I456" s="161">
        <f>(H456-F456)/E456</f>
        <v>0.1212</v>
      </c>
      <c r="J456" s="161">
        <f>H456/E456</f>
        <v>2.0108</v>
      </c>
      <c r="L456" s="191"/>
    </row>
    <row r="457">
      <c r="B457" s="27"/>
      <c r="C457" s="40"/>
      <c r="D457" s="164" t="s">
        <v>24</v>
      </c>
      <c r="E457" s="167">
        <v>0.0</v>
      </c>
      <c r="F457" s="159">
        <v>929.0</v>
      </c>
      <c r="G457" s="160">
        <f t="shared" si="178"/>
        <v>67</v>
      </c>
      <c r="H457" s="160">
        <f>'PENDATAAN PERUMAHAN'!$L$229</f>
        <v>996</v>
      </c>
      <c r="I457" s="161"/>
      <c r="J457" s="161"/>
      <c r="L457" s="191"/>
    </row>
    <row r="458">
      <c r="B458" s="27"/>
      <c r="C458" s="157" t="s">
        <v>13</v>
      </c>
      <c r="D458" s="164" t="s">
        <v>512</v>
      </c>
      <c r="E458" s="159">
        <v>160000.0</v>
      </c>
      <c r="F458" s="159">
        <v>14967.0</v>
      </c>
      <c r="G458" s="160">
        <f t="shared" si="178"/>
        <v>1072</v>
      </c>
      <c r="H458" s="160">
        <f>'PENDATAAN PERUMAHAN'!$F$229</f>
        <v>16039</v>
      </c>
      <c r="I458" s="161">
        <f t="shared" ref="I458:I461" si="180">(H458-F458)/E458</f>
        <v>0.0067</v>
      </c>
      <c r="J458" s="161">
        <f t="shared" ref="J458:J467" si="181">H458/E458</f>
        <v>0.10024375</v>
      </c>
      <c r="L458" s="191"/>
    </row>
    <row r="459">
      <c r="B459" s="27"/>
      <c r="C459" s="40"/>
      <c r="D459" s="164" t="s">
        <v>514</v>
      </c>
      <c r="E459" s="159">
        <v>80000.0</v>
      </c>
      <c r="F459" s="159">
        <v>177.0</v>
      </c>
      <c r="G459" s="160">
        <f t="shared" si="178"/>
        <v>0</v>
      </c>
      <c r="H459" s="159">
        <f>'PENDATAAN PERUMAHAN'!$G$229</f>
        <v>177</v>
      </c>
      <c r="I459" s="161">
        <f t="shared" si="180"/>
        <v>0</v>
      </c>
      <c r="J459" s="161">
        <f t="shared" si="181"/>
        <v>0.0022125</v>
      </c>
      <c r="L459" s="191"/>
    </row>
    <row r="460">
      <c r="B460" s="27"/>
      <c r="C460" s="157" t="s">
        <v>14</v>
      </c>
      <c r="D460" s="158" t="s">
        <v>21</v>
      </c>
      <c r="E460" s="159">
        <v>197500.0</v>
      </c>
      <c r="F460" s="159">
        <v>8611.0</v>
      </c>
      <c r="G460" s="160">
        <f t="shared" si="178"/>
        <v>833</v>
      </c>
      <c r="H460" s="160">
        <f>'PENDATAAN PERUMAHAN'!$H$229</f>
        <v>9444</v>
      </c>
      <c r="I460" s="161">
        <f t="shared" si="180"/>
        <v>0.004217721519</v>
      </c>
      <c r="J460" s="161">
        <f t="shared" si="181"/>
        <v>0.04781772152</v>
      </c>
      <c r="L460" s="191"/>
    </row>
    <row r="461">
      <c r="B461" s="27"/>
      <c r="C461" s="27"/>
      <c r="D461" s="158" t="s">
        <v>517</v>
      </c>
      <c r="E461" s="166">
        <v>150.0</v>
      </c>
      <c r="F461" s="166">
        <v>582.0</v>
      </c>
      <c r="G461" s="160">
        <f t="shared" si="178"/>
        <v>0</v>
      </c>
      <c r="H461" s="168">
        <v>582.0</v>
      </c>
      <c r="I461" s="161">
        <f t="shared" si="180"/>
        <v>0</v>
      </c>
      <c r="J461" s="161">
        <f t="shared" si="181"/>
        <v>3.88</v>
      </c>
      <c r="K461" s="169">
        <f>K463+H473</f>
        <v>177965</v>
      </c>
      <c r="L461" s="191"/>
    </row>
    <row r="462">
      <c r="B462" s="40"/>
      <c r="C462" s="40"/>
      <c r="D462" s="171" t="s">
        <v>519</v>
      </c>
      <c r="E462" s="166">
        <v>50.0</v>
      </c>
      <c r="F462" s="166">
        <v>16.0</v>
      </c>
      <c r="G462" s="160">
        <f t="shared" si="178"/>
        <v>0</v>
      </c>
      <c r="H462" s="159">
        <v>16.0</v>
      </c>
      <c r="I462" s="161"/>
      <c r="J462" s="161">
        <f t="shared" si="181"/>
        <v>0.32</v>
      </c>
      <c r="L462" s="191"/>
    </row>
    <row r="463">
      <c r="B463" s="156" t="s">
        <v>521</v>
      </c>
      <c r="C463" s="157" t="s">
        <v>522</v>
      </c>
      <c r="D463" s="171" t="s">
        <v>506</v>
      </c>
      <c r="E463" s="159">
        <v>15110.0</v>
      </c>
      <c r="F463" s="166">
        <v>0.0</v>
      </c>
      <c r="G463" s="160">
        <f t="shared" si="178"/>
        <v>0</v>
      </c>
      <c r="H463" s="160">
        <f>'PENDATAAN PERUMAHAN'!$N$229</f>
        <v>0</v>
      </c>
      <c r="I463" s="161">
        <f>(H463-F463)/E463</f>
        <v>0</v>
      </c>
      <c r="J463" s="161">
        <f t="shared" si="181"/>
        <v>0</v>
      </c>
      <c r="K463" s="169">
        <f>sum(H454:H462)</f>
        <v>32379</v>
      </c>
      <c r="L463" s="191"/>
    </row>
    <row r="464">
      <c r="B464" s="27"/>
      <c r="C464" s="27"/>
      <c r="D464" s="171" t="s">
        <v>508</v>
      </c>
      <c r="E464" s="159">
        <v>100.0</v>
      </c>
      <c r="F464" s="166">
        <v>569.0</v>
      </c>
      <c r="G464" s="160">
        <f t="shared" si="178"/>
        <v>10</v>
      </c>
      <c r="H464" s="160">
        <f>'PENDATAAN PERUMAHAN'!$O$229</f>
        <v>579</v>
      </c>
      <c r="I464" s="161"/>
      <c r="J464" s="161">
        <f t="shared" si="181"/>
        <v>5.79</v>
      </c>
      <c r="L464" s="191"/>
    </row>
    <row r="465">
      <c r="B465" s="27"/>
      <c r="C465" s="27"/>
      <c r="D465" s="171" t="s">
        <v>525</v>
      </c>
      <c r="E465" s="159">
        <v>675.0</v>
      </c>
      <c r="F465" s="159">
        <v>79.0</v>
      </c>
      <c r="G465" s="160">
        <f t="shared" si="178"/>
        <v>0</v>
      </c>
      <c r="H465" s="160">
        <f>'PENDATAAN PERUMAHAN'!$P$229</f>
        <v>79</v>
      </c>
      <c r="I465" s="161">
        <f t="shared" ref="I465:I470" si="182">(H465-F465)/E465</f>
        <v>0</v>
      </c>
      <c r="J465" s="161">
        <f t="shared" si="181"/>
        <v>0.117037037</v>
      </c>
      <c r="L465" s="191"/>
    </row>
    <row r="466">
      <c r="B466" s="27"/>
      <c r="C466" s="27"/>
      <c r="D466" s="171" t="s">
        <v>25</v>
      </c>
      <c r="E466" s="159">
        <v>13500.0</v>
      </c>
      <c r="F466" s="159">
        <v>25574.0</v>
      </c>
      <c r="G466" s="160">
        <f t="shared" si="178"/>
        <v>2542</v>
      </c>
      <c r="H466" s="159">
        <f>'PENDATAAN PERUMAHAN'!$R$229</f>
        <v>28116</v>
      </c>
      <c r="I466" s="161">
        <f t="shared" si="182"/>
        <v>0.1882962963</v>
      </c>
      <c r="J466" s="161">
        <f t="shared" si="181"/>
        <v>2.082666667</v>
      </c>
      <c r="L466" s="191"/>
    </row>
    <row r="467">
      <c r="B467" s="27"/>
      <c r="C467" s="27"/>
      <c r="D467" s="158" t="s">
        <v>24</v>
      </c>
      <c r="E467" s="159">
        <v>42200.0</v>
      </c>
      <c r="F467" s="159">
        <v>4320.0</v>
      </c>
      <c r="G467" s="160">
        <f t="shared" si="178"/>
        <v>305</v>
      </c>
      <c r="H467" s="160">
        <f>'PENDATAAN PERUMAHAN'!$Q$229</f>
        <v>4625</v>
      </c>
      <c r="I467" s="161">
        <f t="shared" si="182"/>
        <v>0.007227488152</v>
      </c>
      <c r="J467" s="161">
        <f t="shared" si="181"/>
        <v>0.1095971564</v>
      </c>
      <c r="L467" s="191"/>
    </row>
    <row r="468">
      <c r="B468" s="27"/>
      <c r="C468" s="27"/>
      <c r="D468" s="158" t="s">
        <v>28</v>
      </c>
      <c r="E468" s="159">
        <v>0.0</v>
      </c>
      <c r="F468" s="159">
        <v>0.0</v>
      </c>
      <c r="G468" s="160">
        <f t="shared" si="178"/>
        <v>0</v>
      </c>
      <c r="H468" s="160">
        <f>'PENDATAAN PERUMAHAN'!$T$229</f>
        <v>0</v>
      </c>
      <c r="I468" s="161" t="str">
        <f t="shared" si="182"/>
        <v>#DIV/0!</v>
      </c>
      <c r="J468" s="161">
        <f>H468/36</f>
        <v>0</v>
      </c>
      <c r="L468" s="191"/>
    </row>
    <row r="469">
      <c r="B469" s="27"/>
      <c r="C469" s="27"/>
      <c r="D469" s="158" t="s">
        <v>517</v>
      </c>
      <c r="E469" s="159">
        <v>600.0</v>
      </c>
      <c r="F469" s="159">
        <v>2459.0</v>
      </c>
      <c r="G469" s="160">
        <f t="shared" si="178"/>
        <v>0</v>
      </c>
      <c r="H469" s="168">
        <v>2459.0</v>
      </c>
      <c r="I469" s="161">
        <f t="shared" si="182"/>
        <v>0</v>
      </c>
      <c r="J469" s="161">
        <f t="shared" ref="J469:J474" si="183">H469/E469</f>
        <v>4.098333333</v>
      </c>
      <c r="L469" s="191"/>
    </row>
    <row r="470">
      <c r="B470" s="27"/>
      <c r="C470" s="27"/>
      <c r="D470" s="158" t="s">
        <v>29</v>
      </c>
      <c r="E470" s="159">
        <v>486897.0</v>
      </c>
      <c r="F470" s="159">
        <v>47775.0</v>
      </c>
      <c r="G470" s="160">
        <f t="shared" si="178"/>
        <v>62557</v>
      </c>
      <c r="H470" s="159">
        <f>'PENDATAAN PERUMAHAN'!$U$229</f>
        <v>110332</v>
      </c>
      <c r="I470" s="161">
        <f t="shared" si="182"/>
        <v>0.1284809724</v>
      </c>
      <c r="J470" s="161">
        <f t="shared" si="183"/>
        <v>0.2266023409</v>
      </c>
      <c r="K470" s="169">
        <f>sum(H463:H471)</f>
        <v>146359</v>
      </c>
      <c r="L470" s="191"/>
    </row>
    <row r="471">
      <c r="B471" s="40"/>
      <c r="C471" s="40"/>
      <c r="D471" s="174" t="s">
        <v>519</v>
      </c>
      <c r="E471" s="175">
        <v>200.0</v>
      </c>
      <c r="F471" s="175">
        <v>169.0</v>
      </c>
      <c r="G471" s="175">
        <f t="shared" si="178"/>
        <v>0</v>
      </c>
      <c r="H471" s="175">
        <v>169.0</v>
      </c>
      <c r="I471" s="175"/>
      <c r="J471" s="161">
        <f t="shared" si="183"/>
        <v>0.845</v>
      </c>
      <c r="K471" s="176"/>
      <c r="L471" s="191"/>
    </row>
    <row r="472">
      <c r="B472" s="182" t="s">
        <v>533</v>
      </c>
      <c r="C472" s="183"/>
      <c r="D472" s="31"/>
      <c r="E472" s="184">
        <f t="shared" ref="E472:F472" si="184">SUM(E454:E471)</f>
        <v>1000000</v>
      </c>
      <c r="F472" s="184">
        <f t="shared" si="184"/>
        <v>111024</v>
      </c>
      <c r="G472" s="185">
        <f>sum(G454:G471)</f>
        <v>67714</v>
      </c>
      <c r="H472" s="185">
        <f>SUM(H454:H471)</f>
        <v>178738</v>
      </c>
      <c r="I472" s="186">
        <f t="shared" ref="I472:I474" si="185">(H472-F472)/E472</f>
        <v>0.067714</v>
      </c>
      <c r="J472" s="186">
        <f t="shared" si="183"/>
        <v>0.178738</v>
      </c>
      <c r="L472" s="191"/>
    </row>
    <row r="473">
      <c r="B473" s="156" t="s">
        <v>6</v>
      </c>
      <c r="C473" s="157" t="s">
        <v>8</v>
      </c>
      <c r="D473" s="158" t="s">
        <v>536</v>
      </c>
      <c r="E473" s="159">
        <v>217500.0</v>
      </c>
      <c r="F473" s="159">
        <v>123231.0</v>
      </c>
      <c r="G473" s="160">
        <f t="shared" ref="G473:G474" si="186">H473-F473</f>
        <v>22355</v>
      </c>
      <c r="H473" s="160">
        <f>'PENDATAAN PERUMAHAN'!$E$229</f>
        <v>145586</v>
      </c>
      <c r="I473" s="161">
        <f t="shared" si="185"/>
        <v>0.1027816092</v>
      </c>
      <c r="J473" s="161">
        <f t="shared" si="183"/>
        <v>0.6693609195</v>
      </c>
      <c r="L473" s="191"/>
    </row>
    <row r="474">
      <c r="B474" s="27"/>
      <c r="C474" s="27"/>
      <c r="D474" s="158" t="s">
        <v>538</v>
      </c>
      <c r="E474" s="159">
        <v>300000.0</v>
      </c>
      <c r="F474" s="159">
        <v>0.0</v>
      </c>
      <c r="G474" s="160">
        <f t="shared" si="186"/>
        <v>0</v>
      </c>
      <c r="H474" s="160">
        <f>'PENDATAAN PERUMAHAN'!$V$229</f>
        <v>0</v>
      </c>
      <c r="I474" s="161">
        <f t="shared" si="185"/>
        <v>0</v>
      </c>
      <c r="J474" s="161">
        <f t="shared" si="183"/>
        <v>0</v>
      </c>
      <c r="L474" s="191"/>
    </row>
    <row r="475">
      <c r="B475" s="27"/>
      <c r="C475" s="27"/>
      <c r="D475" s="158" t="s">
        <v>540</v>
      </c>
      <c r="E475" s="159">
        <v>700.0</v>
      </c>
      <c r="F475" s="159">
        <v>0.0</v>
      </c>
      <c r="G475" s="159">
        <v>0.0</v>
      </c>
      <c r="H475" s="159">
        <v>0.0</v>
      </c>
      <c r="I475" s="161"/>
      <c r="J475" s="190">
        <v>0.0</v>
      </c>
      <c r="L475" s="191"/>
    </row>
    <row r="476">
      <c r="B476" s="40"/>
      <c r="C476" s="40"/>
      <c r="D476" s="158" t="s">
        <v>541</v>
      </c>
      <c r="E476" s="159">
        <v>0.0</v>
      </c>
      <c r="F476" s="159">
        <v>0.0</v>
      </c>
      <c r="G476" s="159">
        <v>0.0</v>
      </c>
      <c r="H476" s="159">
        <v>0.0</v>
      </c>
      <c r="I476" s="161" t="str">
        <f t="shared" ref="I476:I478" si="187">(H476-F476)/E476</f>
        <v>#DIV/0!</v>
      </c>
      <c r="J476" s="190">
        <v>0.0</v>
      </c>
      <c r="L476" s="191"/>
    </row>
    <row r="477">
      <c r="B477" s="193" t="s">
        <v>542</v>
      </c>
      <c r="C477" s="19"/>
      <c r="D477" s="20"/>
      <c r="E477" s="194">
        <f>sum(E473:E475)</f>
        <v>518200</v>
      </c>
      <c r="F477" s="195">
        <f>SUM(F473:F476)</f>
        <v>123231</v>
      </c>
      <c r="G477" s="195">
        <f t="shared" ref="G477:G478" si="188">H477-F477</f>
        <v>22355</v>
      </c>
      <c r="H477" s="195">
        <f>H473+H474+H476</f>
        <v>145586</v>
      </c>
      <c r="I477" s="186">
        <f t="shared" si="187"/>
        <v>0.0431397144</v>
      </c>
      <c r="J477" s="186">
        <f t="shared" ref="J477:J478" si="189">H477/E477</f>
        <v>0.2809455809</v>
      </c>
      <c r="L477" s="191"/>
    </row>
    <row r="478">
      <c r="B478" s="197" t="s">
        <v>544</v>
      </c>
      <c r="C478" s="19"/>
      <c r="D478" s="20"/>
      <c r="E478" s="198">
        <f>E477+E472</f>
        <v>1518200</v>
      </c>
      <c r="F478" s="199">
        <f>F472+F477</f>
        <v>234255</v>
      </c>
      <c r="G478" s="200">
        <f t="shared" si="188"/>
        <v>90069</v>
      </c>
      <c r="H478" s="199">
        <f>H477+H472</f>
        <v>324324</v>
      </c>
      <c r="I478" s="201">
        <f t="shared" si="187"/>
        <v>0.05932617573</v>
      </c>
      <c r="J478" s="201">
        <f t="shared" si="189"/>
        <v>0.2136240285</v>
      </c>
      <c r="L478" s="191"/>
    </row>
    <row r="479">
      <c r="L479" s="191"/>
    </row>
    <row r="480">
      <c r="H480" s="169">
        <f>H454+H455+H456+H457+H458+H459+H460+H461+H462+H473</f>
        <v>177965</v>
      </c>
      <c r="J480" s="169">
        <f>H463+H464+H465+H466+H467+H468+H469+H470+H471</f>
        <v>146359</v>
      </c>
      <c r="L480" s="191"/>
    </row>
    <row r="481">
      <c r="B481" s="248" t="s">
        <v>589</v>
      </c>
      <c r="C481" s="248" t="s">
        <v>589</v>
      </c>
      <c r="D481" s="248" t="s">
        <v>589</v>
      </c>
      <c r="E481" s="248" t="s">
        <v>589</v>
      </c>
      <c r="F481" s="248" t="s">
        <v>589</v>
      </c>
      <c r="L481" s="191"/>
    </row>
    <row r="482">
      <c r="B482" s="151" t="s">
        <v>494</v>
      </c>
      <c r="C482" s="152" t="s">
        <v>495</v>
      </c>
      <c r="D482" s="152" t="s">
        <v>15</v>
      </c>
      <c r="E482" s="152" t="s">
        <v>496</v>
      </c>
      <c r="F482" s="152" t="s">
        <v>497</v>
      </c>
      <c r="G482" s="152" t="s">
        <v>498</v>
      </c>
      <c r="H482" s="152" t="s">
        <v>499</v>
      </c>
      <c r="I482" s="152" t="s">
        <v>500</v>
      </c>
      <c r="J482" s="152" t="s">
        <v>501</v>
      </c>
      <c r="L482" s="191"/>
    </row>
    <row r="483">
      <c r="B483" s="156" t="s">
        <v>2</v>
      </c>
      <c r="C483" s="157" t="s">
        <v>505</v>
      </c>
      <c r="D483" s="158" t="s">
        <v>506</v>
      </c>
      <c r="E483" s="159">
        <v>518.0</v>
      </c>
      <c r="F483" s="159">
        <v>0.0</v>
      </c>
      <c r="G483" s="160">
        <f t="shared" ref="G483:G500" si="190">H483-F483</f>
        <v>25</v>
      </c>
      <c r="H483" s="160">
        <f>'PENDATAAN PERUMAHAN'!$J$229</f>
        <v>25</v>
      </c>
      <c r="I483" s="161">
        <f>(H483-F483)/E483</f>
        <v>0.04826254826</v>
      </c>
      <c r="J483" s="161">
        <f t="shared" ref="J483:J484" si="191">H483/$E$2</f>
        <v>0.04826254826</v>
      </c>
      <c r="L483" s="191"/>
    </row>
    <row r="484">
      <c r="B484" s="27"/>
      <c r="C484" s="27"/>
      <c r="D484" s="164" t="s">
        <v>508</v>
      </c>
      <c r="E484" s="159">
        <v>0.0</v>
      </c>
      <c r="F484" s="159">
        <v>73.0</v>
      </c>
      <c r="G484" s="160">
        <f t="shared" si="190"/>
        <v>0</v>
      </c>
      <c r="H484" s="160">
        <f>'PENDATAAN PERUMAHAN'!$K$229</f>
        <v>73</v>
      </c>
      <c r="I484" s="161"/>
      <c r="J484" s="161">
        <f t="shared" si="191"/>
        <v>0.1409266409</v>
      </c>
      <c r="L484" s="191"/>
    </row>
    <row r="485">
      <c r="B485" s="27"/>
      <c r="C485" s="27"/>
      <c r="D485" s="164" t="s">
        <v>25</v>
      </c>
      <c r="E485" s="166">
        <v>2500.0</v>
      </c>
      <c r="F485" s="159">
        <v>4838.0</v>
      </c>
      <c r="G485" s="160">
        <f t="shared" si="190"/>
        <v>189</v>
      </c>
      <c r="H485" s="160">
        <f>'PENDATAAN PERUMAHAN'!$M$229</f>
        <v>5027</v>
      </c>
      <c r="I485" s="161">
        <f>(H485-F485)/E485</f>
        <v>0.0756</v>
      </c>
      <c r="J485" s="161">
        <f>H485/E485</f>
        <v>2.0108</v>
      </c>
      <c r="L485" s="191"/>
    </row>
    <row r="486">
      <c r="B486" s="27"/>
      <c r="C486" s="40"/>
      <c r="D486" s="164" t="s">
        <v>24</v>
      </c>
      <c r="E486" s="167">
        <v>0.0</v>
      </c>
      <c r="F486" s="159">
        <v>841.0</v>
      </c>
      <c r="G486" s="160">
        <f t="shared" si="190"/>
        <v>155</v>
      </c>
      <c r="H486" s="160">
        <f>'PENDATAAN PERUMAHAN'!$L$229</f>
        <v>996</v>
      </c>
      <c r="I486" s="161"/>
      <c r="J486" s="161"/>
      <c r="L486" s="191"/>
    </row>
    <row r="487">
      <c r="B487" s="27"/>
      <c r="C487" s="157" t="s">
        <v>13</v>
      </c>
      <c r="D487" s="164" t="s">
        <v>512</v>
      </c>
      <c r="E487" s="159">
        <v>160000.0</v>
      </c>
      <c r="F487" s="159">
        <v>15025.0</v>
      </c>
      <c r="G487" s="160">
        <f t="shared" si="190"/>
        <v>1014</v>
      </c>
      <c r="H487" s="160">
        <f>'PENDATAAN PERUMAHAN'!$F$229</f>
        <v>16039</v>
      </c>
      <c r="I487" s="161">
        <f t="shared" ref="I487:I490" si="192">(H487-F487)/E487</f>
        <v>0.0063375</v>
      </c>
      <c r="J487" s="161">
        <f t="shared" ref="J487:J496" si="193">H487/E487</f>
        <v>0.10024375</v>
      </c>
      <c r="L487" s="191"/>
    </row>
    <row r="488">
      <c r="B488" s="27"/>
      <c r="C488" s="40"/>
      <c r="D488" s="164" t="s">
        <v>514</v>
      </c>
      <c r="E488" s="159">
        <v>80000.0</v>
      </c>
      <c r="F488" s="159">
        <v>177.0</v>
      </c>
      <c r="G488" s="160">
        <f t="shared" si="190"/>
        <v>0</v>
      </c>
      <c r="H488" s="159">
        <f>'PENDATAAN PERUMAHAN'!$G$229</f>
        <v>177</v>
      </c>
      <c r="I488" s="161">
        <f t="shared" si="192"/>
        <v>0</v>
      </c>
      <c r="J488" s="161">
        <f t="shared" si="193"/>
        <v>0.0022125</v>
      </c>
      <c r="L488" s="191"/>
    </row>
    <row r="489">
      <c r="B489" s="27"/>
      <c r="C489" s="157" t="s">
        <v>14</v>
      </c>
      <c r="D489" s="158" t="s">
        <v>21</v>
      </c>
      <c r="E489" s="159">
        <v>197500.0</v>
      </c>
      <c r="F489" s="159">
        <v>8857.0</v>
      </c>
      <c r="G489" s="160">
        <f t="shared" si="190"/>
        <v>587</v>
      </c>
      <c r="H489" s="160">
        <f>'PENDATAAN PERUMAHAN'!$H$229</f>
        <v>9444</v>
      </c>
      <c r="I489" s="161">
        <f t="shared" si="192"/>
        <v>0.002972151899</v>
      </c>
      <c r="J489" s="161">
        <f t="shared" si="193"/>
        <v>0.04781772152</v>
      </c>
      <c r="L489" s="191"/>
    </row>
    <row r="490">
      <c r="B490" s="27"/>
      <c r="C490" s="27"/>
      <c r="D490" s="158" t="s">
        <v>517</v>
      </c>
      <c r="E490" s="166">
        <v>150.0</v>
      </c>
      <c r="F490" s="166">
        <v>582.0</v>
      </c>
      <c r="G490" s="160">
        <f t="shared" si="190"/>
        <v>0</v>
      </c>
      <c r="H490" s="168">
        <v>582.0</v>
      </c>
      <c r="I490" s="161">
        <f t="shared" si="192"/>
        <v>0</v>
      </c>
      <c r="J490" s="161">
        <f t="shared" si="193"/>
        <v>3.88</v>
      </c>
      <c r="L490" s="191"/>
    </row>
    <row r="491">
      <c r="B491" s="40"/>
      <c r="C491" s="40"/>
      <c r="D491" s="171" t="s">
        <v>519</v>
      </c>
      <c r="E491" s="166">
        <v>50.0</v>
      </c>
      <c r="F491" s="166">
        <v>16.0</v>
      </c>
      <c r="G491" s="160">
        <f t="shared" si="190"/>
        <v>0</v>
      </c>
      <c r="H491" s="159">
        <v>16.0</v>
      </c>
      <c r="I491" s="161"/>
      <c r="J491" s="161">
        <f t="shared" si="193"/>
        <v>0.32</v>
      </c>
      <c r="L491" s="191"/>
    </row>
    <row r="492">
      <c r="B492" s="156" t="s">
        <v>521</v>
      </c>
      <c r="C492" s="157" t="s">
        <v>522</v>
      </c>
      <c r="D492" s="171" t="s">
        <v>506</v>
      </c>
      <c r="E492" s="159">
        <v>15110.0</v>
      </c>
      <c r="F492" s="166">
        <v>0.0</v>
      </c>
      <c r="G492" s="160">
        <f t="shared" si="190"/>
        <v>0</v>
      </c>
      <c r="H492" s="160">
        <f>'PENDATAAN PERUMAHAN'!$N$229</f>
        <v>0</v>
      </c>
      <c r="I492" s="161">
        <f>(H492-F492)/E492</f>
        <v>0</v>
      </c>
      <c r="J492" s="161">
        <f t="shared" si="193"/>
        <v>0</v>
      </c>
      <c r="L492" s="191"/>
    </row>
    <row r="493">
      <c r="B493" s="27"/>
      <c r="C493" s="27"/>
      <c r="D493" s="171" t="s">
        <v>508</v>
      </c>
      <c r="E493" s="159">
        <v>100.0</v>
      </c>
      <c r="F493" s="166">
        <v>569.0</v>
      </c>
      <c r="G493" s="160">
        <f t="shared" si="190"/>
        <v>10</v>
      </c>
      <c r="H493" s="160">
        <f>'PENDATAAN PERUMAHAN'!$O$229</f>
        <v>579</v>
      </c>
      <c r="I493" s="161"/>
      <c r="J493" s="161">
        <f t="shared" si="193"/>
        <v>5.79</v>
      </c>
      <c r="L493" s="191"/>
    </row>
    <row r="494">
      <c r="B494" s="27"/>
      <c r="C494" s="27"/>
      <c r="D494" s="171" t="s">
        <v>525</v>
      </c>
      <c r="E494" s="159">
        <v>675.0</v>
      </c>
      <c r="F494" s="159">
        <v>79.0</v>
      </c>
      <c r="G494" s="160">
        <f t="shared" si="190"/>
        <v>0</v>
      </c>
      <c r="H494" s="160">
        <f>'PENDATAAN PERUMAHAN'!$P$229</f>
        <v>79</v>
      </c>
      <c r="I494" s="161">
        <f t="shared" ref="I494:I499" si="194">(H494-F494)/E494</f>
        <v>0</v>
      </c>
      <c r="J494" s="161">
        <f t="shared" si="193"/>
        <v>0.117037037</v>
      </c>
      <c r="L494" s="191"/>
    </row>
    <row r="495">
      <c r="B495" s="27"/>
      <c r="C495" s="27"/>
      <c r="D495" s="171" t="s">
        <v>25</v>
      </c>
      <c r="E495" s="159">
        <v>13500.0</v>
      </c>
      <c r="F495" s="159">
        <v>25503.0</v>
      </c>
      <c r="G495" s="160">
        <f t="shared" si="190"/>
        <v>2613</v>
      </c>
      <c r="H495" s="159">
        <f>'PENDATAAN PERUMAHAN'!$R$229</f>
        <v>28116</v>
      </c>
      <c r="I495" s="161">
        <f t="shared" si="194"/>
        <v>0.1935555556</v>
      </c>
      <c r="J495" s="161">
        <f t="shared" si="193"/>
        <v>2.082666667</v>
      </c>
      <c r="L495" s="191"/>
    </row>
    <row r="496">
      <c r="B496" s="27"/>
      <c r="C496" s="27"/>
      <c r="D496" s="158" t="s">
        <v>24</v>
      </c>
      <c r="E496" s="159">
        <v>42200.0</v>
      </c>
      <c r="F496" s="159">
        <v>4435.0</v>
      </c>
      <c r="G496" s="160">
        <f t="shared" si="190"/>
        <v>190</v>
      </c>
      <c r="H496" s="160">
        <f>'PENDATAAN PERUMAHAN'!$Q$229</f>
        <v>4625</v>
      </c>
      <c r="I496" s="161">
        <f t="shared" si="194"/>
        <v>0.004502369668</v>
      </c>
      <c r="J496" s="161">
        <f t="shared" si="193"/>
        <v>0.1095971564</v>
      </c>
      <c r="L496" s="191"/>
    </row>
    <row r="497">
      <c r="B497" s="27"/>
      <c r="C497" s="27"/>
      <c r="D497" s="158" t="s">
        <v>28</v>
      </c>
      <c r="E497" s="159">
        <v>0.0</v>
      </c>
      <c r="F497" s="159">
        <v>0.0</v>
      </c>
      <c r="G497" s="160">
        <f t="shared" si="190"/>
        <v>0</v>
      </c>
      <c r="H497" s="160">
        <f>'PENDATAAN PERUMAHAN'!$T$229</f>
        <v>0</v>
      </c>
      <c r="I497" s="161" t="str">
        <f t="shared" si="194"/>
        <v>#DIV/0!</v>
      </c>
      <c r="J497" s="161">
        <f>H497/36</f>
        <v>0</v>
      </c>
      <c r="L497" s="191"/>
    </row>
    <row r="498">
      <c r="B498" s="27"/>
      <c r="C498" s="27"/>
      <c r="D498" s="158" t="s">
        <v>517</v>
      </c>
      <c r="E498" s="159">
        <v>600.0</v>
      </c>
      <c r="F498" s="159">
        <v>2459.0</v>
      </c>
      <c r="G498" s="160">
        <f t="shared" si="190"/>
        <v>0</v>
      </c>
      <c r="H498" s="168">
        <v>2459.0</v>
      </c>
      <c r="I498" s="161">
        <f t="shared" si="194"/>
        <v>0</v>
      </c>
      <c r="J498" s="161">
        <f t="shared" ref="J498:J501" si="195">H498/E498</f>
        <v>4.098333333</v>
      </c>
      <c r="L498" s="191"/>
    </row>
    <row r="499">
      <c r="B499" s="27"/>
      <c r="C499" s="27"/>
      <c r="D499" s="158" t="s">
        <v>29</v>
      </c>
      <c r="E499" s="159">
        <v>486897.0</v>
      </c>
      <c r="F499" s="159">
        <v>48951.0</v>
      </c>
      <c r="G499" s="160">
        <f t="shared" si="190"/>
        <v>61381</v>
      </c>
      <c r="H499" s="159">
        <f>'PENDATAAN PERUMAHAN'!$U$229</f>
        <v>110332</v>
      </c>
      <c r="I499" s="161">
        <f t="shared" si="194"/>
        <v>0.1260656771</v>
      </c>
      <c r="J499" s="161">
        <f t="shared" si="195"/>
        <v>0.2266023409</v>
      </c>
      <c r="L499" s="191"/>
    </row>
    <row r="500">
      <c r="B500" s="40"/>
      <c r="C500" s="40"/>
      <c r="D500" s="174" t="s">
        <v>519</v>
      </c>
      <c r="E500" s="175">
        <v>200.0</v>
      </c>
      <c r="F500" s="175">
        <v>169.0</v>
      </c>
      <c r="G500" s="175">
        <f t="shared" si="190"/>
        <v>0</v>
      </c>
      <c r="H500" s="175">
        <v>169.0</v>
      </c>
      <c r="I500" s="175"/>
      <c r="J500" s="161">
        <f t="shared" si="195"/>
        <v>0.845</v>
      </c>
      <c r="L500" s="191"/>
    </row>
    <row r="501">
      <c r="B501" s="182" t="s">
        <v>533</v>
      </c>
      <c r="C501" s="183"/>
      <c r="D501" s="31"/>
      <c r="E501" s="184">
        <f t="shared" ref="E501:F501" si="196">SUM(E483:E500)</f>
        <v>1000000</v>
      </c>
      <c r="F501" s="184">
        <f t="shared" si="196"/>
        <v>112574</v>
      </c>
      <c r="G501" s="185">
        <f>sum(G483:G500)</f>
        <v>66164</v>
      </c>
      <c r="H501" s="185">
        <f>SUM(H483:H500)</f>
        <v>178738</v>
      </c>
      <c r="I501" s="186">
        <f>(H501-F501)/E501</f>
        <v>0.066164</v>
      </c>
      <c r="J501" s="186">
        <f t="shared" si="195"/>
        <v>0.178738</v>
      </c>
      <c r="L501" s="191"/>
    </row>
    <row r="502">
      <c r="B502" s="187"/>
      <c r="C502" s="188"/>
      <c r="D502" s="189"/>
      <c r="E502" s="159"/>
      <c r="F502" s="160"/>
      <c r="G502" s="160"/>
      <c r="H502" s="160"/>
      <c r="I502" s="161"/>
      <c r="J502" s="161"/>
      <c r="L502" s="191"/>
    </row>
    <row r="503">
      <c r="B503" s="156" t="s">
        <v>6</v>
      </c>
      <c r="C503" s="157" t="s">
        <v>8</v>
      </c>
      <c r="D503" s="158" t="s">
        <v>536</v>
      </c>
      <c r="E503" s="159">
        <v>217500.0</v>
      </c>
      <c r="F503" s="159">
        <v>127513.0</v>
      </c>
      <c r="G503" s="160">
        <f t="shared" ref="G503:G504" si="197">H503-F503</f>
        <v>18073</v>
      </c>
      <c r="H503" s="160">
        <f>'PENDATAAN PERUMAHAN'!$E$229</f>
        <v>145586</v>
      </c>
      <c r="I503" s="161">
        <f t="shared" ref="I503:I504" si="198">(H503-F503)/E503</f>
        <v>0.08309425287</v>
      </c>
      <c r="J503" s="161">
        <f t="shared" ref="J503:J504" si="199">H503/E503</f>
        <v>0.6693609195</v>
      </c>
      <c r="L503" s="191"/>
    </row>
    <row r="504">
      <c r="B504" s="27"/>
      <c r="C504" s="27"/>
      <c r="D504" s="158" t="s">
        <v>538</v>
      </c>
      <c r="E504" s="159">
        <v>300000.0</v>
      </c>
      <c r="F504" s="159">
        <v>0.0</v>
      </c>
      <c r="G504" s="160">
        <f t="shared" si="197"/>
        <v>0</v>
      </c>
      <c r="H504" s="160">
        <f>'PENDATAAN PERUMAHAN'!$V$229</f>
        <v>0</v>
      </c>
      <c r="I504" s="161">
        <f t="shared" si="198"/>
        <v>0</v>
      </c>
      <c r="J504" s="161">
        <f t="shared" si="199"/>
        <v>0</v>
      </c>
      <c r="L504" s="191"/>
    </row>
    <row r="505">
      <c r="B505" s="27"/>
      <c r="C505" s="27"/>
      <c r="D505" s="158" t="s">
        <v>540</v>
      </c>
      <c r="E505" s="159">
        <v>700.0</v>
      </c>
      <c r="F505" s="159">
        <v>0.0</v>
      </c>
      <c r="G505" s="159">
        <v>0.0</v>
      </c>
      <c r="H505" s="159">
        <v>0.0</v>
      </c>
      <c r="I505" s="161"/>
      <c r="J505" s="190">
        <v>0.0</v>
      </c>
      <c r="L505" s="191"/>
    </row>
    <row r="506">
      <c r="B506" s="40"/>
      <c r="C506" s="40"/>
      <c r="D506" s="158" t="s">
        <v>541</v>
      </c>
      <c r="E506" s="159">
        <v>0.0</v>
      </c>
      <c r="F506" s="159">
        <v>0.0</v>
      </c>
      <c r="G506" s="159">
        <v>0.0</v>
      </c>
      <c r="H506" s="159">
        <v>0.0</v>
      </c>
      <c r="I506" s="161"/>
      <c r="J506" s="190">
        <v>0.0</v>
      </c>
      <c r="L506" s="191"/>
    </row>
    <row r="507">
      <c r="B507" s="193" t="s">
        <v>542</v>
      </c>
      <c r="C507" s="19"/>
      <c r="D507" s="20"/>
      <c r="E507" s="194">
        <f>sum(E503:E505)</f>
        <v>518200</v>
      </c>
      <c r="F507" s="195">
        <f>SUM(F503:F506)</f>
        <v>127513</v>
      </c>
      <c r="G507" s="195">
        <f t="shared" ref="G507:G508" si="200">H507-F507</f>
        <v>18073</v>
      </c>
      <c r="H507" s="195">
        <f>H503+H504+H506</f>
        <v>145586</v>
      </c>
      <c r="I507" s="186">
        <f t="shared" ref="I507:I508" si="201">(H507-F507)/E507</f>
        <v>0.03487649556</v>
      </c>
      <c r="J507" s="186">
        <f t="shared" ref="J507:J508" si="202">H507/E507</f>
        <v>0.2809455809</v>
      </c>
      <c r="L507" s="191"/>
    </row>
    <row r="508">
      <c r="B508" s="197" t="s">
        <v>544</v>
      </c>
      <c r="C508" s="19"/>
      <c r="D508" s="20"/>
      <c r="E508" s="198">
        <f>E507+E501</f>
        <v>1518200</v>
      </c>
      <c r="F508" s="199">
        <f>F501+F507</f>
        <v>240087</v>
      </c>
      <c r="G508" s="200">
        <f t="shared" si="200"/>
        <v>84237</v>
      </c>
      <c r="H508" s="199">
        <f>H507+H501</f>
        <v>324324</v>
      </c>
      <c r="I508" s="201">
        <f t="shared" si="201"/>
        <v>0.05548478461</v>
      </c>
      <c r="J508" s="201">
        <f t="shared" si="202"/>
        <v>0.2136240285</v>
      </c>
      <c r="L508" s="191"/>
    </row>
    <row r="509">
      <c r="L509" s="191"/>
    </row>
    <row r="510">
      <c r="B510" s="248" t="s">
        <v>590</v>
      </c>
      <c r="L510" s="191"/>
    </row>
    <row r="511">
      <c r="B511" s="151" t="s">
        <v>494</v>
      </c>
      <c r="C511" s="152" t="s">
        <v>495</v>
      </c>
      <c r="D511" s="152" t="s">
        <v>15</v>
      </c>
      <c r="E511" s="152" t="s">
        <v>496</v>
      </c>
      <c r="F511" s="152" t="s">
        <v>497</v>
      </c>
      <c r="G511" s="152" t="s">
        <v>498</v>
      </c>
      <c r="H511" s="152" t="s">
        <v>499</v>
      </c>
      <c r="I511" s="152" t="s">
        <v>500</v>
      </c>
      <c r="J511" s="152" t="s">
        <v>501</v>
      </c>
      <c r="L511" s="191"/>
    </row>
    <row r="512">
      <c r="B512" s="156" t="s">
        <v>2</v>
      </c>
      <c r="C512" s="157" t="s">
        <v>505</v>
      </c>
      <c r="D512" s="158" t="s">
        <v>506</v>
      </c>
      <c r="E512" s="159">
        <v>518.0</v>
      </c>
      <c r="F512" s="159">
        <v>0.0</v>
      </c>
      <c r="G512" s="160">
        <f t="shared" ref="G512:G529" si="203">H512-F512</f>
        <v>25</v>
      </c>
      <c r="H512" s="160">
        <f>'PENDATAAN PERUMAHAN'!$J$229</f>
        <v>25</v>
      </c>
      <c r="I512" s="161">
        <f>(H512-F512)/E512</f>
        <v>0.04826254826</v>
      </c>
      <c r="J512" s="161">
        <f t="shared" ref="J512:J513" si="204">H512/$E$2</f>
        <v>0.04826254826</v>
      </c>
      <c r="L512" s="191"/>
    </row>
    <row r="513">
      <c r="B513" s="27"/>
      <c r="C513" s="27"/>
      <c r="D513" s="164" t="s">
        <v>508</v>
      </c>
      <c r="E513" s="159">
        <v>0.0</v>
      </c>
      <c r="F513" s="159">
        <v>73.0</v>
      </c>
      <c r="G513" s="160">
        <f t="shared" si="203"/>
        <v>0</v>
      </c>
      <c r="H513" s="160">
        <f>'PENDATAAN PERUMAHAN'!$K$229</f>
        <v>73</v>
      </c>
      <c r="I513" s="161"/>
      <c r="J513" s="161">
        <f t="shared" si="204"/>
        <v>0.1409266409</v>
      </c>
      <c r="L513" s="191"/>
    </row>
    <row r="514">
      <c r="B514" s="27"/>
      <c r="C514" s="27"/>
      <c r="D514" s="164" t="s">
        <v>25</v>
      </c>
      <c r="E514" s="166">
        <v>2500.0</v>
      </c>
      <c r="F514" s="159">
        <v>4841.0</v>
      </c>
      <c r="G514" s="160">
        <f t="shared" si="203"/>
        <v>186</v>
      </c>
      <c r="H514" s="160">
        <f>'PENDATAAN PERUMAHAN'!$M$229</f>
        <v>5027</v>
      </c>
      <c r="I514" s="161">
        <f>(H514-F514)/E514</f>
        <v>0.0744</v>
      </c>
      <c r="J514" s="161">
        <f>H514/E514</f>
        <v>2.0108</v>
      </c>
      <c r="L514" s="191"/>
    </row>
    <row r="515">
      <c r="B515" s="27"/>
      <c r="C515" s="40"/>
      <c r="D515" s="164" t="s">
        <v>24</v>
      </c>
      <c r="E515" s="167">
        <v>0.0</v>
      </c>
      <c r="F515" s="159">
        <v>868.0</v>
      </c>
      <c r="G515" s="160">
        <f t="shared" si="203"/>
        <v>128</v>
      </c>
      <c r="H515" s="160">
        <f>'PENDATAAN PERUMAHAN'!$L$229</f>
        <v>996</v>
      </c>
      <c r="I515" s="161"/>
      <c r="J515" s="161"/>
      <c r="L515" s="191"/>
    </row>
    <row r="516">
      <c r="B516" s="27"/>
      <c r="C516" s="157" t="s">
        <v>13</v>
      </c>
      <c r="D516" s="164" t="s">
        <v>512</v>
      </c>
      <c r="E516" s="159">
        <v>160000.0</v>
      </c>
      <c r="F516" s="159">
        <v>15677.0</v>
      </c>
      <c r="G516" s="160">
        <f t="shared" si="203"/>
        <v>362</v>
      </c>
      <c r="H516" s="160">
        <f>'PENDATAAN PERUMAHAN'!$F$229</f>
        <v>16039</v>
      </c>
      <c r="I516" s="161">
        <f t="shared" ref="I516:I519" si="205">(H516-F516)/E516</f>
        <v>0.0022625</v>
      </c>
      <c r="J516" s="161">
        <f t="shared" ref="J516:J525" si="206">H516/E516</f>
        <v>0.10024375</v>
      </c>
      <c r="L516" s="191"/>
    </row>
    <row r="517">
      <c r="B517" s="27"/>
      <c r="C517" s="40"/>
      <c r="D517" s="164" t="s">
        <v>514</v>
      </c>
      <c r="E517" s="159">
        <v>80000.0</v>
      </c>
      <c r="F517" s="159">
        <v>177.0</v>
      </c>
      <c r="G517" s="160">
        <f t="shared" si="203"/>
        <v>0</v>
      </c>
      <c r="H517" s="159">
        <f>'PENDATAAN PERUMAHAN'!$G$229</f>
        <v>177</v>
      </c>
      <c r="I517" s="161">
        <f t="shared" si="205"/>
        <v>0</v>
      </c>
      <c r="J517" s="161">
        <f t="shared" si="206"/>
        <v>0.0022125</v>
      </c>
      <c r="L517" s="191"/>
    </row>
    <row r="518">
      <c r="B518" s="27"/>
      <c r="C518" s="157" t="s">
        <v>14</v>
      </c>
      <c r="D518" s="158" t="s">
        <v>21</v>
      </c>
      <c r="E518" s="159">
        <v>197500.0</v>
      </c>
      <c r="F518" s="159">
        <v>8883.0</v>
      </c>
      <c r="G518" s="160">
        <f t="shared" si="203"/>
        <v>561</v>
      </c>
      <c r="H518" s="160">
        <f>'PENDATAAN PERUMAHAN'!$H$229</f>
        <v>9444</v>
      </c>
      <c r="I518" s="161">
        <f t="shared" si="205"/>
        <v>0.002840506329</v>
      </c>
      <c r="J518" s="161">
        <f t="shared" si="206"/>
        <v>0.04781772152</v>
      </c>
      <c r="L518" s="191"/>
    </row>
    <row r="519">
      <c r="B519" s="27"/>
      <c r="C519" s="27"/>
      <c r="D519" s="158" t="s">
        <v>517</v>
      </c>
      <c r="E519" s="166">
        <v>150.0</v>
      </c>
      <c r="F519" s="166">
        <v>582.0</v>
      </c>
      <c r="G519" s="160">
        <f t="shared" si="203"/>
        <v>0</v>
      </c>
      <c r="H519" s="168">
        <v>582.0</v>
      </c>
      <c r="I519" s="161">
        <f t="shared" si="205"/>
        <v>0</v>
      </c>
      <c r="J519" s="161">
        <f t="shared" si="206"/>
        <v>3.88</v>
      </c>
      <c r="K519" s="169">
        <f>K521+H532</f>
        <v>177965</v>
      </c>
      <c r="L519" s="191"/>
    </row>
    <row r="520">
      <c r="B520" s="40"/>
      <c r="C520" s="40"/>
      <c r="D520" s="171" t="s">
        <v>519</v>
      </c>
      <c r="E520" s="166">
        <v>50.0</v>
      </c>
      <c r="F520" s="166">
        <v>16.0</v>
      </c>
      <c r="G520" s="160">
        <f t="shared" si="203"/>
        <v>0</v>
      </c>
      <c r="H520" s="159">
        <v>16.0</v>
      </c>
      <c r="I520" s="161"/>
      <c r="J520" s="161">
        <f t="shared" si="206"/>
        <v>0.32</v>
      </c>
      <c r="L520" s="191"/>
    </row>
    <row r="521">
      <c r="B521" s="156" t="s">
        <v>521</v>
      </c>
      <c r="C521" s="157" t="s">
        <v>522</v>
      </c>
      <c r="D521" s="171" t="s">
        <v>506</v>
      </c>
      <c r="E521" s="159">
        <v>15110.0</v>
      </c>
      <c r="F521" s="166">
        <v>0.0</v>
      </c>
      <c r="G521" s="160">
        <f t="shared" si="203"/>
        <v>0</v>
      </c>
      <c r="H521" s="160">
        <f>'PENDATAAN PERUMAHAN'!$N$229</f>
        <v>0</v>
      </c>
      <c r="I521" s="161">
        <f>(H521-F521)/E521</f>
        <v>0</v>
      </c>
      <c r="J521" s="161">
        <f t="shared" si="206"/>
        <v>0</v>
      </c>
      <c r="K521" s="169">
        <f>sum(H512:H520)</f>
        <v>32379</v>
      </c>
      <c r="L521" s="191"/>
    </row>
    <row r="522">
      <c r="B522" s="27"/>
      <c r="C522" s="27"/>
      <c r="D522" s="171" t="s">
        <v>508</v>
      </c>
      <c r="E522" s="159">
        <v>100.0</v>
      </c>
      <c r="F522" s="166">
        <v>579.0</v>
      </c>
      <c r="G522" s="160">
        <f t="shared" si="203"/>
        <v>0</v>
      </c>
      <c r="H522" s="160">
        <f>'PENDATAAN PERUMAHAN'!$O$229</f>
        <v>579</v>
      </c>
      <c r="I522" s="161"/>
      <c r="J522" s="161">
        <f t="shared" si="206"/>
        <v>5.79</v>
      </c>
      <c r="L522" s="191"/>
    </row>
    <row r="523">
      <c r="B523" s="27"/>
      <c r="C523" s="27"/>
      <c r="D523" s="171" t="s">
        <v>525</v>
      </c>
      <c r="E523" s="159">
        <v>675.0</v>
      </c>
      <c r="F523" s="159">
        <v>79.0</v>
      </c>
      <c r="G523" s="160">
        <f t="shared" si="203"/>
        <v>0</v>
      </c>
      <c r="H523" s="160">
        <f>'PENDATAAN PERUMAHAN'!$P$229</f>
        <v>79</v>
      </c>
      <c r="I523" s="161">
        <f t="shared" ref="I523:I528" si="207">(H523-F523)/E523</f>
        <v>0</v>
      </c>
      <c r="J523" s="161">
        <f t="shared" si="206"/>
        <v>0.117037037</v>
      </c>
      <c r="L523" s="191"/>
    </row>
    <row r="524">
      <c r="B524" s="27"/>
      <c r="C524" s="27"/>
      <c r="D524" s="171" t="s">
        <v>25</v>
      </c>
      <c r="E524" s="159">
        <v>13500.0</v>
      </c>
      <c r="F524" s="159">
        <v>25887.0</v>
      </c>
      <c r="G524" s="160">
        <f t="shared" si="203"/>
        <v>2229</v>
      </c>
      <c r="H524" s="159">
        <f>'PENDATAAN PERUMAHAN'!$R$229</f>
        <v>28116</v>
      </c>
      <c r="I524" s="161">
        <f t="shared" si="207"/>
        <v>0.1651111111</v>
      </c>
      <c r="J524" s="161">
        <f t="shared" si="206"/>
        <v>2.082666667</v>
      </c>
      <c r="L524" s="191"/>
    </row>
    <row r="525">
      <c r="B525" s="27"/>
      <c r="C525" s="27"/>
      <c r="D525" s="158" t="s">
        <v>24</v>
      </c>
      <c r="E525" s="159">
        <v>42200.0</v>
      </c>
      <c r="F525" s="159">
        <v>4458.0</v>
      </c>
      <c r="G525" s="160">
        <f t="shared" si="203"/>
        <v>167</v>
      </c>
      <c r="H525" s="160">
        <f>'PENDATAAN PERUMAHAN'!$Q$229</f>
        <v>4625</v>
      </c>
      <c r="I525" s="161">
        <f t="shared" si="207"/>
        <v>0.003957345972</v>
      </c>
      <c r="J525" s="161">
        <f t="shared" si="206"/>
        <v>0.1095971564</v>
      </c>
      <c r="L525" s="191"/>
    </row>
    <row r="526">
      <c r="B526" s="27"/>
      <c r="C526" s="27"/>
      <c r="D526" s="158" t="s">
        <v>28</v>
      </c>
      <c r="E526" s="159">
        <v>0.0</v>
      </c>
      <c r="F526" s="159">
        <v>0.0</v>
      </c>
      <c r="G526" s="160">
        <f t="shared" si="203"/>
        <v>0</v>
      </c>
      <c r="H526" s="160">
        <f>'PENDATAAN PERUMAHAN'!$T$229</f>
        <v>0</v>
      </c>
      <c r="I526" s="161" t="str">
        <f t="shared" si="207"/>
        <v>#DIV/0!</v>
      </c>
      <c r="J526" s="161">
        <f>H526/36</f>
        <v>0</v>
      </c>
      <c r="L526" s="191"/>
    </row>
    <row r="527">
      <c r="B527" s="27"/>
      <c r="C527" s="27"/>
      <c r="D527" s="158" t="s">
        <v>517</v>
      </c>
      <c r="E527" s="159">
        <v>600.0</v>
      </c>
      <c r="F527" s="159">
        <v>2459.0</v>
      </c>
      <c r="G527" s="160">
        <f t="shared" si="203"/>
        <v>0</v>
      </c>
      <c r="H527" s="168">
        <v>2459.0</v>
      </c>
      <c r="I527" s="161">
        <f t="shared" si="207"/>
        <v>0</v>
      </c>
      <c r="J527" s="161">
        <f t="shared" ref="J527:J530" si="208">H527/E527</f>
        <v>4.098333333</v>
      </c>
      <c r="L527" s="191"/>
    </row>
    <row r="528">
      <c r="B528" s="27"/>
      <c r="C528" s="27"/>
      <c r="D528" s="158" t="s">
        <v>29</v>
      </c>
      <c r="E528" s="159">
        <v>486897.0</v>
      </c>
      <c r="F528" s="159">
        <v>48980.0</v>
      </c>
      <c r="G528" s="160">
        <f t="shared" si="203"/>
        <v>61352</v>
      </c>
      <c r="H528" s="159">
        <f>'PENDATAAN PERUMAHAN'!$U$229</f>
        <v>110332</v>
      </c>
      <c r="I528" s="161">
        <f t="shared" si="207"/>
        <v>0.1260061163</v>
      </c>
      <c r="J528" s="161">
        <f t="shared" si="208"/>
        <v>0.2266023409</v>
      </c>
      <c r="K528" s="169">
        <f>sum(H521:H529)</f>
        <v>146359</v>
      </c>
      <c r="L528" s="191"/>
    </row>
    <row r="529">
      <c r="B529" s="40"/>
      <c r="C529" s="40"/>
      <c r="D529" s="174" t="s">
        <v>519</v>
      </c>
      <c r="E529" s="175">
        <v>200.0</v>
      </c>
      <c r="F529" s="175">
        <v>169.0</v>
      </c>
      <c r="G529" s="175">
        <f t="shared" si="203"/>
        <v>0</v>
      </c>
      <c r="H529" s="175">
        <v>169.0</v>
      </c>
      <c r="I529" s="175"/>
      <c r="J529" s="161">
        <f t="shared" si="208"/>
        <v>0.845</v>
      </c>
      <c r="K529" s="176"/>
      <c r="L529" s="191"/>
    </row>
    <row r="530">
      <c r="B530" s="182" t="s">
        <v>533</v>
      </c>
      <c r="C530" s="183"/>
      <c r="D530" s="31"/>
      <c r="E530" s="184">
        <f t="shared" ref="E530:F530" si="209">SUM(E512:E529)</f>
        <v>1000000</v>
      </c>
      <c r="F530" s="184">
        <f t="shared" si="209"/>
        <v>113728</v>
      </c>
      <c r="G530" s="185">
        <f>sum(G512:G529)</f>
        <v>65010</v>
      </c>
      <c r="H530" s="185">
        <f>SUM(H512:H529)</f>
        <v>178738</v>
      </c>
      <c r="I530" s="186">
        <f>(H530-F530)/E530</f>
        <v>0.06501</v>
      </c>
      <c r="J530" s="186">
        <f t="shared" si="208"/>
        <v>0.178738</v>
      </c>
      <c r="L530" s="191"/>
    </row>
    <row r="531">
      <c r="B531" s="187"/>
      <c r="C531" s="188"/>
      <c r="D531" s="189"/>
      <c r="E531" s="159"/>
      <c r="F531" s="160"/>
      <c r="G531" s="160"/>
      <c r="H531" s="160"/>
      <c r="I531" s="161"/>
      <c r="J531" s="161"/>
      <c r="L531" s="191"/>
    </row>
    <row r="532">
      <c r="B532" s="156" t="s">
        <v>6</v>
      </c>
      <c r="C532" s="157" t="s">
        <v>8</v>
      </c>
      <c r="D532" s="158" t="s">
        <v>536</v>
      </c>
      <c r="E532" s="159">
        <v>217500.0</v>
      </c>
      <c r="F532" s="159">
        <v>129994.0</v>
      </c>
      <c r="G532" s="160">
        <f t="shared" ref="G532:G533" si="210">H532-F532</f>
        <v>15592</v>
      </c>
      <c r="H532" s="160">
        <f>'PENDATAAN PERUMAHAN'!$E$229</f>
        <v>145586</v>
      </c>
      <c r="I532" s="161">
        <f t="shared" ref="I532:I533" si="211">(H532-F532)/E532</f>
        <v>0.07168735632</v>
      </c>
      <c r="J532" s="161">
        <f t="shared" ref="J532:J533" si="212">H532/E532</f>
        <v>0.6693609195</v>
      </c>
      <c r="L532" s="191"/>
    </row>
    <row r="533">
      <c r="B533" s="27"/>
      <c r="C533" s="27"/>
      <c r="D533" s="158" t="s">
        <v>538</v>
      </c>
      <c r="E533" s="159">
        <v>300000.0</v>
      </c>
      <c r="F533" s="159">
        <v>0.0</v>
      </c>
      <c r="G533" s="160">
        <f t="shared" si="210"/>
        <v>0</v>
      </c>
      <c r="H533" s="160">
        <f>'PENDATAAN PERUMAHAN'!$V$229</f>
        <v>0</v>
      </c>
      <c r="I533" s="161">
        <f t="shared" si="211"/>
        <v>0</v>
      </c>
      <c r="J533" s="161">
        <f t="shared" si="212"/>
        <v>0</v>
      </c>
      <c r="L533" s="191"/>
    </row>
    <row r="534">
      <c r="B534" s="27"/>
      <c r="C534" s="27"/>
      <c r="D534" s="158" t="s">
        <v>540</v>
      </c>
      <c r="E534" s="159">
        <v>700.0</v>
      </c>
      <c r="F534" s="159">
        <v>0.0</v>
      </c>
      <c r="G534" s="159">
        <v>0.0</v>
      </c>
      <c r="H534" s="159">
        <v>0.0</v>
      </c>
      <c r="I534" s="161"/>
      <c r="J534" s="190">
        <v>0.0</v>
      </c>
      <c r="L534" s="191"/>
    </row>
    <row r="535">
      <c r="B535" s="40"/>
      <c r="C535" s="40"/>
      <c r="D535" s="158" t="s">
        <v>541</v>
      </c>
      <c r="E535" s="159">
        <v>0.0</v>
      </c>
      <c r="F535" s="159">
        <v>0.0</v>
      </c>
      <c r="G535" s="159">
        <v>0.0</v>
      </c>
      <c r="H535" s="159">
        <v>0.0</v>
      </c>
      <c r="I535" s="161"/>
      <c r="J535" s="190">
        <v>0.0</v>
      </c>
      <c r="L535" s="191"/>
    </row>
    <row r="536">
      <c r="B536" s="193" t="s">
        <v>542</v>
      </c>
      <c r="C536" s="19"/>
      <c r="D536" s="20"/>
      <c r="E536" s="194">
        <f>sum(E532:E534)</f>
        <v>518200</v>
      </c>
      <c r="F536" s="195">
        <f>SUM(F532:F535)</f>
        <v>129994</v>
      </c>
      <c r="G536" s="195">
        <f t="shared" ref="G536:G537" si="213">H536-F536</f>
        <v>15592</v>
      </c>
      <c r="H536" s="195">
        <f>H532+H533+H535</f>
        <v>145586</v>
      </c>
      <c r="I536" s="186">
        <f t="shared" ref="I536:I537" si="214">(H536-F536)/E536</f>
        <v>0.03008876882</v>
      </c>
      <c r="J536" s="186">
        <f t="shared" ref="J536:J537" si="215">H536/E536</f>
        <v>0.2809455809</v>
      </c>
      <c r="L536" s="191"/>
    </row>
    <row r="537">
      <c r="B537" s="197" t="s">
        <v>544</v>
      </c>
      <c r="C537" s="19"/>
      <c r="D537" s="20"/>
      <c r="E537" s="198">
        <f>E536+E530</f>
        <v>1518200</v>
      </c>
      <c r="F537" s="199">
        <f>F530+F536</f>
        <v>243722</v>
      </c>
      <c r="G537" s="200">
        <f t="shared" si="213"/>
        <v>80602</v>
      </c>
      <c r="H537" s="199">
        <f>H536+H530</f>
        <v>324324</v>
      </c>
      <c r="I537" s="201">
        <f t="shared" si="214"/>
        <v>0.05309050191</v>
      </c>
      <c r="J537" s="201">
        <f t="shared" si="215"/>
        <v>0.2136240285</v>
      </c>
      <c r="L537" s="191"/>
    </row>
    <row r="538">
      <c r="L538" s="191"/>
    </row>
    <row r="539">
      <c r="H539" s="169">
        <f>H512+H513+H514+H515+H516+H517+H518+H519+H520+H532</f>
        <v>177965</v>
      </c>
      <c r="J539" s="169">
        <f>H521+H522+H523+H524+H525+H526+H527+H528+H529</f>
        <v>146359</v>
      </c>
      <c r="L539" s="191"/>
    </row>
    <row r="540">
      <c r="B540" s="248" t="s">
        <v>591</v>
      </c>
      <c r="L540" s="191"/>
    </row>
    <row r="541">
      <c r="B541" s="151" t="s">
        <v>494</v>
      </c>
      <c r="C541" s="152" t="s">
        <v>495</v>
      </c>
      <c r="D541" s="152" t="s">
        <v>15</v>
      </c>
      <c r="E541" s="152" t="s">
        <v>496</v>
      </c>
      <c r="F541" s="152" t="s">
        <v>497</v>
      </c>
      <c r="G541" s="152" t="s">
        <v>498</v>
      </c>
      <c r="H541" s="152" t="s">
        <v>499</v>
      </c>
      <c r="I541" s="152" t="s">
        <v>500</v>
      </c>
      <c r="J541" s="152" t="s">
        <v>501</v>
      </c>
      <c r="L541" s="153"/>
    </row>
    <row r="542">
      <c r="B542" s="156" t="s">
        <v>2</v>
      </c>
      <c r="C542" s="157" t="s">
        <v>505</v>
      </c>
      <c r="D542" s="158" t="s">
        <v>506</v>
      </c>
      <c r="E542" s="159">
        <v>518.0</v>
      </c>
      <c r="F542" s="159">
        <v>0.0</v>
      </c>
      <c r="G542" s="160">
        <f t="shared" ref="G542:G559" si="216">H542-F542</f>
        <v>25</v>
      </c>
      <c r="H542" s="160">
        <f>'PENDATAAN PERUMAHAN'!$J$229</f>
        <v>25</v>
      </c>
      <c r="I542" s="161">
        <f>(H542-F542)/E542</f>
        <v>0.04826254826</v>
      </c>
      <c r="J542" s="161">
        <f t="shared" ref="J542:J543" si="217">H542/$E$2</f>
        <v>0.04826254826</v>
      </c>
      <c r="L542" s="153"/>
    </row>
    <row r="543">
      <c r="B543" s="27"/>
      <c r="C543" s="27"/>
      <c r="D543" s="164" t="s">
        <v>508</v>
      </c>
      <c r="E543" s="159">
        <v>0.0</v>
      </c>
      <c r="F543" s="159">
        <v>73.0</v>
      </c>
      <c r="G543" s="160">
        <f t="shared" si="216"/>
        <v>0</v>
      </c>
      <c r="H543" s="160">
        <f>'PENDATAAN PERUMAHAN'!$K$229</f>
        <v>73</v>
      </c>
      <c r="I543" s="161"/>
      <c r="J543" s="161">
        <f t="shared" si="217"/>
        <v>0.1409266409</v>
      </c>
      <c r="L543" s="153"/>
    </row>
    <row r="544">
      <c r="B544" s="27"/>
      <c r="C544" s="27"/>
      <c r="D544" s="164" t="s">
        <v>25</v>
      </c>
      <c r="E544" s="166">
        <v>2500.0</v>
      </c>
      <c r="F544" s="159">
        <v>4869.0</v>
      </c>
      <c r="G544" s="160">
        <f t="shared" si="216"/>
        <v>158</v>
      </c>
      <c r="H544" s="160">
        <f>'PENDATAAN PERUMAHAN'!$M$229</f>
        <v>5027</v>
      </c>
      <c r="I544" s="161">
        <f>(H544-F544)/E544</f>
        <v>0.0632</v>
      </c>
      <c r="J544" s="161">
        <f>H544/E544</f>
        <v>2.0108</v>
      </c>
      <c r="L544" s="153"/>
    </row>
    <row r="545">
      <c r="B545" s="27"/>
      <c r="C545" s="40"/>
      <c r="D545" s="164" t="s">
        <v>24</v>
      </c>
      <c r="E545" s="167">
        <v>0.0</v>
      </c>
      <c r="F545" s="159">
        <v>969.0</v>
      </c>
      <c r="G545" s="160">
        <f t="shared" si="216"/>
        <v>27</v>
      </c>
      <c r="H545" s="160">
        <f>'PENDATAAN PERUMAHAN'!$L$229</f>
        <v>996</v>
      </c>
      <c r="I545" s="161"/>
      <c r="J545" s="161"/>
      <c r="L545" s="153"/>
    </row>
    <row r="546">
      <c r="B546" s="27"/>
      <c r="C546" s="157" t="s">
        <v>13</v>
      </c>
      <c r="D546" s="164" t="s">
        <v>512</v>
      </c>
      <c r="E546" s="159">
        <v>160000.0</v>
      </c>
      <c r="F546" s="159">
        <v>16039.0</v>
      </c>
      <c r="G546" s="160">
        <f t="shared" si="216"/>
        <v>0</v>
      </c>
      <c r="H546" s="160">
        <f>'PENDATAAN PERUMAHAN'!$F$229</f>
        <v>16039</v>
      </c>
      <c r="I546" s="161">
        <f t="shared" ref="I546:I549" si="218">(H546-F546)/E546</f>
        <v>0</v>
      </c>
      <c r="J546" s="161">
        <f t="shared" ref="J546:J555" si="219">H546/E546</f>
        <v>0.10024375</v>
      </c>
      <c r="L546" s="153"/>
    </row>
    <row r="547">
      <c r="B547" s="27"/>
      <c r="C547" s="40"/>
      <c r="D547" s="164" t="s">
        <v>514</v>
      </c>
      <c r="E547" s="159">
        <v>80000.0</v>
      </c>
      <c r="F547" s="159">
        <v>177.0</v>
      </c>
      <c r="G547" s="160">
        <f t="shared" si="216"/>
        <v>0</v>
      </c>
      <c r="H547" s="159">
        <f>'PENDATAAN PERUMAHAN'!$G$229</f>
        <v>177</v>
      </c>
      <c r="I547" s="161">
        <f t="shared" si="218"/>
        <v>0</v>
      </c>
      <c r="J547" s="161">
        <f t="shared" si="219"/>
        <v>0.0022125</v>
      </c>
      <c r="L547" s="153"/>
    </row>
    <row r="548">
      <c r="B548" s="27"/>
      <c r="C548" s="157" t="s">
        <v>14</v>
      </c>
      <c r="D548" s="158" t="s">
        <v>21</v>
      </c>
      <c r="E548" s="159">
        <v>197500.0</v>
      </c>
      <c r="F548" s="159">
        <v>9303.0</v>
      </c>
      <c r="G548" s="160">
        <f t="shared" si="216"/>
        <v>141</v>
      </c>
      <c r="H548" s="160">
        <f>'PENDATAAN PERUMAHAN'!$H$229</f>
        <v>9444</v>
      </c>
      <c r="I548" s="161">
        <f t="shared" si="218"/>
        <v>0.0007139240506</v>
      </c>
      <c r="J548" s="161">
        <f t="shared" si="219"/>
        <v>0.04781772152</v>
      </c>
      <c r="L548" s="153"/>
    </row>
    <row r="549">
      <c r="B549" s="27"/>
      <c r="C549" s="27"/>
      <c r="D549" s="158" t="s">
        <v>517</v>
      </c>
      <c r="E549" s="166">
        <v>150.0</v>
      </c>
      <c r="F549" s="166">
        <v>582.0</v>
      </c>
      <c r="G549" s="160">
        <f t="shared" si="216"/>
        <v>0</v>
      </c>
      <c r="H549" s="237">
        <v>582.0</v>
      </c>
      <c r="I549" s="161">
        <f t="shared" si="218"/>
        <v>0</v>
      </c>
      <c r="J549" s="161">
        <f t="shared" si="219"/>
        <v>3.88</v>
      </c>
      <c r="K549" s="169">
        <f>K551+H562</f>
        <v>177965</v>
      </c>
      <c r="L549" s="153"/>
    </row>
    <row r="550">
      <c r="B550" s="40"/>
      <c r="C550" s="40"/>
      <c r="D550" s="171" t="s">
        <v>519</v>
      </c>
      <c r="E550" s="166">
        <v>50.0</v>
      </c>
      <c r="F550" s="166">
        <v>16.0</v>
      </c>
      <c r="G550" s="160">
        <f t="shared" si="216"/>
        <v>0</v>
      </c>
      <c r="H550" s="237">
        <v>16.0</v>
      </c>
      <c r="I550" s="161"/>
      <c r="J550" s="161">
        <f t="shared" si="219"/>
        <v>0.32</v>
      </c>
      <c r="L550" s="153"/>
    </row>
    <row r="551">
      <c r="B551" s="156" t="s">
        <v>521</v>
      </c>
      <c r="C551" s="157" t="s">
        <v>522</v>
      </c>
      <c r="D551" s="171" t="s">
        <v>506</v>
      </c>
      <c r="E551" s="159">
        <v>15110.0</v>
      </c>
      <c r="F551" s="166">
        <v>0.0</v>
      </c>
      <c r="G551" s="160">
        <f t="shared" si="216"/>
        <v>0</v>
      </c>
      <c r="H551" s="247">
        <f>'PENDATAAN PERUMAHAN'!$N$229</f>
        <v>0</v>
      </c>
      <c r="I551" s="161">
        <f>(H551-F551)/E551</f>
        <v>0</v>
      </c>
      <c r="J551" s="161">
        <f t="shared" si="219"/>
        <v>0</v>
      </c>
      <c r="K551" s="169">
        <f>sum(H542:H550)</f>
        <v>32379</v>
      </c>
      <c r="L551" s="153"/>
    </row>
    <row r="552">
      <c r="B552" s="27"/>
      <c r="C552" s="27"/>
      <c r="D552" s="171" t="s">
        <v>508</v>
      </c>
      <c r="E552" s="159">
        <v>100.0</v>
      </c>
      <c r="F552" s="166">
        <v>579.0</v>
      </c>
      <c r="G552" s="160">
        <f t="shared" si="216"/>
        <v>0</v>
      </c>
      <c r="H552" s="247">
        <f>'PENDATAAN PERUMAHAN'!$O$229</f>
        <v>579</v>
      </c>
      <c r="I552" s="161"/>
      <c r="J552" s="161">
        <f t="shared" si="219"/>
        <v>5.79</v>
      </c>
      <c r="L552" s="153"/>
    </row>
    <row r="553">
      <c r="B553" s="27"/>
      <c r="C553" s="27"/>
      <c r="D553" s="171" t="s">
        <v>525</v>
      </c>
      <c r="E553" s="159">
        <v>675.0</v>
      </c>
      <c r="F553" s="159">
        <v>79.0</v>
      </c>
      <c r="G553" s="160">
        <f t="shared" si="216"/>
        <v>0</v>
      </c>
      <c r="H553" s="247">
        <f>'PENDATAAN PERUMAHAN'!$P$229</f>
        <v>79</v>
      </c>
      <c r="I553" s="161">
        <f t="shared" ref="I553:I558" si="220">(H553-F553)/E553</f>
        <v>0</v>
      </c>
      <c r="J553" s="161">
        <f t="shared" si="219"/>
        <v>0.117037037</v>
      </c>
      <c r="L553" s="153"/>
    </row>
    <row r="554">
      <c r="B554" s="27"/>
      <c r="C554" s="27"/>
      <c r="D554" s="171" t="s">
        <v>25</v>
      </c>
      <c r="E554" s="159">
        <v>13500.0</v>
      </c>
      <c r="F554" s="159">
        <v>25925.0</v>
      </c>
      <c r="G554" s="160">
        <f t="shared" si="216"/>
        <v>2191</v>
      </c>
      <c r="H554" s="237">
        <f>'PENDATAAN PERUMAHAN'!$R$229</f>
        <v>28116</v>
      </c>
      <c r="I554" s="161">
        <f t="shared" si="220"/>
        <v>0.1622962963</v>
      </c>
      <c r="J554" s="161">
        <f t="shared" si="219"/>
        <v>2.082666667</v>
      </c>
      <c r="L554" s="153"/>
    </row>
    <row r="555">
      <c r="B555" s="27"/>
      <c r="C555" s="27"/>
      <c r="D555" s="158" t="s">
        <v>24</v>
      </c>
      <c r="E555" s="159">
        <v>42200.0</v>
      </c>
      <c r="F555" s="159">
        <v>4483.0</v>
      </c>
      <c r="G555" s="160">
        <f t="shared" si="216"/>
        <v>142</v>
      </c>
      <c r="H555" s="247">
        <f>'PENDATAAN PERUMAHAN'!$Q$229</f>
        <v>4625</v>
      </c>
      <c r="I555" s="161">
        <f t="shared" si="220"/>
        <v>0.00336492891</v>
      </c>
      <c r="J555" s="161">
        <f t="shared" si="219"/>
        <v>0.1095971564</v>
      </c>
      <c r="L555" s="153"/>
    </row>
    <row r="556">
      <c r="B556" s="27"/>
      <c r="C556" s="27"/>
      <c r="D556" s="158" t="s">
        <v>28</v>
      </c>
      <c r="E556" s="159">
        <v>0.0</v>
      </c>
      <c r="F556" s="159">
        <v>0.0</v>
      </c>
      <c r="G556" s="160">
        <f t="shared" si="216"/>
        <v>0</v>
      </c>
      <c r="H556" s="247">
        <f>'PENDATAAN PERUMAHAN'!$T$229</f>
        <v>0</v>
      </c>
      <c r="I556" s="161" t="str">
        <f t="shared" si="220"/>
        <v>#DIV/0!</v>
      </c>
      <c r="J556" s="161">
        <f>H556/36</f>
        <v>0</v>
      </c>
      <c r="L556" s="153"/>
    </row>
    <row r="557">
      <c r="B557" s="27"/>
      <c r="C557" s="27"/>
      <c r="D557" s="158" t="s">
        <v>517</v>
      </c>
      <c r="E557" s="159">
        <v>600.0</v>
      </c>
      <c r="F557" s="159">
        <v>2459.0</v>
      </c>
      <c r="G557" s="160">
        <f t="shared" si="216"/>
        <v>0</v>
      </c>
      <c r="H557" s="237">
        <v>2459.0</v>
      </c>
      <c r="I557" s="161">
        <f t="shared" si="220"/>
        <v>0</v>
      </c>
      <c r="J557" s="161">
        <f t="shared" ref="J557:J560" si="221">H557/E557</f>
        <v>4.098333333</v>
      </c>
      <c r="L557" s="153"/>
    </row>
    <row r="558">
      <c r="B558" s="27"/>
      <c r="C558" s="27"/>
      <c r="D558" s="158" t="s">
        <v>29</v>
      </c>
      <c r="E558" s="159">
        <v>486897.0</v>
      </c>
      <c r="F558" s="159">
        <v>49172.0</v>
      </c>
      <c r="G558" s="160">
        <f t="shared" si="216"/>
        <v>61160</v>
      </c>
      <c r="H558" s="159">
        <f>'PENDATAAN PERUMAHAN'!$U$229</f>
        <v>110332</v>
      </c>
      <c r="I558" s="161">
        <f t="shared" si="220"/>
        <v>0.1256117824</v>
      </c>
      <c r="J558" s="161">
        <f t="shared" si="221"/>
        <v>0.2266023409</v>
      </c>
      <c r="K558" s="169">
        <f>sum(H551:H559)</f>
        <v>146359</v>
      </c>
      <c r="L558" s="153"/>
    </row>
    <row r="559">
      <c r="B559" s="40"/>
      <c r="C559" s="40"/>
      <c r="D559" s="174" t="s">
        <v>519</v>
      </c>
      <c r="E559" s="175">
        <v>200.0</v>
      </c>
      <c r="F559" s="175">
        <v>169.0</v>
      </c>
      <c r="G559" s="175">
        <f t="shared" si="216"/>
        <v>0</v>
      </c>
      <c r="H559" s="175">
        <v>169.0</v>
      </c>
      <c r="I559" s="175"/>
      <c r="J559" s="161">
        <f t="shared" si="221"/>
        <v>0.845</v>
      </c>
      <c r="K559" s="176"/>
      <c r="L559" s="153"/>
    </row>
    <row r="560">
      <c r="B560" s="182" t="s">
        <v>533</v>
      </c>
      <c r="C560" s="183"/>
      <c r="D560" s="31"/>
      <c r="E560" s="184">
        <f t="shared" ref="E560:F560" si="222">SUM(E542:E559)</f>
        <v>1000000</v>
      </c>
      <c r="F560" s="184">
        <f t="shared" si="222"/>
        <v>114894</v>
      </c>
      <c r="G560" s="185">
        <f>sum(G542:G559)</f>
        <v>63844</v>
      </c>
      <c r="H560" s="185">
        <f>SUM(H542:H559)</f>
        <v>178738</v>
      </c>
      <c r="I560" s="186">
        <f>(H560-F560)/E560</f>
        <v>0.063844</v>
      </c>
      <c r="J560" s="186">
        <f t="shared" si="221"/>
        <v>0.178738</v>
      </c>
      <c r="L560" s="153"/>
    </row>
    <row r="561">
      <c r="B561" s="187"/>
      <c r="C561" s="188"/>
      <c r="D561" s="189"/>
      <c r="E561" s="159"/>
      <c r="F561" s="160"/>
      <c r="G561" s="160"/>
      <c r="H561" s="160"/>
      <c r="I561" s="161"/>
      <c r="J561" s="161"/>
      <c r="L561" s="153"/>
    </row>
    <row r="562">
      <c r="B562" s="156" t="s">
        <v>6</v>
      </c>
      <c r="C562" s="157" t="s">
        <v>8</v>
      </c>
      <c r="D562" s="158" t="s">
        <v>536</v>
      </c>
      <c r="E562" s="159">
        <v>217500.0</v>
      </c>
      <c r="F562" s="159">
        <v>131391.0</v>
      </c>
      <c r="G562" s="160">
        <f t="shared" ref="G562:G563" si="223">H562-F562</f>
        <v>14195</v>
      </c>
      <c r="H562" s="160">
        <f>'PENDATAAN PERUMAHAN'!$E$229</f>
        <v>145586</v>
      </c>
      <c r="I562" s="161">
        <f t="shared" ref="I562:I563" si="224">(H562-F562)/E562</f>
        <v>0.06526436782</v>
      </c>
      <c r="J562" s="161">
        <f t="shared" ref="J562:J563" si="225">H562/E562</f>
        <v>0.6693609195</v>
      </c>
      <c r="L562" s="153"/>
    </row>
    <row r="563">
      <c r="B563" s="27"/>
      <c r="C563" s="27"/>
      <c r="D563" s="158" t="s">
        <v>538</v>
      </c>
      <c r="E563" s="159">
        <v>300000.0</v>
      </c>
      <c r="F563" s="159">
        <v>0.0</v>
      </c>
      <c r="G563" s="160">
        <f t="shared" si="223"/>
        <v>0</v>
      </c>
      <c r="H563" s="160">
        <f>'PENDATAAN PERUMAHAN'!$V$229</f>
        <v>0</v>
      </c>
      <c r="I563" s="161">
        <f t="shared" si="224"/>
        <v>0</v>
      </c>
      <c r="J563" s="161">
        <f t="shared" si="225"/>
        <v>0</v>
      </c>
      <c r="L563" s="153"/>
    </row>
    <row r="564">
      <c r="B564" s="27"/>
      <c r="C564" s="27"/>
      <c r="D564" s="158" t="s">
        <v>540</v>
      </c>
      <c r="E564" s="159">
        <v>700.0</v>
      </c>
      <c r="F564" s="159">
        <v>0.0</v>
      </c>
      <c r="G564" s="159">
        <v>0.0</v>
      </c>
      <c r="H564" s="159">
        <v>0.0</v>
      </c>
      <c r="I564" s="161"/>
      <c r="J564" s="190">
        <v>0.0</v>
      </c>
      <c r="L564" s="153"/>
    </row>
    <row r="565">
      <c r="B565" s="40"/>
      <c r="C565" s="40"/>
      <c r="D565" s="158" t="s">
        <v>541</v>
      </c>
      <c r="E565" s="159">
        <v>0.0</v>
      </c>
      <c r="F565" s="159">
        <v>0.0</v>
      </c>
      <c r="G565" s="159">
        <v>0.0</v>
      </c>
      <c r="H565" s="159">
        <v>0.0</v>
      </c>
      <c r="I565" s="161"/>
      <c r="J565" s="190">
        <v>0.0</v>
      </c>
      <c r="L565" s="153"/>
    </row>
    <row r="566">
      <c r="B566" s="193" t="s">
        <v>542</v>
      </c>
      <c r="C566" s="19"/>
      <c r="D566" s="20"/>
      <c r="E566" s="194">
        <f>sum(E562:E564)</f>
        <v>518200</v>
      </c>
      <c r="F566" s="195">
        <f>SUM(F562:F565)</f>
        <v>131391</v>
      </c>
      <c r="G566" s="195">
        <f t="shared" ref="G566:G567" si="226">H566-F566</f>
        <v>14195</v>
      </c>
      <c r="H566" s="195">
        <f>H562+H563+H565</f>
        <v>145586</v>
      </c>
      <c r="I566" s="186">
        <f t="shared" ref="I566:I567" si="227">(H566-F566)/E566</f>
        <v>0.02739289849</v>
      </c>
      <c r="J566" s="186">
        <f t="shared" ref="J566:J567" si="228">H566/E566</f>
        <v>0.2809455809</v>
      </c>
      <c r="L566" s="153"/>
    </row>
    <row r="567">
      <c r="B567" s="197" t="s">
        <v>544</v>
      </c>
      <c r="C567" s="19"/>
      <c r="D567" s="20"/>
      <c r="E567" s="198">
        <f>E566+E560</f>
        <v>1518200</v>
      </c>
      <c r="F567" s="199">
        <f>F560+F566</f>
        <v>246285</v>
      </c>
      <c r="G567" s="200">
        <f t="shared" si="226"/>
        <v>78039</v>
      </c>
      <c r="H567" s="199">
        <f>H566+H560</f>
        <v>324324</v>
      </c>
      <c r="I567" s="201">
        <f t="shared" si="227"/>
        <v>0.05140231854</v>
      </c>
      <c r="J567" s="201">
        <f t="shared" si="228"/>
        <v>0.2136240285</v>
      </c>
      <c r="L567" s="153"/>
    </row>
    <row r="568">
      <c r="L568" s="153"/>
    </row>
    <row r="569">
      <c r="H569" s="169">
        <f>H542+H543+H544+H545+H546+H547+H548+H549+H550+H562</f>
        <v>177965</v>
      </c>
      <c r="J569" s="169">
        <f>H551+H552+H553+H554+H555+H556+H557+H558+H559</f>
        <v>146359</v>
      </c>
      <c r="L569" s="191"/>
    </row>
    <row r="570">
      <c r="B570" s="303">
        <v>45819.0</v>
      </c>
      <c r="L570" s="191"/>
    </row>
    <row r="571">
      <c r="B571" s="151" t="s">
        <v>494</v>
      </c>
      <c r="C571" s="152" t="s">
        <v>495</v>
      </c>
      <c r="D571" s="152" t="s">
        <v>15</v>
      </c>
      <c r="E571" s="152" t="s">
        <v>496</v>
      </c>
      <c r="F571" s="152" t="s">
        <v>497</v>
      </c>
      <c r="G571" s="152" t="s">
        <v>498</v>
      </c>
      <c r="H571" s="152" t="s">
        <v>499</v>
      </c>
      <c r="I571" s="152" t="s">
        <v>500</v>
      </c>
      <c r="J571" s="152" t="s">
        <v>501</v>
      </c>
      <c r="L571" s="191"/>
    </row>
    <row r="572">
      <c r="B572" s="156" t="s">
        <v>2</v>
      </c>
      <c r="C572" s="157" t="s">
        <v>505</v>
      </c>
      <c r="D572" s="158" t="s">
        <v>506</v>
      </c>
      <c r="E572" s="159">
        <v>518.0</v>
      </c>
      <c r="F572" s="159">
        <v>0.0</v>
      </c>
      <c r="G572" s="160">
        <f t="shared" ref="G572:G589" si="229">H572-F572</f>
        <v>0</v>
      </c>
      <c r="H572" s="159">
        <v>0.0</v>
      </c>
      <c r="I572" s="161">
        <f>(H572-F572)/E572</f>
        <v>0</v>
      </c>
      <c r="J572" s="161">
        <f t="shared" ref="J572:J573" si="230">H572/$E$2</f>
        <v>0</v>
      </c>
      <c r="L572" s="191"/>
    </row>
    <row r="573">
      <c r="B573" s="27"/>
      <c r="C573" s="27"/>
      <c r="D573" s="164" t="s">
        <v>508</v>
      </c>
      <c r="E573" s="159">
        <v>0.0</v>
      </c>
      <c r="F573" s="159">
        <v>73.0</v>
      </c>
      <c r="G573" s="160">
        <f t="shared" si="229"/>
        <v>0</v>
      </c>
      <c r="H573" s="160">
        <f>'PENDATAAN PERUMAHAN'!$K$229</f>
        <v>73</v>
      </c>
      <c r="I573" s="161"/>
      <c r="J573" s="161">
        <f t="shared" si="230"/>
        <v>0.1409266409</v>
      </c>
      <c r="L573" s="191"/>
    </row>
    <row r="574">
      <c r="B574" s="27"/>
      <c r="C574" s="27"/>
      <c r="D574" s="164" t="s">
        <v>25</v>
      </c>
      <c r="E574" s="166">
        <v>2500.0</v>
      </c>
      <c r="F574" s="159">
        <v>4869.0</v>
      </c>
      <c r="G574" s="160">
        <f t="shared" si="229"/>
        <v>158</v>
      </c>
      <c r="H574" s="160">
        <f>'PENDATAAN PERUMAHAN'!$M$229</f>
        <v>5027</v>
      </c>
      <c r="I574" s="161">
        <f>(H574-F574)/E574</f>
        <v>0.0632</v>
      </c>
      <c r="J574" s="161">
        <f>H574/E574</f>
        <v>2.0108</v>
      </c>
      <c r="L574" s="191"/>
    </row>
    <row r="575">
      <c r="B575" s="27"/>
      <c r="C575" s="40"/>
      <c r="D575" s="164" t="s">
        <v>24</v>
      </c>
      <c r="E575" s="167">
        <v>0.0</v>
      </c>
      <c r="F575" s="159">
        <v>969.0</v>
      </c>
      <c r="G575" s="160">
        <f t="shared" si="229"/>
        <v>27</v>
      </c>
      <c r="H575" s="160">
        <f>'PENDATAAN PERUMAHAN'!$L$229</f>
        <v>996</v>
      </c>
      <c r="I575" s="161"/>
      <c r="J575" s="161"/>
      <c r="L575" s="191"/>
    </row>
    <row r="576">
      <c r="B576" s="27"/>
      <c r="C576" s="157" t="s">
        <v>13</v>
      </c>
      <c r="D576" s="164" t="s">
        <v>512</v>
      </c>
      <c r="E576" s="159">
        <v>160000.0</v>
      </c>
      <c r="F576" s="159">
        <v>16039.0</v>
      </c>
      <c r="G576" s="160">
        <f t="shared" si="229"/>
        <v>0</v>
      </c>
      <c r="H576" s="160">
        <f>'PENDATAAN PERUMAHAN'!$F$229</f>
        <v>16039</v>
      </c>
      <c r="I576" s="161">
        <f t="shared" ref="I576:I579" si="231">(H576-F576)/E576</f>
        <v>0</v>
      </c>
      <c r="J576" s="161">
        <f t="shared" ref="J576:J585" si="232">H576/E576</f>
        <v>0.10024375</v>
      </c>
      <c r="L576" s="191"/>
    </row>
    <row r="577">
      <c r="B577" s="27"/>
      <c r="C577" s="40"/>
      <c r="D577" s="164" t="s">
        <v>514</v>
      </c>
      <c r="E577" s="159">
        <v>80000.0</v>
      </c>
      <c r="F577" s="159">
        <v>177.0</v>
      </c>
      <c r="G577" s="160">
        <f t="shared" si="229"/>
        <v>0</v>
      </c>
      <c r="H577" s="159">
        <f>'PENDATAAN PERUMAHAN'!$G$229</f>
        <v>177</v>
      </c>
      <c r="I577" s="161">
        <f t="shared" si="231"/>
        <v>0</v>
      </c>
      <c r="J577" s="161">
        <f t="shared" si="232"/>
        <v>0.0022125</v>
      </c>
      <c r="L577" s="191"/>
    </row>
    <row r="578">
      <c r="B578" s="27"/>
      <c r="C578" s="157" t="s">
        <v>14</v>
      </c>
      <c r="D578" s="158" t="s">
        <v>21</v>
      </c>
      <c r="E578" s="159">
        <v>197500.0</v>
      </c>
      <c r="F578" s="159">
        <v>9303.0</v>
      </c>
      <c r="G578" s="160">
        <f t="shared" si="229"/>
        <v>141</v>
      </c>
      <c r="H578" s="160">
        <f>'PENDATAAN PERUMAHAN'!$H$229</f>
        <v>9444</v>
      </c>
      <c r="I578" s="161">
        <f t="shared" si="231"/>
        <v>0.0007139240506</v>
      </c>
      <c r="J578" s="161">
        <f t="shared" si="232"/>
        <v>0.04781772152</v>
      </c>
      <c r="L578" s="191"/>
    </row>
    <row r="579">
      <c r="B579" s="27"/>
      <c r="C579" s="27"/>
      <c r="D579" s="158" t="s">
        <v>517</v>
      </c>
      <c r="E579" s="166">
        <v>150.0</v>
      </c>
      <c r="F579" s="166">
        <v>582.0</v>
      </c>
      <c r="G579" s="160">
        <f t="shared" si="229"/>
        <v>-25</v>
      </c>
      <c r="H579" s="168">
        <v>557.0</v>
      </c>
      <c r="I579" s="161">
        <f t="shared" si="231"/>
        <v>-0.1666666667</v>
      </c>
      <c r="J579" s="161">
        <f t="shared" si="232"/>
        <v>3.713333333</v>
      </c>
      <c r="K579" s="169">
        <f>K581+H592</f>
        <v>177915</v>
      </c>
      <c r="L579" s="191"/>
    </row>
    <row r="580">
      <c r="B580" s="40"/>
      <c r="C580" s="40"/>
      <c r="D580" s="171" t="s">
        <v>519</v>
      </c>
      <c r="E580" s="166">
        <v>50.0</v>
      </c>
      <c r="F580" s="166">
        <v>16.0</v>
      </c>
      <c r="G580" s="160">
        <f t="shared" si="229"/>
        <v>0</v>
      </c>
      <c r="H580" s="159">
        <v>16.0</v>
      </c>
      <c r="I580" s="161"/>
      <c r="J580" s="161">
        <f t="shared" si="232"/>
        <v>0.32</v>
      </c>
      <c r="L580" s="191"/>
    </row>
    <row r="581">
      <c r="B581" s="156" t="s">
        <v>521</v>
      </c>
      <c r="C581" s="157" t="s">
        <v>522</v>
      </c>
      <c r="D581" s="171" t="s">
        <v>506</v>
      </c>
      <c r="E581" s="159">
        <v>15110.0</v>
      </c>
      <c r="F581" s="166">
        <v>0.0</v>
      </c>
      <c r="G581" s="160">
        <f t="shared" si="229"/>
        <v>0</v>
      </c>
      <c r="H581" s="160">
        <f>'PENDATAAN PERUMAHAN'!$N$229</f>
        <v>0</v>
      </c>
      <c r="I581" s="161">
        <f>(H581-F581)/E581</f>
        <v>0</v>
      </c>
      <c r="J581" s="161">
        <f t="shared" si="232"/>
        <v>0</v>
      </c>
      <c r="K581" s="169">
        <f>sum(H572:H580)</f>
        <v>32329</v>
      </c>
      <c r="L581" s="191"/>
    </row>
    <row r="582">
      <c r="B582" s="27"/>
      <c r="C582" s="27"/>
      <c r="D582" s="171" t="s">
        <v>508</v>
      </c>
      <c r="E582" s="159">
        <v>100.0</v>
      </c>
      <c r="F582" s="166">
        <v>579.0</v>
      </c>
      <c r="G582" s="160">
        <f t="shared" si="229"/>
        <v>0</v>
      </c>
      <c r="H582" s="160">
        <f>'PENDATAAN PERUMAHAN'!$O$229</f>
        <v>579</v>
      </c>
      <c r="I582" s="161"/>
      <c r="J582" s="161">
        <f t="shared" si="232"/>
        <v>5.79</v>
      </c>
      <c r="L582" s="191"/>
    </row>
    <row r="583">
      <c r="B583" s="27"/>
      <c r="C583" s="27"/>
      <c r="D583" s="171" t="s">
        <v>525</v>
      </c>
      <c r="E583" s="159">
        <v>675.0</v>
      </c>
      <c r="F583" s="159">
        <v>79.0</v>
      </c>
      <c r="G583" s="160">
        <f t="shared" si="229"/>
        <v>0</v>
      </c>
      <c r="H583" s="160">
        <f>'PENDATAAN PERUMAHAN'!$P$229</f>
        <v>79</v>
      </c>
      <c r="I583" s="161">
        <f t="shared" ref="I583:I588" si="233">(H583-F583)/E583</f>
        <v>0</v>
      </c>
      <c r="J583" s="161">
        <f t="shared" si="232"/>
        <v>0.117037037</v>
      </c>
      <c r="L583" s="191"/>
    </row>
    <row r="584">
      <c r="B584" s="27"/>
      <c r="C584" s="27"/>
      <c r="D584" s="171" t="s">
        <v>25</v>
      </c>
      <c r="E584" s="159">
        <v>13500.0</v>
      </c>
      <c r="F584" s="159">
        <v>26425.0</v>
      </c>
      <c r="G584" s="160">
        <f t="shared" si="229"/>
        <v>1691</v>
      </c>
      <c r="H584" s="159">
        <f>'PENDATAAN PERUMAHAN'!$R$229</f>
        <v>28116</v>
      </c>
      <c r="I584" s="161">
        <f t="shared" si="233"/>
        <v>0.1252592593</v>
      </c>
      <c r="J584" s="161">
        <f t="shared" si="232"/>
        <v>2.082666667</v>
      </c>
      <c r="L584" s="191"/>
    </row>
    <row r="585">
      <c r="B585" s="27"/>
      <c r="C585" s="27"/>
      <c r="D585" s="158" t="s">
        <v>24</v>
      </c>
      <c r="E585" s="159">
        <v>42200.0</v>
      </c>
      <c r="F585" s="159">
        <v>4489.0</v>
      </c>
      <c r="G585" s="160">
        <f t="shared" si="229"/>
        <v>136</v>
      </c>
      <c r="H585" s="160">
        <f>'PENDATAAN PERUMAHAN'!$Q$229</f>
        <v>4625</v>
      </c>
      <c r="I585" s="161">
        <f t="shared" si="233"/>
        <v>0.003222748815</v>
      </c>
      <c r="J585" s="161">
        <f t="shared" si="232"/>
        <v>0.1095971564</v>
      </c>
      <c r="L585" s="191"/>
    </row>
    <row r="586">
      <c r="B586" s="27"/>
      <c r="C586" s="27"/>
      <c r="D586" s="158" t="s">
        <v>28</v>
      </c>
      <c r="E586" s="159">
        <v>0.0</v>
      </c>
      <c r="F586" s="159">
        <v>0.0</v>
      </c>
      <c r="G586" s="160">
        <f t="shared" si="229"/>
        <v>0</v>
      </c>
      <c r="H586" s="160">
        <f>'PENDATAAN PERUMAHAN'!$T$229</f>
        <v>0</v>
      </c>
      <c r="I586" s="161" t="str">
        <f t="shared" si="233"/>
        <v>#DIV/0!</v>
      </c>
      <c r="J586" s="161">
        <f>H586/36</f>
        <v>0</v>
      </c>
      <c r="L586" s="191"/>
    </row>
    <row r="587">
      <c r="B587" s="27"/>
      <c r="C587" s="27"/>
      <c r="D587" s="158" t="s">
        <v>517</v>
      </c>
      <c r="E587" s="159">
        <v>600.0</v>
      </c>
      <c r="F587" s="159">
        <v>2459.0</v>
      </c>
      <c r="G587" s="160">
        <f t="shared" si="229"/>
        <v>-22</v>
      </c>
      <c r="H587" s="168">
        <v>2437.0</v>
      </c>
      <c r="I587" s="161">
        <f t="shared" si="233"/>
        <v>-0.03666666667</v>
      </c>
      <c r="J587" s="161">
        <f t="shared" ref="J587:J590" si="234">H587/E587</f>
        <v>4.061666667</v>
      </c>
      <c r="L587" s="191"/>
    </row>
    <row r="588">
      <c r="B588" s="27"/>
      <c r="C588" s="27"/>
      <c r="D588" s="158" t="s">
        <v>29</v>
      </c>
      <c r="E588" s="159">
        <v>486897.0</v>
      </c>
      <c r="F588" s="159">
        <v>49172.0</v>
      </c>
      <c r="G588" s="160">
        <f t="shared" si="229"/>
        <v>61160</v>
      </c>
      <c r="H588" s="159">
        <f>'PENDATAAN PERUMAHAN'!$U$229</f>
        <v>110332</v>
      </c>
      <c r="I588" s="161">
        <f t="shared" si="233"/>
        <v>0.1256117824</v>
      </c>
      <c r="J588" s="161">
        <f t="shared" si="234"/>
        <v>0.2266023409</v>
      </c>
      <c r="K588" s="169">
        <f>sum(H581:H589)</f>
        <v>146337</v>
      </c>
      <c r="L588" s="191"/>
    </row>
    <row r="589">
      <c r="B589" s="40"/>
      <c r="C589" s="40"/>
      <c r="D589" s="174" t="s">
        <v>519</v>
      </c>
      <c r="E589" s="175">
        <v>200.0</v>
      </c>
      <c r="F589" s="175">
        <v>169.0</v>
      </c>
      <c r="G589" s="175">
        <f t="shared" si="229"/>
        <v>0</v>
      </c>
      <c r="H589" s="175">
        <v>169.0</v>
      </c>
      <c r="I589" s="175"/>
      <c r="J589" s="161">
        <f t="shared" si="234"/>
        <v>0.845</v>
      </c>
      <c r="K589" s="176"/>
      <c r="L589" s="191"/>
    </row>
    <row r="590">
      <c r="B590" s="182" t="s">
        <v>533</v>
      </c>
      <c r="C590" s="183"/>
      <c r="D590" s="31"/>
      <c r="E590" s="184">
        <f t="shared" ref="E590:F590" si="235">SUM(E572:E589)</f>
        <v>1000000</v>
      </c>
      <c r="F590" s="184">
        <f t="shared" si="235"/>
        <v>115400</v>
      </c>
      <c r="G590" s="185">
        <f>sum(G572:G589)</f>
        <v>63266</v>
      </c>
      <c r="H590" s="185">
        <f>SUM(H572:H589)</f>
        <v>178666</v>
      </c>
      <c r="I590" s="186">
        <f>(H590-F590)/E590</f>
        <v>0.063266</v>
      </c>
      <c r="J590" s="186">
        <f t="shared" si="234"/>
        <v>0.178666</v>
      </c>
      <c r="L590" s="191"/>
    </row>
    <row r="591">
      <c r="B591" s="187"/>
      <c r="C591" s="188"/>
      <c r="D591" s="189"/>
      <c r="E591" s="159"/>
      <c r="F591" s="160"/>
      <c r="G591" s="160"/>
      <c r="H591" s="160"/>
      <c r="I591" s="161"/>
      <c r="J591" s="161"/>
      <c r="L591" s="191"/>
    </row>
    <row r="592">
      <c r="B592" s="156" t="s">
        <v>6</v>
      </c>
      <c r="C592" s="157" t="s">
        <v>8</v>
      </c>
      <c r="D592" s="158" t="s">
        <v>536</v>
      </c>
      <c r="E592" s="159">
        <v>217500.0</v>
      </c>
      <c r="F592" s="159">
        <v>133327.0</v>
      </c>
      <c r="G592" s="160">
        <f t="shared" ref="G592:G593" si="236">H592-F592</f>
        <v>12259</v>
      </c>
      <c r="H592" s="160">
        <f>'PENDATAAN PERUMAHAN'!$E$229</f>
        <v>145586</v>
      </c>
      <c r="I592" s="161">
        <f t="shared" ref="I592:I593" si="237">(H592-F592)/E592</f>
        <v>0.05636321839</v>
      </c>
      <c r="J592" s="161">
        <f t="shared" ref="J592:J593" si="238">H592/E592</f>
        <v>0.6693609195</v>
      </c>
      <c r="L592" s="191"/>
    </row>
    <row r="593">
      <c r="B593" s="27"/>
      <c r="C593" s="27"/>
      <c r="D593" s="158" t="s">
        <v>538</v>
      </c>
      <c r="E593" s="159">
        <v>300000.0</v>
      </c>
      <c r="F593" s="159">
        <v>0.0</v>
      </c>
      <c r="G593" s="160">
        <f t="shared" si="236"/>
        <v>0</v>
      </c>
      <c r="H593" s="160">
        <f>'PENDATAAN PERUMAHAN'!$V$229</f>
        <v>0</v>
      </c>
      <c r="I593" s="161">
        <f t="shared" si="237"/>
        <v>0</v>
      </c>
      <c r="J593" s="161">
        <f t="shared" si="238"/>
        <v>0</v>
      </c>
      <c r="L593" s="191"/>
    </row>
    <row r="594">
      <c r="B594" s="27"/>
      <c r="C594" s="27"/>
      <c r="D594" s="158" t="s">
        <v>540</v>
      </c>
      <c r="E594" s="159">
        <v>700.0</v>
      </c>
      <c r="F594" s="159">
        <v>0.0</v>
      </c>
      <c r="G594" s="159">
        <v>0.0</v>
      </c>
      <c r="H594" s="159">
        <v>0.0</v>
      </c>
      <c r="I594" s="161"/>
      <c r="J594" s="190">
        <v>0.0</v>
      </c>
      <c r="L594" s="191"/>
    </row>
    <row r="595">
      <c r="B595" s="40"/>
      <c r="C595" s="40"/>
      <c r="D595" s="158" t="s">
        <v>541</v>
      </c>
      <c r="E595" s="159">
        <v>0.0</v>
      </c>
      <c r="F595" s="159">
        <v>0.0</v>
      </c>
      <c r="G595" s="159">
        <v>0.0</v>
      </c>
      <c r="H595" s="159">
        <v>0.0</v>
      </c>
      <c r="I595" s="161"/>
      <c r="J595" s="190">
        <v>0.0</v>
      </c>
      <c r="L595" s="191"/>
    </row>
    <row r="596">
      <c r="B596" s="193" t="s">
        <v>542</v>
      </c>
      <c r="C596" s="19"/>
      <c r="D596" s="20"/>
      <c r="E596" s="194">
        <f>sum(E592:E594)</f>
        <v>518200</v>
      </c>
      <c r="F596" s="195">
        <f>SUM(F592:F595)</f>
        <v>133327</v>
      </c>
      <c r="G596" s="195">
        <f t="shared" ref="G596:G597" si="239">H596-F596</f>
        <v>12259</v>
      </c>
      <c r="H596" s="195">
        <f>H592+H593+H595</f>
        <v>145586</v>
      </c>
      <c r="I596" s="186">
        <f t="shared" ref="I596:I597" si="240">(H596-F596)/E596</f>
        <v>0.02365688923</v>
      </c>
      <c r="J596" s="186">
        <f t="shared" ref="J596:J597" si="241">H596/E596</f>
        <v>0.2809455809</v>
      </c>
      <c r="L596" s="191"/>
    </row>
    <row r="597">
      <c r="B597" s="197" t="s">
        <v>544</v>
      </c>
      <c r="C597" s="19"/>
      <c r="D597" s="20"/>
      <c r="E597" s="198">
        <f>E596+E590</f>
        <v>1518200</v>
      </c>
      <c r="F597" s="199">
        <f>F590+F596</f>
        <v>248727</v>
      </c>
      <c r="G597" s="200">
        <f t="shared" si="239"/>
        <v>75525</v>
      </c>
      <c r="H597" s="199">
        <f>H596+H590</f>
        <v>324252</v>
      </c>
      <c r="I597" s="201">
        <f t="shared" si="240"/>
        <v>0.04974641022</v>
      </c>
      <c r="J597" s="201">
        <f t="shared" si="241"/>
        <v>0.2135766039</v>
      </c>
      <c r="L597" s="191"/>
    </row>
    <row r="598">
      <c r="L598" s="191"/>
    </row>
    <row r="599">
      <c r="H599" s="169">
        <f>H572+H573+H574+H575+H576+H577+H578+H579+H580+H592</f>
        <v>177915</v>
      </c>
      <c r="J599" s="169">
        <f>H581+H582+H583+H584+H585+H586+H587+H588+H589</f>
        <v>146337</v>
      </c>
      <c r="L599" s="191"/>
    </row>
    <row r="600">
      <c r="B600" s="248" t="s">
        <v>592</v>
      </c>
      <c r="L600" s="191"/>
    </row>
    <row r="601">
      <c r="B601" s="260" t="s">
        <v>494</v>
      </c>
      <c r="C601" s="261" t="s">
        <v>495</v>
      </c>
      <c r="D601" s="261" t="s">
        <v>15</v>
      </c>
      <c r="E601" s="261" t="s">
        <v>496</v>
      </c>
      <c r="F601" s="261" t="s">
        <v>497</v>
      </c>
      <c r="G601" s="261" t="s">
        <v>498</v>
      </c>
      <c r="H601" s="261" t="s">
        <v>499</v>
      </c>
      <c r="I601" s="261" t="s">
        <v>500</v>
      </c>
      <c r="J601" s="261" t="s">
        <v>501</v>
      </c>
      <c r="K601" s="262"/>
      <c r="L601" s="191"/>
    </row>
    <row r="602">
      <c r="B602" s="263" t="s">
        <v>2</v>
      </c>
      <c r="C602" s="264" t="s">
        <v>505</v>
      </c>
      <c r="D602" s="265" t="s">
        <v>506</v>
      </c>
      <c r="E602" s="266">
        <v>518.0</v>
      </c>
      <c r="F602" s="269">
        <v>0.0</v>
      </c>
      <c r="G602" s="266">
        <f t="shared" ref="G602:G619" si="242">H602-F602</f>
        <v>0</v>
      </c>
      <c r="H602" s="269">
        <v>0.0</v>
      </c>
      <c r="I602" s="267">
        <f>(H602-F602)/E602</f>
        <v>0</v>
      </c>
      <c r="J602" s="267">
        <f t="shared" ref="J602:J603" si="243">H602/$E$2</f>
        <v>0</v>
      </c>
      <c r="K602" s="262"/>
      <c r="L602" s="191"/>
    </row>
    <row r="603">
      <c r="B603" s="27"/>
      <c r="C603" s="27"/>
      <c r="D603" s="268" t="s">
        <v>508</v>
      </c>
      <c r="E603" s="266">
        <v>0.0</v>
      </c>
      <c r="F603" s="269">
        <v>73.0</v>
      </c>
      <c r="G603" s="266">
        <f t="shared" si="242"/>
        <v>0</v>
      </c>
      <c r="H603" s="266">
        <f>'PENDATAAN PERUMAHAN'!$K$229</f>
        <v>73</v>
      </c>
      <c r="I603" s="284"/>
      <c r="J603" s="267">
        <f t="shared" si="243"/>
        <v>0.1409266409</v>
      </c>
      <c r="K603" s="262"/>
      <c r="L603" s="191"/>
    </row>
    <row r="604">
      <c r="B604" s="27"/>
      <c r="C604" s="27"/>
      <c r="D604" s="268" t="s">
        <v>25</v>
      </c>
      <c r="E604" s="271">
        <v>2500.0</v>
      </c>
      <c r="F604" s="269">
        <v>4869.0</v>
      </c>
      <c r="G604" s="266">
        <f t="shared" si="242"/>
        <v>158</v>
      </c>
      <c r="H604" s="266">
        <f>'PENDATAAN PERUMAHAN'!$M$229</f>
        <v>5027</v>
      </c>
      <c r="I604" s="267">
        <f>(H604-F604)/E604</f>
        <v>0.0632</v>
      </c>
      <c r="J604" s="267">
        <f>H604/E604</f>
        <v>2.0108</v>
      </c>
      <c r="K604" s="262"/>
      <c r="L604" s="191"/>
    </row>
    <row r="605">
      <c r="B605" s="27"/>
      <c r="C605" s="40"/>
      <c r="D605" s="268" t="s">
        <v>24</v>
      </c>
      <c r="E605" s="295">
        <v>0.0</v>
      </c>
      <c r="F605" s="269">
        <v>986.0</v>
      </c>
      <c r="G605" s="266">
        <f t="shared" si="242"/>
        <v>10</v>
      </c>
      <c r="H605" s="266">
        <f>'PENDATAAN PERUMAHAN'!$L$229</f>
        <v>996</v>
      </c>
      <c r="I605" s="284"/>
      <c r="J605" s="284"/>
      <c r="K605" s="262"/>
      <c r="L605" s="191"/>
    </row>
    <row r="606">
      <c r="B606" s="27"/>
      <c r="C606" s="264" t="s">
        <v>13</v>
      </c>
      <c r="D606" s="268" t="s">
        <v>512</v>
      </c>
      <c r="E606" s="266">
        <v>160000.0</v>
      </c>
      <c r="F606" s="269">
        <v>16039.0</v>
      </c>
      <c r="G606" s="266">
        <f t="shared" si="242"/>
        <v>0</v>
      </c>
      <c r="H606" s="266">
        <f>'PENDATAAN PERUMAHAN'!$F$229</f>
        <v>16039</v>
      </c>
      <c r="I606" s="267">
        <f t="shared" ref="I606:I609" si="244">(H606-F606)/E606</f>
        <v>0</v>
      </c>
      <c r="J606" s="267">
        <f t="shared" ref="J606:J615" si="245">H606/E606</f>
        <v>0.10024375</v>
      </c>
      <c r="K606" s="262"/>
      <c r="L606" s="191"/>
    </row>
    <row r="607">
      <c r="B607" s="27"/>
      <c r="C607" s="40"/>
      <c r="D607" s="268" t="s">
        <v>514</v>
      </c>
      <c r="E607" s="266">
        <v>80000.0</v>
      </c>
      <c r="F607" s="269">
        <v>177.0</v>
      </c>
      <c r="G607" s="266">
        <f t="shared" si="242"/>
        <v>0</v>
      </c>
      <c r="H607" s="266">
        <f>'PENDATAAN PERUMAHAN'!$G$229</f>
        <v>177</v>
      </c>
      <c r="I607" s="267">
        <f t="shared" si="244"/>
        <v>0</v>
      </c>
      <c r="J607" s="267">
        <f t="shared" si="245"/>
        <v>0.0022125</v>
      </c>
      <c r="K607" s="262"/>
      <c r="L607" s="191"/>
    </row>
    <row r="608">
      <c r="B608" s="27"/>
      <c r="C608" s="264" t="s">
        <v>14</v>
      </c>
      <c r="D608" s="265" t="s">
        <v>21</v>
      </c>
      <c r="E608" s="266">
        <v>197500.0</v>
      </c>
      <c r="F608" s="269">
        <v>9354.0</v>
      </c>
      <c r="G608" s="266">
        <f t="shared" si="242"/>
        <v>90</v>
      </c>
      <c r="H608" s="266">
        <f>'PENDATAAN PERUMAHAN'!$H$229</f>
        <v>9444</v>
      </c>
      <c r="I608" s="267">
        <f t="shared" si="244"/>
        <v>0.0004556962025</v>
      </c>
      <c r="J608" s="267">
        <f t="shared" si="245"/>
        <v>0.04781772152</v>
      </c>
      <c r="K608" s="262"/>
      <c r="L608" s="191"/>
    </row>
    <row r="609">
      <c r="B609" s="27"/>
      <c r="C609" s="27"/>
      <c r="D609" s="265" t="s">
        <v>517</v>
      </c>
      <c r="E609" s="271">
        <v>150.0</v>
      </c>
      <c r="F609" s="273">
        <v>557.0</v>
      </c>
      <c r="G609" s="266">
        <f t="shared" si="242"/>
        <v>0</v>
      </c>
      <c r="H609" s="296">
        <v>557.0</v>
      </c>
      <c r="I609" s="267">
        <f t="shared" si="244"/>
        <v>0</v>
      </c>
      <c r="J609" s="267">
        <f t="shared" si="245"/>
        <v>3.713333333</v>
      </c>
      <c r="K609" s="274">
        <f>K611+H622</f>
        <v>177915</v>
      </c>
      <c r="L609" s="191"/>
    </row>
    <row r="610">
      <c r="B610" s="40"/>
      <c r="C610" s="40"/>
      <c r="D610" s="275" t="s">
        <v>519</v>
      </c>
      <c r="E610" s="271">
        <v>50.0</v>
      </c>
      <c r="F610" s="273">
        <v>16.0</v>
      </c>
      <c r="G610" s="266">
        <f t="shared" si="242"/>
        <v>0</v>
      </c>
      <c r="H610" s="266">
        <v>16.0</v>
      </c>
      <c r="I610" s="284"/>
      <c r="J610" s="267">
        <f t="shared" si="245"/>
        <v>0.32</v>
      </c>
      <c r="K610" s="262"/>
      <c r="L610" s="191"/>
    </row>
    <row r="611">
      <c r="B611" s="263" t="s">
        <v>521</v>
      </c>
      <c r="C611" s="264" t="s">
        <v>522</v>
      </c>
      <c r="D611" s="275" t="s">
        <v>506</v>
      </c>
      <c r="E611" s="266">
        <v>15110.0</v>
      </c>
      <c r="F611" s="273">
        <v>0.0</v>
      </c>
      <c r="G611" s="266">
        <f t="shared" si="242"/>
        <v>0</v>
      </c>
      <c r="H611" s="266">
        <f>'PENDATAAN PERUMAHAN'!$N$229</f>
        <v>0</v>
      </c>
      <c r="I611" s="267">
        <f>(H611-F611)/E611</f>
        <v>0</v>
      </c>
      <c r="J611" s="267">
        <f t="shared" si="245"/>
        <v>0</v>
      </c>
      <c r="K611" s="274">
        <f>sum(H602:H610)</f>
        <v>32329</v>
      </c>
      <c r="L611" s="191"/>
    </row>
    <row r="612">
      <c r="B612" s="27"/>
      <c r="C612" s="27"/>
      <c r="D612" s="275" t="s">
        <v>508</v>
      </c>
      <c r="E612" s="266">
        <v>100.0</v>
      </c>
      <c r="F612" s="273">
        <v>579.0</v>
      </c>
      <c r="G612" s="266">
        <f t="shared" si="242"/>
        <v>0</v>
      </c>
      <c r="H612" s="266">
        <f>'PENDATAAN PERUMAHAN'!$O$229</f>
        <v>579</v>
      </c>
      <c r="I612" s="284"/>
      <c r="J612" s="267">
        <f t="shared" si="245"/>
        <v>5.79</v>
      </c>
      <c r="K612" s="262"/>
      <c r="L612" s="191"/>
    </row>
    <row r="613">
      <c r="B613" s="27"/>
      <c r="C613" s="27"/>
      <c r="D613" s="275" t="s">
        <v>525</v>
      </c>
      <c r="E613" s="266">
        <v>675.0</v>
      </c>
      <c r="F613" s="269">
        <v>79.0</v>
      </c>
      <c r="G613" s="266">
        <f t="shared" si="242"/>
        <v>0</v>
      </c>
      <c r="H613" s="266">
        <f>'PENDATAAN PERUMAHAN'!$P$229</f>
        <v>79</v>
      </c>
      <c r="I613" s="267">
        <f t="shared" ref="I613:I618" si="246">(H613-F613)/E613</f>
        <v>0</v>
      </c>
      <c r="J613" s="267">
        <f t="shared" si="245"/>
        <v>0.117037037</v>
      </c>
      <c r="K613" s="262"/>
      <c r="L613" s="191"/>
    </row>
    <row r="614">
      <c r="B614" s="27"/>
      <c r="C614" s="27"/>
      <c r="D614" s="275" t="s">
        <v>25</v>
      </c>
      <c r="E614" s="266">
        <v>13500.0</v>
      </c>
      <c r="F614" s="269">
        <v>26425.0</v>
      </c>
      <c r="G614" s="266">
        <f t="shared" si="242"/>
        <v>1691</v>
      </c>
      <c r="H614" s="266">
        <f>'PENDATAAN PERUMAHAN'!$R$229</f>
        <v>28116</v>
      </c>
      <c r="I614" s="267">
        <f t="shared" si="246"/>
        <v>0.1252592593</v>
      </c>
      <c r="J614" s="267">
        <f t="shared" si="245"/>
        <v>2.082666667</v>
      </c>
      <c r="K614" s="262"/>
      <c r="L614" s="191"/>
    </row>
    <row r="615">
      <c r="B615" s="27"/>
      <c r="C615" s="27"/>
      <c r="D615" s="265" t="s">
        <v>24</v>
      </c>
      <c r="E615" s="266">
        <v>42200.0</v>
      </c>
      <c r="F615" s="269">
        <v>4602.0</v>
      </c>
      <c r="G615" s="266">
        <f t="shared" si="242"/>
        <v>23</v>
      </c>
      <c r="H615" s="266">
        <f>'PENDATAAN PERUMAHAN'!$Q$229</f>
        <v>4625</v>
      </c>
      <c r="I615" s="267">
        <f t="shared" si="246"/>
        <v>0.0005450236967</v>
      </c>
      <c r="J615" s="267">
        <f t="shared" si="245"/>
        <v>0.1095971564</v>
      </c>
      <c r="K615" s="262"/>
      <c r="L615" s="191"/>
    </row>
    <row r="616">
      <c r="B616" s="27"/>
      <c r="C616" s="27"/>
      <c r="D616" s="265" t="s">
        <v>28</v>
      </c>
      <c r="E616" s="266">
        <v>0.0</v>
      </c>
      <c r="F616" s="269">
        <v>0.0</v>
      </c>
      <c r="G616" s="266">
        <f t="shared" si="242"/>
        <v>0</v>
      </c>
      <c r="H616" s="266">
        <f>'PENDATAAN PERUMAHAN'!$T$229</f>
        <v>0</v>
      </c>
      <c r="I616" s="267" t="str">
        <f t="shared" si="246"/>
        <v>#DIV/0!</v>
      </c>
      <c r="J616" s="267">
        <f>H616/36</f>
        <v>0</v>
      </c>
      <c r="K616" s="262"/>
      <c r="L616" s="191"/>
    </row>
    <row r="617">
      <c r="B617" s="27"/>
      <c r="C617" s="27"/>
      <c r="D617" s="265" t="s">
        <v>517</v>
      </c>
      <c r="E617" s="266">
        <v>600.0</v>
      </c>
      <c r="F617" s="269">
        <v>2437.0</v>
      </c>
      <c r="G617" s="266">
        <f t="shared" si="242"/>
        <v>0</v>
      </c>
      <c r="H617" s="296">
        <v>2437.0</v>
      </c>
      <c r="I617" s="267">
        <f t="shared" si="246"/>
        <v>0</v>
      </c>
      <c r="J617" s="267">
        <f t="shared" ref="J617:J620" si="247">H617/E617</f>
        <v>4.061666667</v>
      </c>
      <c r="K617" s="262"/>
      <c r="L617" s="191"/>
    </row>
    <row r="618">
      <c r="B618" s="27"/>
      <c r="C618" s="27"/>
      <c r="D618" s="265" t="s">
        <v>29</v>
      </c>
      <c r="E618" s="266">
        <v>486897.0</v>
      </c>
      <c r="F618" s="269">
        <v>49238.0</v>
      </c>
      <c r="G618" s="266">
        <f t="shared" si="242"/>
        <v>61094</v>
      </c>
      <c r="H618" s="266">
        <f>'PENDATAAN PERUMAHAN'!$U$229</f>
        <v>110332</v>
      </c>
      <c r="I618" s="267">
        <f t="shared" si="246"/>
        <v>0.1254762301</v>
      </c>
      <c r="J618" s="267">
        <f t="shared" si="247"/>
        <v>0.2266023409</v>
      </c>
      <c r="K618" s="274">
        <f>sum(H611:H619)</f>
        <v>146337</v>
      </c>
      <c r="L618" s="191"/>
    </row>
    <row r="619">
      <c r="B619" s="40"/>
      <c r="C619" s="40"/>
      <c r="D619" s="265" t="s">
        <v>519</v>
      </c>
      <c r="E619" s="276">
        <v>200.0</v>
      </c>
      <c r="F619" s="304">
        <v>169.0</v>
      </c>
      <c r="G619" s="276">
        <f t="shared" si="242"/>
        <v>0</v>
      </c>
      <c r="H619" s="276">
        <v>169.0</v>
      </c>
      <c r="I619" s="298"/>
      <c r="J619" s="267">
        <f t="shared" si="247"/>
        <v>0.845</v>
      </c>
      <c r="K619" s="277"/>
      <c r="L619" s="191"/>
    </row>
    <row r="620">
      <c r="B620" s="278" t="s">
        <v>533</v>
      </c>
      <c r="C620" s="183"/>
      <c r="D620" s="31"/>
      <c r="E620" s="279">
        <f>SUM(E602:E619)</f>
        <v>1000000</v>
      </c>
      <c r="F620" s="305">
        <v>115600.0</v>
      </c>
      <c r="G620" s="279">
        <f>sum(G602:G619)</f>
        <v>63066</v>
      </c>
      <c r="H620" s="279">
        <f>SUM(H602:H619)</f>
        <v>178666</v>
      </c>
      <c r="I620" s="280">
        <f>(H620-F620)/E620</f>
        <v>0.063066</v>
      </c>
      <c r="J620" s="280">
        <f t="shared" si="247"/>
        <v>0.178666</v>
      </c>
      <c r="K620" s="262"/>
      <c r="L620" s="191"/>
    </row>
    <row r="621">
      <c r="B621" s="281"/>
      <c r="C621" s="281"/>
      <c r="D621" s="282"/>
      <c r="E621" s="283"/>
      <c r="F621" s="283"/>
      <c r="G621" s="283"/>
      <c r="H621" s="283"/>
      <c r="I621" s="284"/>
      <c r="J621" s="284"/>
      <c r="K621" s="262"/>
      <c r="L621" s="191"/>
    </row>
    <row r="622">
      <c r="B622" s="263" t="s">
        <v>6</v>
      </c>
      <c r="C622" s="264" t="s">
        <v>8</v>
      </c>
      <c r="D622" s="265" t="s">
        <v>536</v>
      </c>
      <c r="E622" s="266">
        <v>217500.0</v>
      </c>
      <c r="F622" s="269">
        <v>138164.0</v>
      </c>
      <c r="G622" s="266">
        <f t="shared" ref="G622:G623" si="248">H622-F622</f>
        <v>7422</v>
      </c>
      <c r="H622" s="266">
        <f>'PENDATAAN PERUMAHAN'!$E$229</f>
        <v>145586</v>
      </c>
      <c r="I622" s="267">
        <f t="shared" ref="I622:I623" si="249">(H622-F622)/E622</f>
        <v>0.03412413793</v>
      </c>
      <c r="J622" s="267">
        <f t="shared" ref="J622:J623" si="250">H622/E622</f>
        <v>0.6693609195</v>
      </c>
      <c r="K622" s="262"/>
      <c r="L622" s="191"/>
    </row>
    <row r="623">
      <c r="B623" s="27"/>
      <c r="C623" s="27"/>
      <c r="D623" s="265" t="s">
        <v>538</v>
      </c>
      <c r="E623" s="266">
        <v>300000.0</v>
      </c>
      <c r="F623" s="269">
        <v>0.0</v>
      </c>
      <c r="G623" s="266">
        <f t="shared" si="248"/>
        <v>0</v>
      </c>
      <c r="H623" s="266">
        <f>'PENDATAAN PERUMAHAN'!$V$229</f>
        <v>0</v>
      </c>
      <c r="I623" s="267">
        <f t="shared" si="249"/>
        <v>0</v>
      </c>
      <c r="J623" s="267">
        <f t="shared" si="250"/>
        <v>0</v>
      </c>
      <c r="K623" s="262"/>
      <c r="L623" s="191"/>
    </row>
    <row r="624">
      <c r="B624" s="27"/>
      <c r="C624" s="27"/>
      <c r="D624" s="265" t="s">
        <v>540</v>
      </c>
      <c r="E624" s="266">
        <v>700.0</v>
      </c>
      <c r="F624" s="269">
        <v>0.0</v>
      </c>
      <c r="G624" s="266">
        <v>0.0</v>
      </c>
      <c r="H624" s="266">
        <v>0.0</v>
      </c>
      <c r="I624" s="284"/>
      <c r="J624" s="267">
        <v>0.0</v>
      </c>
      <c r="K624" s="262"/>
      <c r="L624" s="191"/>
    </row>
    <row r="625">
      <c r="B625" s="40"/>
      <c r="C625" s="40"/>
      <c r="D625" s="265" t="s">
        <v>541</v>
      </c>
      <c r="E625" s="266">
        <v>0.0</v>
      </c>
      <c r="F625" s="269">
        <v>0.0</v>
      </c>
      <c r="G625" s="266">
        <v>0.0</v>
      </c>
      <c r="H625" s="266">
        <v>0.0</v>
      </c>
      <c r="I625" s="284"/>
      <c r="J625" s="267">
        <v>0.0</v>
      </c>
      <c r="K625" s="262"/>
      <c r="L625" s="191"/>
    </row>
    <row r="626">
      <c r="B626" s="285" t="s">
        <v>542</v>
      </c>
      <c r="C626" s="19"/>
      <c r="D626" s="20"/>
      <c r="E626" s="286">
        <f>sum(E622:E624)</f>
        <v>518200</v>
      </c>
      <c r="F626" s="306">
        <v>138164.0</v>
      </c>
      <c r="G626" s="286">
        <f t="shared" ref="G626:G627" si="251">H626-F626</f>
        <v>7422</v>
      </c>
      <c r="H626" s="286">
        <f>H622+H623+H625</f>
        <v>145586</v>
      </c>
      <c r="I626" s="280">
        <f t="shared" ref="I626:I627" si="252">(H626-F626)/E626</f>
        <v>0.01432265535</v>
      </c>
      <c r="J626" s="280">
        <f t="shared" ref="J626:J627" si="253">H626/E626</f>
        <v>0.2809455809</v>
      </c>
      <c r="K626" s="262"/>
      <c r="L626" s="191"/>
    </row>
    <row r="627">
      <c r="B627" s="287" t="s">
        <v>544</v>
      </c>
      <c r="C627" s="19"/>
      <c r="D627" s="20"/>
      <c r="E627" s="288">
        <f>E626+E620</f>
        <v>1518200</v>
      </c>
      <c r="F627" s="307">
        <v>253764.0</v>
      </c>
      <c r="G627" s="290">
        <f t="shared" si="251"/>
        <v>70488</v>
      </c>
      <c r="H627" s="289">
        <f>H626+H620</f>
        <v>324252</v>
      </c>
      <c r="I627" s="291">
        <f t="shared" si="252"/>
        <v>0.04642866552</v>
      </c>
      <c r="J627" s="291">
        <f t="shared" si="253"/>
        <v>0.2135766039</v>
      </c>
      <c r="K627" s="262"/>
      <c r="L627" s="191"/>
    </row>
    <row r="628">
      <c r="B628" s="262"/>
      <c r="C628" s="262"/>
      <c r="D628" s="262"/>
      <c r="E628" s="262"/>
      <c r="F628" s="262"/>
      <c r="G628" s="262"/>
      <c r="H628" s="262"/>
      <c r="I628" s="262"/>
      <c r="J628" s="262"/>
      <c r="K628" s="262"/>
      <c r="L628" s="191"/>
    </row>
    <row r="629">
      <c r="B629" s="262"/>
      <c r="C629" s="262"/>
      <c r="D629" s="262"/>
      <c r="E629" s="262"/>
      <c r="F629" s="262"/>
      <c r="G629" s="262"/>
      <c r="H629" s="274">
        <f>H602+H603+H604+H605+H606+H607+H608+H609+H610+H622</f>
        <v>177915</v>
      </c>
      <c r="I629" s="262"/>
      <c r="J629" s="274">
        <f>H611+H612+H613+H614+H615+H616+H617+H618+H619</f>
        <v>146337</v>
      </c>
      <c r="K629" s="262"/>
      <c r="L629" s="191"/>
    </row>
    <row r="630">
      <c r="B630" s="248" t="s">
        <v>593</v>
      </c>
      <c r="L630" s="191"/>
    </row>
    <row r="631">
      <c r="B631" s="260" t="s">
        <v>494</v>
      </c>
      <c r="C631" s="261" t="s">
        <v>495</v>
      </c>
      <c r="D631" s="261" t="s">
        <v>15</v>
      </c>
      <c r="E631" s="261" t="s">
        <v>496</v>
      </c>
      <c r="F631" s="261" t="s">
        <v>497</v>
      </c>
      <c r="G631" s="261" t="s">
        <v>498</v>
      </c>
      <c r="H631" s="261" t="s">
        <v>499</v>
      </c>
      <c r="I631" s="261" t="s">
        <v>500</v>
      </c>
      <c r="J631" s="261" t="s">
        <v>501</v>
      </c>
      <c r="K631" s="262"/>
      <c r="L631" s="191"/>
    </row>
    <row r="632">
      <c r="B632" s="263" t="s">
        <v>2</v>
      </c>
      <c r="C632" s="264" t="s">
        <v>505</v>
      </c>
      <c r="D632" s="265" t="s">
        <v>506</v>
      </c>
      <c r="E632" s="266">
        <v>518.0</v>
      </c>
      <c r="F632" s="308">
        <v>0.0</v>
      </c>
      <c r="G632" s="266">
        <f t="shared" ref="G632:G649" si="254">H632-F632</f>
        <v>0</v>
      </c>
      <c r="H632" s="269">
        <v>0.0</v>
      </c>
      <c r="I632" s="267">
        <f>(H632-F632)/E632</f>
        <v>0</v>
      </c>
      <c r="J632" s="267">
        <f t="shared" ref="J632:J633" si="255">H632/$E$2</f>
        <v>0</v>
      </c>
      <c r="K632" s="262"/>
      <c r="L632" s="191"/>
    </row>
    <row r="633">
      <c r="B633" s="27"/>
      <c r="C633" s="27"/>
      <c r="D633" s="268" t="s">
        <v>508</v>
      </c>
      <c r="E633" s="266">
        <v>0.0</v>
      </c>
      <c r="F633" s="308">
        <v>73.0</v>
      </c>
      <c r="G633" s="266">
        <f t="shared" si="254"/>
        <v>0</v>
      </c>
      <c r="H633" s="266">
        <f>'PENDATAAN PERUMAHAN'!$K$229</f>
        <v>73</v>
      </c>
      <c r="I633" s="284"/>
      <c r="J633" s="267">
        <f t="shared" si="255"/>
        <v>0.1409266409</v>
      </c>
      <c r="K633" s="262"/>
      <c r="L633" s="191"/>
    </row>
    <row r="634">
      <c r="B634" s="27"/>
      <c r="C634" s="27"/>
      <c r="D634" s="268" t="s">
        <v>25</v>
      </c>
      <c r="E634" s="271">
        <v>2500.0</v>
      </c>
      <c r="F634" s="308">
        <v>4869.0</v>
      </c>
      <c r="G634" s="266">
        <f t="shared" si="254"/>
        <v>158</v>
      </c>
      <c r="H634" s="266">
        <f>'PENDATAAN PERUMAHAN'!$M$229</f>
        <v>5027</v>
      </c>
      <c r="I634" s="267">
        <f>(H634-F634)/E634</f>
        <v>0.0632</v>
      </c>
      <c r="J634" s="267">
        <f>H634/E634</f>
        <v>2.0108</v>
      </c>
      <c r="K634" s="262"/>
      <c r="L634" s="191"/>
    </row>
    <row r="635">
      <c r="B635" s="27"/>
      <c r="C635" s="40"/>
      <c r="D635" s="268" t="s">
        <v>24</v>
      </c>
      <c r="E635" s="295">
        <v>0.0</v>
      </c>
      <c r="F635" s="308">
        <v>986.0</v>
      </c>
      <c r="G635" s="266">
        <f t="shared" si="254"/>
        <v>10</v>
      </c>
      <c r="H635" s="266">
        <f>'PENDATAAN PERUMAHAN'!$L$229</f>
        <v>996</v>
      </c>
      <c r="I635" s="284"/>
      <c r="J635" s="284"/>
      <c r="K635" s="262"/>
      <c r="L635" s="191"/>
    </row>
    <row r="636">
      <c r="B636" s="27"/>
      <c r="C636" s="264" t="s">
        <v>13</v>
      </c>
      <c r="D636" s="268" t="s">
        <v>512</v>
      </c>
      <c r="E636" s="266">
        <v>160000.0</v>
      </c>
      <c r="F636" s="308">
        <v>16039.0</v>
      </c>
      <c r="G636" s="266">
        <f t="shared" si="254"/>
        <v>0</v>
      </c>
      <c r="H636" s="266">
        <f>'PENDATAAN PERUMAHAN'!$F$229</f>
        <v>16039</v>
      </c>
      <c r="I636" s="267">
        <f t="shared" ref="I636:I639" si="256">(H636-F636)/E636</f>
        <v>0</v>
      </c>
      <c r="J636" s="267">
        <f t="shared" ref="J636:J645" si="257">H636/E636</f>
        <v>0.10024375</v>
      </c>
      <c r="K636" s="262"/>
      <c r="L636" s="191"/>
    </row>
    <row r="637">
      <c r="B637" s="27"/>
      <c r="C637" s="40"/>
      <c r="D637" s="268" t="s">
        <v>514</v>
      </c>
      <c r="E637" s="266">
        <v>80000.0</v>
      </c>
      <c r="F637" s="308">
        <v>177.0</v>
      </c>
      <c r="G637" s="266">
        <f t="shared" si="254"/>
        <v>0</v>
      </c>
      <c r="H637" s="266">
        <f>'PENDATAAN PERUMAHAN'!$G$229</f>
        <v>177</v>
      </c>
      <c r="I637" s="267">
        <f t="shared" si="256"/>
        <v>0</v>
      </c>
      <c r="J637" s="267">
        <f t="shared" si="257"/>
        <v>0.0022125</v>
      </c>
      <c r="K637" s="262"/>
      <c r="L637" s="191"/>
    </row>
    <row r="638">
      <c r="B638" s="27"/>
      <c r="C638" s="264" t="s">
        <v>14</v>
      </c>
      <c r="D638" s="265" t="s">
        <v>21</v>
      </c>
      <c r="E638" s="266">
        <v>197500.0</v>
      </c>
      <c r="F638" s="308">
        <v>9354.0</v>
      </c>
      <c r="G638" s="266">
        <f t="shared" si="254"/>
        <v>90</v>
      </c>
      <c r="H638" s="266">
        <f>'PENDATAAN PERUMAHAN'!$H$229</f>
        <v>9444</v>
      </c>
      <c r="I638" s="267">
        <f t="shared" si="256"/>
        <v>0.0004556962025</v>
      </c>
      <c r="J638" s="267">
        <f t="shared" si="257"/>
        <v>0.04781772152</v>
      </c>
      <c r="K638" s="262"/>
      <c r="L638" s="191"/>
    </row>
    <row r="639">
      <c r="B639" s="27"/>
      <c r="C639" s="27"/>
      <c r="D639" s="265" t="s">
        <v>517</v>
      </c>
      <c r="E639" s="271">
        <v>150.0</v>
      </c>
      <c r="F639" s="308">
        <v>557.0</v>
      </c>
      <c r="G639" s="266">
        <f t="shared" si="254"/>
        <v>0</v>
      </c>
      <c r="H639" s="296">
        <v>557.0</v>
      </c>
      <c r="I639" s="267">
        <f t="shared" si="256"/>
        <v>0</v>
      </c>
      <c r="J639" s="267">
        <f t="shared" si="257"/>
        <v>3.713333333</v>
      </c>
      <c r="K639" s="274">
        <f>K641+H652</f>
        <v>177915</v>
      </c>
      <c r="L639" s="191"/>
    </row>
    <row r="640">
      <c r="B640" s="40"/>
      <c r="C640" s="40"/>
      <c r="D640" s="275" t="s">
        <v>519</v>
      </c>
      <c r="E640" s="271">
        <v>50.0</v>
      </c>
      <c r="F640" s="308">
        <v>16.0</v>
      </c>
      <c r="G640" s="266">
        <f t="shared" si="254"/>
        <v>0</v>
      </c>
      <c r="H640" s="266">
        <v>16.0</v>
      </c>
      <c r="I640" s="284"/>
      <c r="J640" s="267">
        <f t="shared" si="257"/>
        <v>0.32</v>
      </c>
      <c r="K640" s="262"/>
      <c r="L640" s="191"/>
    </row>
    <row r="641">
      <c r="B641" s="263" t="s">
        <v>521</v>
      </c>
      <c r="C641" s="264" t="s">
        <v>522</v>
      </c>
      <c r="D641" s="275" t="s">
        <v>506</v>
      </c>
      <c r="E641" s="266">
        <v>15110.0</v>
      </c>
      <c r="F641" s="308">
        <v>0.0</v>
      </c>
      <c r="G641" s="266">
        <f t="shared" si="254"/>
        <v>0</v>
      </c>
      <c r="H641" s="266">
        <f>'PENDATAAN PERUMAHAN'!$N$229</f>
        <v>0</v>
      </c>
      <c r="I641" s="267">
        <f>(H641-F641)/E641</f>
        <v>0</v>
      </c>
      <c r="J641" s="267">
        <f t="shared" si="257"/>
        <v>0</v>
      </c>
      <c r="K641" s="274">
        <f>sum(H632:H640)</f>
        <v>32329</v>
      </c>
      <c r="L641" s="191"/>
    </row>
    <row r="642">
      <c r="B642" s="27"/>
      <c r="C642" s="27"/>
      <c r="D642" s="275" t="s">
        <v>508</v>
      </c>
      <c r="E642" s="266">
        <v>100.0</v>
      </c>
      <c r="F642" s="308">
        <v>579.0</v>
      </c>
      <c r="G642" s="266">
        <f t="shared" si="254"/>
        <v>0</v>
      </c>
      <c r="H642" s="266">
        <f>'PENDATAAN PERUMAHAN'!$O$229</f>
        <v>579</v>
      </c>
      <c r="I642" s="284"/>
      <c r="J642" s="267">
        <f t="shared" si="257"/>
        <v>5.79</v>
      </c>
      <c r="K642" s="262"/>
      <c r="L642" s="191"/>
    </row>
    <row r="643">
      <c r="B643" s="27"/>
      <c r="C643" s="27"/>
      <c r="D643" s="275" t="s">
        <v>525</v>
      </c>
      <c r="E643" s="266">
        <v>675.0</v>
      </c>
      <c r="F643" s="308">
        <v>79.0</v>
      </c>
      <c r="G643" s="266">
        <f t="shared" si="254"/>
        <v>0</v>
      </c>
      <c r="H643" s="266">
        <f>'PENDATAAN PERUMAHAN'!$P$229</f>
        <v>79</v>
      </c>
      <c r="I643" s="267">
        <f t="shared" ref="I643:I648" si="258">(H643-F643)/E643</f>
        <v>0</v>
      </c>
      <c r="J643" s="267">
        <f t="shared" si="257"/>
        <v>0.117037037</v>
      </c>
      <c r="K643" s="262"/>
      <c r="L643" s="191"/>
    </row>
    <row r="644">
      <c r="B644" s="27"/>
      <c r="C644" s="27"/>
      <c r="D644" s="275" t="s">
        <v>25</v>
      </c>
      <c r="E644" s="266">
        <v>13500.0</v>
      </c>
      <c r="F644" s="308">
        <v>26425.0</v>
      </c>
      <c r="G644" s="266">
        <f t="shared" si="254"/>
        <v>1691</v>
      </c>
      <c r="H644" s="266">
        <f>'PENDATAAN PERUMAHAN'!$R$229</f>
        <v>28116</v>
      </c>
      <c r="I644" s="267">
        <f t="shared" si="258"/>
        <v>0.1252592593</v>
      </c>
      <c r="J644" s="267">
        <f t="shared" si="257"/>
        <v>2.082666667</v>
      </c>
      <c r="K644" s="262"/>
      <c r="L644" s="191"/>
    </row>
    <row r="645">
      <c r="B645" s="27"/>
      <c r="C645" s="27"/>
      <c r="D645" s="265" t="s">
        <v>24</v>
      </c>
      <c r="E645" s="266">
        <v>42200.0</v>
      </c>
      <c r="F645" s="308">
        <v>4602.0</v>
      </c>
      <c r="G645" s="266">
        <f t="shared" si="254"/>
        <v>23</v>
      </c>
      <c r="H645" s="266">
        <f>'PENDATAAN PERUMAHAN'!$Q$229</f>
        <v>4625</v>
      </c>
      <c r="I645" s="267">
        <f t="shared" si="258"/>
        <v>0.0005450236967</v>
      </c>
      <c r="J645" s="267">
        <f t="shared" si="257"/>
        <v>0.1095971564</v>
      </c>
      <c r="K645" s="262"/>
      <c r="L645" s="191"/>
    </row>
    <row r="646">
      <c r="B646" s="27"/>
      <c r="C646" s="27"/>
      <c r="D646" s="265" t="s">
        <v>28</v>
      </c>
      <c r="E646" s="266">
        <v>0.0</v>
      </c>
      <c r="F646" s="308">
        <v>0.0</v>
      </c>
      <c r="G646" s="266">
        <f t="shared" si="254"/>
        <v>0</v>
      </c>
      <c r="H646" s="266">
        <f>'PENDATAAN PERUMAHAN'!$T$229</f>
        <v>0</v>
      </c>
      <c r="I646" s="267" t="str">
        <f t="shared" si="258"/>
        <v>#DIV/0!</v>
      </c>
      <c r="J646" s="267">
        <f>H646/36</f>
        <v>0</v>
      </c>
      <c r="K646" s="262"/>
      <c r="L646" s="191"/>
    </row>
    <row r="647">
      <c r="B647" s="27"/>
      <c r="C647" s="27"/>
      <c r="D647" s="265" t="s">
        <v>517</v>
      </c>
      <c r="E647" s="266">
        <v>600.0</v>
      </c>
      <c r="F647" s="308">
        <v>2437.0</v>
      </c>
      <c r="G647" s="266">
        <f t="shared" si="254"/>
        <v>0</v>
      </c>
      <c r="H647" s="296">
        <v>2437.0</v>
      </c>
      <c r="I647" s="267">
        <f t="shared" si="258"/>
        <v>0</v>
      </c>
      <c r="J647" s="267">
        <f t="shared" ref="J647:J650" si="259">H647/E647</f>
        <v>4.061666667</v>
      </c>
      <c r="K647" s="262"/>
      <c r="L647" s="191"/>
    </row>
    <row r="648">
      <c r="B648" s="27"/>
      <c r="C648" s="27"/>
      <c r="D648" s="265" t="s">
        <v>29</v>
      </c>
      <c r="E648" s="266">
        <v>486897.0</v>
      </c>
      <c r="F648" s="308">
        <v>49238.0</v>
      </c>
      <c r="G648" s="266">
        <f t="shared" si="254"/>
        <v>61094</v>
      </c>
      <c r="H648" s="266">
        <f>'PENDATAAN PERUMAHAN'!$U$229</f>
        <v>110332</v>
      </c>
      <c r="I648" s="267">
        <f t="shared" si="258"/>
        <v>0.1254762301</v>
      </c>
      <c r="J648" s="267">
        <f t="shared" si="259"/>
        <v>0.2266023409</v>
      </c>
      <c r="K648" s="274">
        <f>sum(H641:H649)</f>
        <v>146337</v>
      </c>
      <c r="L648" s="191"/>
    </row>
    <row r="649">
      <c r="B649" s="40"/>
      <c r="C649" s="40"/>
      <c r="D649" s="265" t="s">
        <v>519</v>
      </c>
      <c r="E649" s="276">
        <v>200.0</v>
      </c>
      <c r="F649" s="309">
        <v>169.0</v>
      </c>
      <c r="G649" s="276">
        <f t="shared" si="254"/>
        <v>0</v>
      </c>
      <c r="H649" s="276">
        <v>169.0</v>
      </c>
      <c r="I649" s="298"/>
      <c r="J649" s="267">
        <f t="shared" si="259"/>
        <v>0.845</v>
      </c>
      <c r="K649" s="277"/>
      <c r="L649" s="191"/>
    </row>
    <row r="650">
      <c r="B650" s="278" t="s">
        <v>533</v>
      </c>
      <c r="C650" s="183"/>
      <c r="D650" s="31"/>
      <c r="E650" s="279">
        <f t="shared" ref="E650:F650" si="260">SUM(E632:E649)</f>
        <v>1000000</v>
      </c>
      <c r="F650" s="279">
        <f t="shared" si="260"/>
        <v>115600</v>
      </c>
      <c r="G650" s="279">
        <f>sum(G632:G649)</f>
        <v>63066</v>
      </c>
      <c r="H650" s="279">
        <f>SUM(H632:H649)</f>
        <v>178666</v>
      </c>
      <c r="I650" s="280">
        <f>(H650-F650)/E650</f>
        <v>0.063066</v>
      </c>
      <c r="J650" s="280">
        <f t="shared" si="259"/>
        <v>0.178666</v>
      </c>
      <c r="K650" s="262"/>
      <c r="L650" s="191"/>
    </row>
    <row r="651">
      <c r="B651" s="281"/>
      <c r="C651" s="281"/>
      <c r="D651" s="282"/>
      <c r="E651" s="283"/>
      <c r="F651" s="283"/>
      <c r="G651" s="283"/>
      <c r="H651" s="283"/>
      <c r="I651" s="284"/>
      <c r="J651" s="284"/>
      <c r="K651" s="262"/>
      <c r="L651" s="191"/>
    </row>
    <row r="652">
      <c r="B652" s="263" t="s">
        <v>6</v>
      </c>
      <c r="C652" s="264" t="s">
        <v>8</v>
      </c>
      <c r="D652" s="265" t="s">
        <v>536</v>
      </c>
      <c r="E652" s="266">
        <v>217500.0</v>
      </c>
      <c r="F652" s="308">
        <v>139951.0</v>
      </c>
      <c r="G652" s="266">
        <f t="shared" ref="G652:G653" si="261">H652-F652</f>
        <v>5635</v>
      </c>
      <c r="H652" s="266">
        <f>'PENDATAAN PERUMAHAN'!$E$229</f>
        <v>145586</v>
      </c>
      <c r="I652" s="267">
        <f t="shared" ref="I652:I653" si="262">(H652-F652)/E652</f>
        <v>0.02590804598</v>
      </c>
      <c r="J652" s="267">
        <f t="shared" ref="J652:J653" si="263">H652/E652</f>
        <v>0.6693609195</v>
      </c>
      <c r="K652" s="262"/>
      <c r="L652" s="191"/>
    </row>
    <row r="653">
      <c r="B653" s="27"/>
      <c r="C653" s="27"/>
      <c r="D653" s="265" t="s">
        <v>538</v>
      </c>
      <c r="E653" s="266">
        <v>300000.0</v>
      </c>
      <c r="F653" s="308">
        <v>0.0</v>
      </c>
      <c r="G653" s="266">
        <f t="shared" si="261"/>
        <v>0</v>
      </c>
      <c r="H653" s="266">
        <f>'PENDATAAN PERUMAHAN'!$V$229</f>
        <v>0</v>
      </c>
      <c r="I653" s="267">
        <f t="shared" si="262"/>
        <v>0</v>
      </c>
      <c r="J653" s="267">
        <f t="shared" si="263"/>
        <v>0</v>
      </c>
      <c r="K653" s="262"/>
      <c r="L653" s="191"/>
    </row>
    <row r="654">
      <c r="B654" s="27"/>
      <c r="C654" s="27"/>
      <c r="D654" s="265" t="s">
        <v>540</v>
      </c>
      <c r="E654" s="266">
        <v>700.0</v>
      </c>
      <c r="F654" s="308">
        <v>0.0</v>
      </c>
      <c r="G654" s="266">
        <v>0.0</v>
      </c>
      <c r="H654" s="266">
        <v>0.0</v>
      </c>
      <c r="I654" s="284"/>
      <c r="J654" s="267">
        <v>0.0</v>
      </c>
      <c r="K654" s="262"/>
      <c r="L654" s="191"/>
    </row>
    <row r="655">
      <c r="B655" s="40"/>
      <c r="C655" s="40"/>
      <c r="D655" s="265" t="s">
        <v>541</v>
      </c>
      <c r="E655" s="266">
        <v>0.0</v>
      </c>
      <c r="F655" s="308">
        <v>0.0</v>
      </c>
      <c r="G655" s="266">
        <v>0.0</v>
      </c>
      <c r="H655" s="266">
        <v>0.0</v>
      </c>
      <c r="I655" s="284"/>
      <c r="J655" s="267">
        <v>0.0</v>
      </c>
      <c r="K655" s="262"/>
      <c r="L655" s="191"/>
    </row>
    <row r="656">
      <c r="B656" s="285" t="s">
        <v>542</v>
      </c>
      <c r="C656" s="19"/>
      <c r="D656" s="20"/>
      <c r="E656" s="286">
        <f>sum(E652:E654)</f>
        <v>518200</v>
      </c>
      <c r="F656" s="286">
        <f>SUM(F652:F655)</f>
        <v>139951</v>
      </c>
      <c r="G656" s="286">
        <f t="shared" ref="G656:G657" si="264">H656-F656</f>
        <v>5635</v>
      </c>
      <c r="H656" s="286">
        <f>H652+H653+H655</f>
        <v>145586</v>
      </c>
      <c r="I656" s="280">
        <f t="shared" ref="I656:I657" si="265">(H656-F656)/E656</f>
        <v>0.01087417985</v>
      </c>
      <c r="J656" s="280">
        <f t="shared" ref="J656:J657" si="266">H656/E656</f>
        <v>0.2809455809</v>
      </c>
      <c r="K656" s="262"/>
      <c r="L656" s="191"/>
    </row>
    <row r="657">
      <c r="B657" s="287" t="s">
        <v>544</v>
      </c>
      <c r="C657" s="19"/>
      <c r="D657" s="20"/>
      <c r="E657" s="288">
        <f>E656+E650</f>
        <v>1518200</v>
      </c>
      <c r="F657" s="289">
        <f>F650+F656</f>
        <v>255551</v>
      </c>
      <c r="G657" s="290">
        <f t="shared" si="264"/>
        <v>68701</v>
      </c>
      <c r="H657" s="289">
        <f>H656+H650</f>
        <v>324252</v>
      </c>
      <c r="I657" s="291">
        <f t="shared" si="265"/>
        <v>0.04525161375</v>
      </c>
      <c r="J657" s="291">
        <f t="shared" si="266"/>
        <v>0.2135766039</v>
      </c>
      <c r="K657" s="262"/>
      <c r="L657" s="191"/>
    </row>
    <row r="658">
      <c r="B658" s="262"/>
      <c r="C658" s="262"/>
      <c r="D658" s="262"/>
      <c r="E658" s="262"/>
      <c r="F658" s="262"/>
      <c r="G658" s="262"/>
      <c r="H658" s="262"/>
      <c r="I658" s="262"/>
      <c r="J658" s="262"/>
      <c r="K658" s="262"/>
      <c r="L658" s="191"/>
    </row>
    <row r="659">
      <c r="B659" s="262"/>
      <c r="C659" s="262"/>
      <c r="D659" s="262"/>
      <c r="E659" s="262"/>
      <c r="F659" s="262"/>
      <c r="G659" s="262"/>
      <c r="H659" s="274">
        <f>H632+H633+H634+H635+H636+H637+H638+H639+H640+H652</f>
        <v>177915</v>
      </c>
      <c r="I659" s="262"/>
      <c r="J659" s="274">
        <f>H641+H642+H643+H644+H645+H646+H647+H648+H649</f>
        <v>146337</v>
      </c>
      <c r="K659" s="262"/>
      <c r="L659" s="191"/>
    </row>
    <row r="660">
      <c r="B660" s="248" t="s">
        <v>594</v>
      </c>
      <c r="L660" s="191"/>
    </row>
    <row r="661">
      <c r="B661" s="151" t="s">
        <v>494</v>
      </c>
      <c r="C661" s="152" t="s">
        <v>495</v>
      </c>
      <c r="D661" s="152" t="s">
        <v>15</v>
      </c>
      <c r="E661" s="152" t="s">
        <v>496</v>
      </c>
      <c r="F661" s="152" t="s">
        <v>497</v>
      </c>
      <c r="G661" s="152" t="s">
        <v>498</v>
      </c>
      <c r="H661" s="152" t="s">
        <v>499</v>
      </c>
      <c r="I661" s="152" t="s">
        <v>500</v>
      </c>
      <c r="J661" s="152" t="s">
        <v>501</v>
      </c>
      <c r="L661" s="191"/>
    </row>
    <row r="662">
      <c r="B662" s="156" t="s">
        <v>2</v>
      </c>
      <c r="C662" s="157" t="s">
        <v>505</v>
      </c>
      <c r="D662" s="158" t="s">
        <v>506</v>
      </c>
      <c r="E662" s="159">
        <v>518.0</v>
      </c>
      <c r="F662" s="159">
        <v>0.0</v>
      </c>
      <c r="G662" s="160">
        <f t="shared" ref="G662:G679" si="267">H662-F662</f>
        <v>0</v>
      </c>
      <c r="H662" s="159">
        <v>0.0</v>
      </c>
      <c r="I662" s="161">
        <f>(H662-F662)/E662</f>
        <v>0</v>
      </c>
      <c r="J662" s="161">
        <f t="shared" ref="J662:J663" si="268">H662/$E$2</f>
        <v>0</v>
      </c>
      <c r="L662" s="191"/>
    </row>
    <row r="663">
      <c r="B663" s="27"/>
      <c r="C663" s="27"/>
      <c r="D663" s="164" t="s">
        <v>508</v>
      </c>
      <c r="E663" s="159">
        <v>0.0</v>
      </c>
      <c r="F663" s="159">
        <v>73.0</v>
      </c>
      <c r="G663" s="160">
        <f t="shared" si="267"/>
        <v>0</v>
      </c>
      <c r="H663" s="160">
        <f>'PENDATAAN PERUMAHAN'!$K$229</f>
        <v>73</v>
      </c>
      <c r="I663" s="161"/>
      <c r="J663" s="161">
        <f t="shared" si="268"/>
        <v>0.1409266409</v>
      </c>
      <c r="L663" s="191"/>
    </row>
    <row r="664">
      <c r="B664" s="27"/>
      <c r="C664" s="27"/>
      <c r="D664" s="164" t="s">
        <v>25</v>
      </c>
      <c r="E664" s="166">
        <v>2500.0</v>
      </c>
      <c r="F664" s="159">
        <v>5027.0</v>
      </c>
      <c r="G664" s="160">
        <f t="shared" si="267"/>
        <v>0</v>
      </c>
      <c r="H664" s="160">
        <f>'PENDATAAN PERUMAHAN'!$M$229</f>
        <v>5027</v>
      </c>
      <c r="I664" s="161">
        <f>(H664-F664)/E664</f>
        <v>0</v>
      </c>
      <c r="J664" s="161">
        <f>H664/E664</f>
        <v>2.0108</v>
      </c>
      <c r="L664" s="191"/>
    </row>
    <row r="665">
      <c r="B665" s="27"/>
      <c r="C665" s="40"/>
      <c r="D665" s="164" t="s">
        <v>24</v>
      </c>
      <c r="E665" s="167">
        <v>0.0</v>
      </c>
      <c r="F665" s="159">
        <v>986.0</v>
      </c>
      <c r="G665" s="160">
        <f t="shared" si="267"/>
        <v>10</v>
      </c>
      <c r="H665" s="160">
        <f>'PENDATAAN PERUMAHAN'!$L$229</f>
        <v>996</v>
      </c>
      <c r="I665" s="161"/>
      <c r="J665" s="161"/>
      <c r="L665" s="191"/>
    </row>
    <row r="666">
      <c r="B666" s="27"/>
      <c r="C666" s="157" t="s">
        <v>13</v>
      </c>
      <c r="D666" s="164" t="s">
        <v>512</v>
      </c>
      <c r="E666" s="159">
        <v>160000.0</v>
      </c>
      <c r="F666" s="159">
        <v>16039.0</v>
      </c>
      <c r="G666" s="160">
        <f t="shared" si="267"/>
        <v>0</v>
      </c>
      <c r="H666" s="160">
        <f>'PENDATAAN PERUMAHAN'!$F$229</f>
        <v>16039</v>
      </c>
      <c r="I666" s="161">
        <f t="shared" ref="I666:I669" si="269">(H666-F666)/E666</f>
        <v>0</v>
      </c>
      <c r="J666" s="161">
        <f t="shared" ref="J666:J675" si="270">H666/E666</f>
        <v>0.10024375</v>
      </c>
      <c r="L666" s="191"/>
    </row>
    <row r="667">
      <c r="B667" s="27"/>
      <c r="C667" s="40"/>
      <c r="D667" s="164" t="s">
        <v>514</v>
      </c>
      <c r="E667" s="159">
        <v>80000.0</v>
      </c>
      <c r="F667" s="159">
        <v>177.0</v>
      </c>
      <c r="G667" s="160">
        <f t="shared" si="267"/>
        <v>0</v>
      </c>
      <c r="H667" s="159">
        <f>'PENDATAAN PERUMAHAN'!$G$229</f>
        <v>177</v>
      </c>
      <c r="I667" s="161">
        <f t="shared" si="269"/>
        <v>0</v>
      </c>
      <c r="J667" s="161">
        <f t="shared" si="270"/>
        <v>0.0022125</v>
      </c>
      <c r="L667" s="191"/>
    </row>
    <row r="668">
      <c r="B668" s="27"/>
      <c r="C668" s="157" t="s">
        <v>14</v>
      </c>
      <c r="D668" s="158" t="s">
        <v>21</v>
      </c>
      <c r="E668" s="159">
        <v>197500.0</v>
      </c>
      <c r="F668" s="159">
        <v>9354.0</v>
      </c>
      <c r="G668" s="160">
        <f t="shared" si="267"/>
        <v>90</v>
      </c>
      <c r="H668" s="160">
        <f>'PENDATAAN PERUMAHAN'!$H$229</f>
        <v>9444</v>
      </c>
      <c r="I668" s="161">
        <f t="shared" si="269"/>
        <v>0.0004556962025</v>
      </c>
      <c r="J668" s="161">
        <f t="shared" si="270"/>
        <v>0.04781772152</v>
      </c>
      <c r="L668" s="191"/>
    </row>
    <row r="669">
      <c r="B669" s="27"/>
      <c r="C669" s="27"/>
      <c r="D669" s="158" t="s">
        <v>517</v>
      </c>
      <c r="E669" s="166">
        <v>150.0</v>
      </c>
      <c r="F669" s="166">
        <v>557.0</v>
      </c>
      <c r="G669" s="160">
        <f t="shared" si="267"/>
        <v>7</v>
      </c>
      <c r="H669" s="168">
        <v>564.0</v>
      </c>
      <c r="I669" s="161">
        <f t="shared" si="269"/>
        <v>0.04666666667</v>
      </c>
      <c r="J669" s="161">
        <f t="shared" si="270"/>
        <v>3.76</v>
      </c>
      <c r="K669" s="169">
        <f>K671+H681</f>
        <v>177922</v>
      </c>
      <c r="L669" s="191"/>
    </row>
    <row r="670">
      <c r="B670" s="40"/>
      <c r="C670" s="40"/>
      <c r="D670" s="171" t="s">
        <v>519</v>
      </c>
      <c r="E670" s="166">
        <v>50.0</v>
      </c>
      <c r="F670" s="166">
        <v>16.0</v>
      </c>
      <c r="G670" s="160">
        <f t="shared" si="267"/>
        <v>0</v>
      </c>
      <c r="H670" s="159">
        <v>16.0</v>
      </c>
      <c r="I670" s="161"/>
      <c r="J670" s="161">
        <f t="shared" si="270"/>
        <v>0.32</v>
      </c>
      <c r="L670" s="191"/>
    </row>
    <row r="671">
      <c r="B671" s="156" t="s">
        <v>521</v>
      </c>
      <c r="C671" s="157" t="s">
        <v>522</v>
      </c>
      <c r="D671" s="171" t="s">
        <v>506</v>
      </c>
      <c r="E671" s="159">
        <v>15110.0</v>
      </c>
      <c r="F671" s="166">
        <v>0.0</v>
      </c>
      <c r="G671" s="160">
        <f t="shared" si="267"/>
        <v>0</v>
      </c>
      <c r="H671" s="160">
        <f>'PENDATAAN PERUMAHAN'!$N$229</f>
        <v>0</v>
      </c>
      <c r="I671" s="161">
        <f>(H671-F671)/E671</f>
        <v>0</v>
      </c>
      <c r="J671" s="161">
        <f t="shared" si="270"/>
        <v>0</v>
      </c>
      <c r="K671" s="169">
        <f>sum(H662:H670)</f>
        <v>32336</v>
      </c>
      <c r="L671" s="191"/>
    </row>
    <row r="672">
      <c r="B672" s="27"/>
      <c r="C672" s="27"/>
      <c r="D672" s="171" t="s">
        <v>508</v>
      </c>
      <c r="E672" s="159">
        <v>100.0</v>
      </c>
      <c r="F672" s="166">
        <v>579.0</v>
      </c>
      <c r="G672" s="160">
        <f t="shared" si="267"/>
        <v>0</v>
      </c>
      <c r="H672" s="160">
        <f>'PENDATAAN PERUMAHAN'!$O$229</f>
        <v>579</v>
      </c>
      <c r="I672" s="161"/>
      <c r="J672" s="161">
        <f t="shared" si="270"/>
        <v>5.79</v>
      </c>
      <c r="L672" s="191"/>
    </row>
    <row r="673">
      <c r="B673" s="27"/>
      <c r="C673" s="27"/>
      <c r="D673" s="171" t="s">
        <v>525</v>
      </c>
      <c r="E673" s="159">
        <v>675.0</v>
      </c>
      <c r="F673" s="159">
        <v>79.0</v>
      </c>
      <c r="G673" s="160">
        <f t="shared" si="267"/>
        <v>0</v>
      </c>
      <c r="H673" s="160">
        <f>'PENDATAAN PERUMAHAN'!$P$229</f>
        <v>79</v>
      </c>
      <c r="I673" s="161">
        <f t="shared" ref="I673:I678" si="271">(H673-F673)/E673</f>
        <v>0</v>
      </c>
      <c r="J673" s="161">
        <f t="shared" si="270"/>
        <v>0.117037037</v>
      </c>
      <c r="L673" s="191"/>
    </row>
    <row r="674">
      <c r="B674" s="27"/>
      <c r="C674" s="27"/>
      <c r="D674" s="171" t="s">
        <v>25</v>
      </c>
      <c r="E674" s="159">
        <v>13500.0</v>
      </c>
      <c r="F674" s="159">
        <v>27593.0</v>
      </c>
      <c r="G674" s="160">
        <f t="shared" si="267"/>
        <v>523</v>
      </c>
      <c r="H674" s="159">
        <f>'PENDATAAN PERUMAHAN'!$R$229</f>
        <v>28116</v>
      </c>
      <c r="I674" s="161">
        <f t="shared" si="271"/>
        <v>0.03874074074</v>
      </c>
      <c r="J674" s="161">
        <f t="shared" si="270"/>
        <v>2.082666667</v>
      </c>
      <c r="L674" s="191"/>
    </row>
    <row r="675">
      <c r="B675" s="27"/>
      <c r="C675" s="27"/>
      <c r="D675" s="158" t="s">
        <v>24</v>
      </c>
      <c r="E675" s="159">
        <v>42200.0</v>
      </c>
      <c r="F675" s="159">
        <v>4625.0</v>
      </c>
      <c r="G675" s="160">
        <f t="shared" si="267"/>
        <v>0</v>
      </c>
      <c r="H675" s="160">
        <f>'PENDATAAN PERUMAHAN'!$Q$229</f>
        <v>4625</v>
      </c>
      <c r="I675" s="161">
        <f t="shared" si="271"/>
        <v>0</v>
      </c>
      <c r="J675" s="161">
        <f t="shared" si="270"/>
        <v>0.1095971564</v>
      </c>
      <c r="L675" s="191"/>
    </row>
    <row r="676">
      <c r="B676" s="27"/>
      <c r="C676" s="27"/>
      <c r="D676" s="158" t="s">
        <v>28</v>
      </c>
      <c r="E676" s="159">
        <v>0.0</v>
      </c>
      <c r="F676" s="159">
        <v>0.0</v>
      </c>
      <c r="G676" s="160">
        <f t="shared" si="267"/>
        <v>0</v>
      </c>
      <c r="H676" s="160">
        <f>'PENDATAAN PERUMAHAN'!$T$229</f>
        <v>0</v>
      </c>
      <c r="I676" s="161" t="str">
        <f t="shared" si="271"/>
        <v>#DIV/0!</v>
      </c>
      <c r="J676" s="161">
        <f>H676/36</f>
        <v>0</v>
      </c>
      <c r="L676" s="191"/>
    </row>
    <row r="677">
      <c r="B677" s="27"/>
      <c r="C677" s="27"/>
      <c r="D677" s="158" t="s">
        <v>517</v>
      </c>
      <c r="E677" s="159">
        <v>600.0</v>
      </c>
      <c r="F677" s="159">
        <v>2437.0</v>
      </c>
      <c r="G677" s="160">
        <f t="shared" si="267"/>
        <v>16</v>
      </c>
      <c r="H677" s="168">
        <v>2453.0</v>
      </c>
      <c r="I677" s="161">
        <f t="shared" si="271"/>
        <v>0.02666666667</v>
      </c>
      <c r="J677" s="161">
        <f t="shared" ref="J677:J682" si="272">H677/E677</f>
        <v>4.088333333</v>
      </c>
      <c r="L677" s="191"/>
    </row>
    <row r="678">
      <c r="B678" s="27"/>
      <c r="C678" s="27"/>
      <c r="D678" s="158" t="s">
        <v>29</v>
      </c>
      <c r="E678" s="159">
        <v>486897.0</v>
      </c>
      <c r="F678" s="159">
        <v>49238.0</v>
      </c>
      <c r="G678" s="160">
        <f t="shared" si="267"/>
        <v>61094</v>
      </c>
      <c r="H678" s="159">
        <f>'PENDATAAN PERUMAHAN'!$U$229</f>
        <v>110332</v>
      </c>
      <c r="I678" s="161">
        <f t="shared" si="271"/>
        <v>0.1254762301</v>
      </c>
      <c r="J678" s="161">
        <f t="shared" si="272"/>
        <v>0.2266023409</v>
      </c>
      <c r="K678" s="169">
        <f>sum(H671:H679)</f>
        <v>146353</v>
      </c>
      <c r="L678" s="191"/>
    </row>
    <row r="679">
      <c r="B679" s="40"/>
      <c r="C679" s="40"/>
      <c r="D679" s="174" t="s">
        <v>519</v>
      </c>
      <c r="E679" s="175">
        <v>200.0</v>
      </c>
      <c r="F679" s="175">
        <v>169.0</v>
      </c>
      <c r="G679" s="175">
        <f t="shared" si="267"/>
        <v>0</v>
      </c>
      <c r="H679" s="175">
        <v>169.0</v>
      </c>
      <c r="I679" s="175"/>
      <c r="J679" s="161">
        <f t="shared" si="272"/>
        <v>0.845</v>
      </c>
      <c r="K679" s="176"/>
      <c r="L679" s="191"/>
    </row>
    <row r="680">
      <c r="B680" s="182" t="s">
        <v>533</v>
      </c>
      <c r="C680" s="183"/>
      <c r="D680" s="31"/>
      <c r="E680" s="184">
        <f t="shared" ref="E680:F680" si="273">SUM(E662:E679)</f>
        <v>1000000</v>
      </c>
      <c r="F680" s="184">
        <f t="shared" si="273"/>
        <v>116949</v>
      </c>
      <c r="G680" s="185">
        <f>sum(G662:G679)</f>
        <v>61740</v>
      </c>
      <c r="H680" s="185">
        <f>SUM(H662:H679)</f>
        <v>178689</v>
      </c>
      <c r="I680" s="186">
        <f t="shared" ref="I680:I682" si="274">(H680-F680)/E680</f>
        <v>0.06174</v>
      </c>
      <c r="J680" s="186">
        <f t="shared" si="272"/>
        <v>0.178689</v>
      </c>
      <c r="L680" s="191"/>
    </row>
    <row r="681">
      <c r="B681" s="156" t="s">
        <v>6</v>
      </c>
      <c r="C681" s="157" t="s">
        <v>8</v>
      </c>
      <c r="D681" s="158" t="s">
        <v>536</v>
      </c>
      <c r="E681" s="159">
        <v>217500.0</v>
      </c>
      <c r="F681" s="159">
        <v>140937.0</v>
      </c>
      <c r="G681" s="160">
        <f t="shared" ref="G681:G682" si="275">H681-F681</f>
        <v>4649</v>
      </c>
      <c r="H681" s="160">
        <f>'PENDATAAN PERUMAHAN'!$E$229</f>
        <v>145586</v>
      </c>
      <c r="I681" s="161">
        <f t="shared" si="274"/>
        <v>0.02137471264</v>
      </c>
      <c r="J681" s="161">
        <f t="shared" si="272"/>
        <v>0.6693609195</v>
      </c>
      <c r="L681" s="191"/>
    </row>
    <row r="682">
      <c r="B682" s="27"/>
      <c r="C682" s="27"/>
      <c r="D682" s="158" t="s">
        <v>538</v>
      </c>
      <c r="E682" s="159">
        <v>300000.0</v>
      </c>
      <c r="F682" s="159">
        <v>0.0</v>
      </c>
      <c r="G682" s="160">
        <f t="shared" si="275"/>
        <v>0</v>
      </c>
      <c r="H682" s="160">
        <f>'PENDATAAN PERUMAHAN'!$V$229</f>
        <v>0</v>
      </c>
      <c r="I682" s="161">
        <f t="shared" si="274"/>
        <v>0</v>
      </c>
      <c r="J682" s="161">
        <f t="shared" si="272"/>
        <v>0</v>
      </c>
      <c r="L682" s="191"/>
    </row>
    <row r="683">
      <c r="B683" s="27"/>
      <c r="C683" s="27"/>
      <c r="D683" s="158" t="s">
        <v>540</v>
      </c>
      <c r="E683" s="159">
        <v>700.0</v>
      </c>
      <c r="F683" s="159">
        <v>0.0</v>
      </c>
      <c r="G683" s="159">
        <v>0.0</v>
      </c>
      <c r="H683" s="159">
        <v>0.0</v>
      </c>
      <c r="I683" s="161"/>
      <c r="J683" s="190">
        <v>0.0</v>
      </c>
      <c r="L683" s="191"/>
    </row>
    <row r="684">
      <c r="B684" s="40"/>
      <c r="C684" s="40"/>
      <c r="D684" s="158" t="s">
        <v>541</v>
      </c>
      <c r="E684" s="159">
        <v>0.0</v>
      </c>
      <c r="F684" s="159">
        <v>0.0</v>
      </c>
      <c r="G684" s="159">
        <v>0.0</v>
      </c>
      <c r="H684" s="159">
        <v>0.0</v>
      </c>
      <c r="I684" s="161"/>
      <c r="J684" s="190">
        <v>0.0</v>
      </c>
      <c r="L684" s="191"/>
    </row>
    <row r="685">
      <c r="B685" s="193" t="s">
        <v>542</v>
      </c>
      <c r="C685" s="19"/>
      <c r="D685" s="20"/>
      <c r="E685" s="194">
        <f>sum(E681:E683)</f>
        <v>518200</v>
      </c>
      <c r="F685" s="195">
        <f>SUM(F681:F684)</f>
        <v>140937</v>
      </c>
      <c r="G685" s="195">
        <f t="shared" ref="G685:G686" si="276">H685-F685</f>
        <v>4649</v>
      </c>
      <c r="H685" s="195">
        <f>H681+H682+H684</f>
        <v>145586</v>
      </c>
      <c r="I685" s="186">
        <f t="shared" ref="I685:I686" si="277">(H685-F685)/E685</f>
        <v>0.008971439599</v>
      </c>
      <c r="J685" s="186">
        <f t="shared" ref="J685:J686" si="278">H685/E685</f>
        <v>0.2809455809</v>
      </c>
      <c r="L685" s="191"/>
    </row>
    <row r="686">
      <c r="B686" s="197" t="s">
        <v>544</v>
      </c>
      <c r="C686" s="19"/>
      <c r="D686" s="20"/>
      <c r="E686" s="198">
        <f>E685+E680</f>
        <v>1518200</v>
      </c>
      <c r="F686" s="199">
        <f>F680+F685</f>
        <v>257886</v>
      </c>
      <c r="G686" s="200">
        <f t="shared" si="276"/>
        <v>66389</v>
      </c>
      <c r="H686" s="199">
        <f>H685+H680</f>
        <v>324275</v>
      </c>
      <c r="I686" s="201">
        <f t="shared" si="277"/>
        <v>0.04372875774</v>
      </c>
      <c r="J686" s="201">
        <f t="shared" si="278"/>
        <v>0.2135917534</v>
      </c>
      <c r="L686" s="191"/>
    </row>
    <row r="687">
      <c r="L687" s="191"/>
    </row>
    <row r="688">
      <c r="H688" s="169">
        <f>H662+H663+H664+H665+H666+H667+H668+H669+H670+H681</f>
        <v>177922</v>
      </c>
      <c r="J688" s="169">
        <f>H671+H672+H673+H674+H675+H676+H677+H678+H679</f>
        <v>146353</v>
      </c>
      <c r="L688" s="191"/>
    </row>
    <row r="689">
      <c r="L689" s="191"/>
    </row>
    <row r="690">
      <c r="L690" s="191"/>
    </row>
    <row r="691">
      <c r="L691" s="191"/>
    </row>
    <row r="692">
      <c r="L692" s="191"/>
    </row>
    <row r="693">
      <c r="L693" s="191"/>
    </row>
    <row r="694">
      <c r="L694" s="191"/>
    </row>
    <row r="695">
      <c r="L695" s="191"/>
    </row>
    <row r="696">
      <c r="L696" s="191"/>
    </row>
    <row r="697">
      <c r="L697" s="191"/>
    </row>
    <row r="698">
      <c r="L698" s="191"/>
    </row>
    <row r="699">
      <c r="L699" s="191"/>
    </row>
    <row r="700">
      <c r="L700" s="191"/>
    </row>
    <row r="701">
      <c r="L701" s="191"/>
    </row>
    <row r="702">
      <c r="L702" s="191"/>
    </row>
    <row r="703">
      <c r="L703" s="191"/>
    </row>
    <row r="704">
      <c r="L704" s="191"/>
    </row>
    <row r="705">
      <c r="L705" s="191"/>
    </row>
    <row r="706">
      <c r="L706" s="191"/>
    </row>
    <row r="707">
      <c r="L707" s="191"/>
    </row>
    <row r="708">
      <c r="L708" s="191"/>
    </row>
    <row r="709">
      <c r="L709" s="191"/>
    </row>
    <row r="710">
      <c r="L710" s="191"/>
    </row>
    <row r="711">
      <c r="L711" s="191"/>
    </row>
    <row r="712">
      <c r="L712" s="191"/>
    </row>
    <row r="713">
      <c r="L713" s="191"/>
    </row>
    <row r="714">
      <c r="L714" s="191"/>
    </row>
    <row r="715">
      <c r="L715" s="191"/>
    </row>
    <row r="716">
      <c r="L716" s="191"/>
    </row>
    <row r="717">
      <c r="L717" s="191"/>
    </row>
    <row r="718">
      <c r="L718" s="191"/>
    </row>
    <row r="719">
      <c r="L719" s="191"/>
    </row>
    <row r="720">
      <c r="L720" s="191"/>
    </row>
    <row r="721">
      <c r="L721" s="191"/>
    </row>
    <row r="722">
      <c r="L722" s="191"/>
    </row>
    <row r="723">
      <c r="L723" s="191"/>
    </row>
    <row r="724">
      <c r="L724" s="191"/>
    </row>
    <row r="725">
      <c r="L725" s="191"/>
    </row>
    <row r="726">
      <c r="L726" s="191"/>
    </row>
    <row r="727">
      <c r="L727" s="191"/>
    </row>
    <row r="728">
      <c r="L728" s="191"/>
    </row>
    <row r="729">
      <c r="L729" s="191"/>
    </row>
    <row r="730">
      <c r="L730" s="191"/>
    </row>
    <row r="731">
      <c r="L731" s="191"/>
    </row>
    <row r="732">
      <c r="L732" s="191"/>
    </row>
    <row r="733">
      <c r="L733" s="191"/>
    </row>
    <row r="734">
      <c r="L734" s="191"/>
    </row>
    <row r="735">
      <c r="L735" s="191"/>
    </row>
    <row r="736">
      <c r="L736" s="191"/>
    </row>
    <row r="737">
      <c r="L737" s="191"/>
    </row>
    <row r="738">
      <c r="L738" s="191"/>
    </row>
    <row r="739">
      <c r="L739" s="191"/>
    </row>
    <row r="740">
      <c r="L740" s="191"/>
    </row>
    <row r="741">
      <c r="L741" s="191"/>
    </row>
    <row r="742">
      <c r="L742" s="191"/>
    </row>
    <row r="743">
      <c r="L743" s="191"/>
    </row>
    <row r="744">
      <c r="L744" s="191"/>
    </row>
    <row r="745">
      <c r="L745" s="191"/>
    </row>
    <row r="746">
      <c r="L746" s="191"/>
    </row>
    <row r="747">
      <c r="L747" s="191"/>
    </row>
    <row r="748">
      <c r="L748" s="191"/>
    </row>
    <row r="749">
      <c r="L749" s="191"/>
    </row>
    <row r="750">
      <c r="L750" s="191"/>
    </row>
    <row r="751">
      <c r="L751" s="191"/>
    </row>
    <row r="752">
      <c r="L752" s="191"/>
    </row>
    <row r="753">
      <c r="L753" s="191"/>
    </row>
    <row r="754">
      <c r="L754" s="191"/>
    </row>
    <row r="755">
      <c r="L755" s="191"/>
    </row>
    <row r="756">
      <c r="L756" s="191"/>
    </row>
    <row r="757">
      <c r="L757" s="191"/>
    </row>
    <row r="758">
      <c r="L758" s="191"/>
    </row>
    <row r="759">
      <c r="L759" s="191"/>
    </row>
    <row r="760">
      <c r="L760" s="191"/>
    </row>
    <row r="761">
      <c r="L761" s="191"/>
    </row>
    <row r="762">
      <c r="L762" s="191"/>
    </row>
    <row r="763">
      <c r="L763" s="191"/>
    </row>
    <row r="764">
      <c r="L764" s="191"/>
    </row>
    <row r="765">
      <c r="L765" s="191"/>
    </row>
    <row r="766">
      <c r="L766" s="191"/>
    </row>
    <row r="767">
      <c r="L767" s="191"/>
    </row>
    <row r="768">
      <c r="L768" s="191"/>
    </row>
    <row r="769">
      <c r="L769" s="191"/>
    </row>
    <row r="770">
      <c r="L770" s="191"/>
    </row>
    <row r="771">
      <c r="L771" s="191"/>
    </row>
    <row r="772">
      <c r="L772" s="191"/>
    </row>
    <row r="773">
      <c r="L773" s="191"/>
    </row>
    <row r="774">
      <c r="L774" s="191"/>
    </row>
    <row r="775">
      <c r="L775" s="191"/>
    </row>
    <row r="776">
      <c r="L776" s="191"/>
    </row>
    <row r="777">
      <c r="L777" s="191"/>
    </row>
    <row r="778">
      <c r="L778" s="191"/>
    </row>
    <row r="779">
      <c r="L779" s="191"/>
    </row>
    <row r="780">
      <c r="L780" s="191"/>
    </row>
    <row r="781">
      <c r="L781" s="191"/>
    </row>
    <row r="782">
      <c r="L782" s="191"/>
    </row>
    <row r="783">
      <c r="L783" s="191"/>
    </row>
    <row r="784">
      <c r="L784" s="191"/>
    </row>
    <row r="785">
      <c r="L785" s="191"/>
    </row>
    <row r="786">
      <c r="L786" s="191"/>
    </row>
    <row r="787">
      <c r="L787" s="191"/>
    </row>
    <row r="788">
      <c r="L788" s="191"/>
    </row>
    <row r="789">
      <c r="L789" s="191"/>
    </row>
    <row r="790">
      <c r="L790" s="191"/>
    </row>
    <row r="791">
      <c r="L791" s="191"/>
    </row>
    <row r="792">
      <c r="L792" s="191"/>
    </row>
    <row r="793">
      <c r="L793" s="191"/>
    </row>
    <row r="794">
      <c r="L794" s="191"/>
    </row>
    <row r="795">
      <c r="L795" s="191"/>
    </row>
    <row r="796">
      <c r="L796" s="191"/>
    </row>
    <row r="797">
      <c r="L797" s="191"/>
    </row>
    <row r="798">
      <c r="L798" s="191"/>
    </row>
    <row r="799">
      <c r="L799" s="191"/>
    </row>
    <row r="800">
      <c r="L800" s="191"/>
    </row>
    <row r="801">
      <c r="L801" s="191"/>
    </row>
    <row r="802">
      <c r="L802" s="191"/>
    </row>
    <row r="803">
      <c r="L803" s="191"/>
    </row>
    <row r="804">
      <c r="L804" s="191"/>
    </row>
    <row r="805">
      <c r="L805" s="191"/>
    </row>
    <row r="806">
      <c r="L806" s="191"/>
    </row>
    <row r="807">
      <c r="L807" s="191"/>
    </row>
    <row r="808">
      <c r="L808" s="191"/>
    </row>
    <row r="809">
      <c r="L809" s="191"/>
    </row>
    <row r="810">
      <c r="L810" s="191"/>
    </row>
    <row r="811">
      <c r="L811" s="191"/>
    </row>
    <row r="812">
      <c r="L812" s="191"/>
    </row>
    <row r="813">
      <c r="L813" s="191"/>
    </row>
    <row r="814">
      <c r="L814" s="191"/>
    </row>
    <row r="815">
      <c r="L815" s="191"/>
    </row>
    <row r="816">
      <c r="L816" s="191"/>
    </row>
    <row r="817">
      <c r="L817" s="191"/>
    </row>
    <row r="818">
      <c r="L818" s="191"/>
    </row>
    <row r="819">
      <c r="L819" s="191"/>
    </row>
    <row r="820">
      <c r="L820" s="191"/>
    </row>
    <row r="821">
      <c r="L821" s="191"/>
    </row>
    <row r="822">
      <c r="L822" s="191"/>
    </row>
    <row r="823">
      <c r="L823" s="191"/>
    </row>
    <row r="824">
      <c r="L824" s="191"/>
    </row>
    <row r="825">
      <c r="L825" s="191"/>
    </row>
    <row r="826">
      <c r="L826" s="191"/>
    </row>
    <row r="827">
      <c r="L827" s="191"/>
    </row>
    <row r="828">
      <c r="L828" s="191"/>
    </row>
    <row r="829">
      <c r="L829" s="191"/>
    </row>
    <row r="830">
      <c r="L830" s="191"/>
    </row>
    <row r="831">
      <c r="L831" s="191"/>
    </row>
    <row r="832">
      <c r="L832" s="191"/>
    </row>
    <row r="833">
      <c r="L833" s="191"/>
    </row>
    <row r="834">
      <c r="L834" s="191"/>
    </row>
    <row r="835">
      <c r="L835" s="191"/>
    </row>
    <row r="836">
      <c r="L836" s="191"/>
    </row>
    <row r="837">
      <c r="L837" s="191"/>
    </row>
    <row r="838">
      <c r="L838" s="191"/>
    </row>
    <row r="839">
      <c r="L839" s="191"/>
    </row>
    <row r="840">
      <c r="L840" s="191"/>
    </row>
    <row r="841">
      <c r="L841" s="191"/>
    </row>
    <row r="842">
      <c r="L842" s="191"/>
    </row>
    <row r="843">
      <c r="L843" s="191"/>
    </row>
    <row r="844">
      <c r="L844" s="191"/>
    </row>
    <row r="845">
      <c r="L845" s="191"/>
    </row>
    <row r="846">
      <c r="L846" s="191"/>
    </row>
    <row r="847">
      <c r="L847" s="191"/>
    </row>
    <row r="848">
      <c r="L848" s="191"/>
    </row>
    <row r="849">
      <c r="L849" s="191"/>
    </row>
    <row r="850">
      <c r="L850" s="191"/>
    </row>
    <row r="851">
      <c r="L851" s="191"/>
    </row>
    <row r="852">
      <c r="L852" s="191"/>
    </row>
    <row r="853">
      <c r="L853" s="191"/>
    </row>
    <row r="854">
      <c r="L854" s="191"/>
    </row>
    <row r="855">
      <c r="L855" s="191"/>
    </row>
    <row r="856">
      <c r="L856" s="191"/>
    </row>
    <row r="857">
      <c r="L857" s="191"/>
    </row>
    <row r="858">
      <c r="L858" s="191"/>
    </row>
    <row r="859">
      <c r="L859" s="191"/>
    </row>
    <row r="860">
      <c r="L860" s="191"/>
    </row>
    <row r="861">
      <c r="L861" s="191"/>
    </row>
    <row r="862">
      <c r="L862" s="191"/>
    </row>
    <row r="863">
      <c r="L863" s="191"/>
    </row>
    <row r="864">
      <c r="L864" s="191"/>
    </row>
    <row r="865">
      <c r="L865" s="191"/>
    </row>
    <row r="866">
      <c r="L866" s="191"/>
    </row>
    <row r="867">
      <c r="L867" s="191"/>
    </row>
    <row r="868">
      <c r="L868" s="191"/>
    </row>
    <row r="869">
      <c r="L869" s="191"/>
    </row>
    <row r="870">
      <c r="L870" s="191"/>
    </row>
    <row r="871">
      <c r="L871" s="191"/>
    </row>
    <row r="872">
      <c r="L872" s="191"/>
    </row>
    <row r="873">
      <c r="L873" s="191"/>
    </row>
    <row r="874">
      <c r="L874" s="191"/>
    </row>
    <row r="875">
      <c r="L875" s="191"/>
    </row>
    <row r="876">
      <c r="L876" s="191"/>
    </row>
    <row r="877">
      <c r="L877" s="191"/>
    </row>
    <row r="878">
      <c r="L878" s="191"/>
    </row>
    <row r="879">
      <c r="L879" s="191"/>
    </row>
    <row r="880">
      <c r="L880" s="191"/>
    </row>
    <row r="881">
      <c r="L881" s="191"/>
    </row>
    <row r="882">
      <c r="L882" s="191"/>
    </row>
    <row r="883">
      <c r="L883" s="191"/>
    </row>
    <row r="884">
      <c r="L884" s="191"/>
    </row>
    <row r="885">
      <c r="L885" s="191"/>
    </row>
    <row r="886">
      <c r="L886" s="191"/>
    </row>
    <row r="887">
      <c r="L887" s="191"/>
    </row>
    <row r="888">
      <c r="L888" s="191"/>
    </row>
    <row r="889">
      <c r="L889" s="191"/>
    </row>
    <row r="890">
      <c r="L890" s="191"/>
    </row>
    <row r="891">
      <c r="L891" s="191"/>
    </row>
    <row r="892">
      <c r="L892" s="191"/>
    </row>
    <row r="893">
      <c r="L893" s="191"/>
    </row>
    <row r="894">
      <c r="L894" s="191"/>
    </row>
    <row r="895">
      <c r="L895" s="191"/>
    </row>
    <row r="896">
      <c r="L896" s="191"/>
    </row>
    <row r="897">
      <c r="L897" s="191"/>
    </row>
    <row r="898">
      <c r="L898" s="191"/>
    </row>
    <row r="899">
      <c r="L899" s="191"/>
    </row>
    <row r="900">
      <c r="L900" s="191"/>
    </row>
    <row r="901">
      <c r="L901" s="191"/>
    </row>
    <row r="902">
      <c r="L902" s="191"/>
    </row>
    <row r="903">
      <c r="L903" s="191"/>
    </row>
    <row r="904">
      <c r="L904" s="191"/>
    </row>
    <row r="905">
      <c r="L905" s="191"/>
    </row>
    <row r="906">
      <c r="L906" s="191"/>
    </row>
    <row r="907">
      <c r="L907" s="191"/>
    </row>
    <row r="908">
      <c r="L908" s="191"/>
    </row>
    <row r="909">
      <c r="L909" s="191"/>
    </row>
    <row r="910">
      <c r="L910" s="191"/>
    </row>
    <row r="911">
      <c r="L911" s="191"/>
    </row>
    <row r="912">
      <c r="L912" s="191"/>
    </row>
    <row r="913">
      <c r="L913" s="191"/>
    </row>
    <row r="914">
      <c r="L914" s="191"/>
    </row>
    <row r="915">
      <c r="L915" s="191"/>
    </row>
    <row r="916">
      <c r="L916" s="191"/>
    </row>
    <row r="917">
      <c r="L917" s="191"/>
    </row>
    <row r="918">
      <c r="L918" s="191"/>
    </row>
    <row r="919">
      <c r="L919" s="191"/>
    </row>
    <row r="920">
      <c r="L920" s="191"/>
    </row>
    <row r="921">
      <c r="L921" s="191"/>
    </row>
    <row r="922">
      <c r="L922" s="191"/>
    </row>
    <row r="923">
      <c r="L923" s="191"/>
    </row>
    <row r="924">
      <c r="L924" s="191"/>
    </row>
    <row r="925">
      <c r="L925" s="191"/>
    </row>
    <row r="926">
      <c r="L926" s="191"/>
    </row>
    <row r="927">
      <c r="L927" s="191"/>
    </row>
    <row r="928">
      <c r="L928" s="191"/>
    </row>
    <row r="929">
      <c r="L929" s="191"/>
    </row>
    <row r="930">
      <c r="L930" s="191"/>
    </row>
    <row r="931">
      <c r="L931" s="191"/>
    </row>
    <row r="932">
      <c r="L932" s="191"/>
    </row>
    <row r="933">
      <c r="L933" s="191"/>
    </row>
    <row r="934">
      <c r="L934" s="191"/>
    </row>
    <row r="935">
      <c r="L935" s="191"/>
    </row>
    <row r="936">
      <c r="L936" s="191"/>
    </row>
    <row r="937">
      <c r="L937" s="191"/>
    </row>
    <row r="938">
      <c r="L938" s="191"/>
    </row>
    <row r="939">
      <c r="L939" s="191"/>
    </row>
    <row r="940">
      <c r="L940" s="191"/>
    </row>
    <row r="941">
      <c r="L941" s="191"/>
    </row>
    <row r="942">
      <c r="L942" s="191"/>
    </row>
    <row r="943">
      <c r="L943" s="191"/>
    </row>
    <row r="944">
      <c r="L944" s="191"/>
    </row>
    <row r="945">
      <c r="L945" s="191"/>
    </row>
    <row r="946">
      <c r="L946" s="191"/>
    </row>
    <row r="947">
      <c r="L947" s="191"/>
    </row>
    <row r="948">
      <c r="L948" s="191"/>
    </row>
    <row r="949">
      <c r="L949" s="191"/>
    </row>
    <row r="950">
      <c r="L950" s="191"/>
    </row>
    <row r="951">
      <c r="L951" s="191"/>
    </row>
    <row r="952">
      <c r="L952" s="191"/>
    </row>
    <row r="953">
      <c r="L953" s="191"/>
    </row>
    <row r="954">
      <c r="L954" s="191"/>
    </row>
    <row r="955">
      <c r="L955" s="191"/>
    </row>
    <row r="956">
      <c r="L956" s="191"/>
    </row>
    <row r="957">
      <c r="L957" s="191"/>
    </row>
    <row r="958">
      <c r="L958" s="191"/>
    </row>
    <row r="959">
      <c r="L959" s="191"/>
    </row>
    <row r="960">
      <c r="L960" s="191"/>
    </row>
    <row r="961">
      <c r="L961" s="191"/>
    </row>
    <row r="962">
      <c r="L962" s="191"/>
    </row>
    <row r="963">
      <c r="L963" s="191"/>
    </row>
    <row r="964">
      <c r="L964" s="191"/>
    </row>
    <row r="965">
      <c r="L965" s="191"/>
    </row>
    <row r="966">
      <c r="L966" s="191"/>
    </row>
    <row r="967">
      <c r="L967" s="191"/>
    </row>
    <row r="968">
      <c r="L968" s="191"/>
    </row>
    <row r="969">
      <c r="L969" s="191"/>
    </row>
    <row r="970">
      <c r="L970" s="191"/>
    </row>
    <row r="971">
      <c r="L971" s="191"/>
    </row>
    <row r="972">
      <c r="L972" s="191"/>
    </row>
    <row r="973">
      <c r="L973" s="191"/>
    </row>
    <row r="974">
      <c r="L974" s="191"/>
    </row>
    <row r="975">
      <c r="L975" s="191"/>
    </row>
    <row r="976">
      <c r="L976" s="191"/>
    </row>
    <row r="977">
      <c r="L977" s="191"/>
    </row>
    <row r="978">
      <c r="L978" s="191"/>
    </row>
    <row r="979">
      <c r="L979" s="191"/>
    </row>
    <row r="980">
      <c r="L980" s="191"/>
    </row>
    <row r="981">
      <c r="L981" s="191"/>
    </row>
    <row r="982">
      <c r="L982" s="191"/>
    </row>
    <row r="983">
      <c r="L983" s="191"/>
    </row>
    <row r="984">
      <c r="L984" s="191"/>
    </row>
    <row r="985">
      <c r="L985" s="191"/>
    </row>
    <row r="986">
      <c r="L986" s="191"/>
    </row>
    <row r="987">
      <c r="L987" s="191"/>
    </row>
    <row r="988">
      <c r="L988" s="191"/>
    </row>
    <row r="989">
      <c r="L989" s="191"/>
    </row>
    <row r="990">
      <c r="L990" s="191"/>
    </row>
    <row r="991">
      <c r="L991" s="191"/>
    </row>
    <row r="992">
      <c r="L992" s="191"/>
    </row>
    <row r="993">
      <c r="L993" s="191"/>
    </row>
    <row r="994">
      <c r="L994" s="191"/>
    </row>
    <row r="995">
      <c r="L995" s="191"/>
    </row>
    <row r="996">
      <c r="L996" s="191"/>
    </row>
    <row r="997">
      <c r="L997" s="191"/>
    </row>
    <row r="998">
      <c r="L998" s="191"/>
    </row>
    <row r="999">
      <c r="L999" s="191"/>
    </row>
    <row r="1000">
      <c r="L1000" s="191"/>
    </row>
    <row r="1001">
      <c r="L1001" s="191"/>
    </row>
    <row r="1002">
      <c r="L1002" s="191"/>
    </row>
    <row r="1003">
      <c r="L1003" s="191"/>
    </row>
    <row r="1004">
      <c r="L1004" s="191"/>
    </row>
    <row r="1005">
      <c r="L1005" s="191"/>
    </row>
  </sheetData>
  <mergeCells count="267">
    <mergeCell ref="F35:I35"/>
    <mergeCell ref="F36:I36"/>
    <mergeCell ref="F37:I37"/>
    <mergeCell ref="F38:I38"/>
    <mergeCell ref="F39:I39"/>
    <mergeCell ref="B22:B25"/>
    <mergeCell ref="C22:C25"/>
    <mergeCell ref="B26:D26"/>
    <mergeCell ref="B27:D27"/>
    <mergeCell ref="F32:I32"/>
    <mergeCell ref="F33:I33"/>
    <mergeCell ref="F34:I34"/>
    <mergeCell ref="B2:B10"/>
    <mergeCell ref="C2:C5"/>
    <mergeCell ref="C6:C7"/>
    <mergeCell ref="C8:C10"/>
    <mergeCell ref="B11:B19"/>
    <mergeCell ref="C11:C19"/>
    <mergeCell ref="B20:D20"/>
    <mergeCell ref="B43:B48"/>
    <mergeCell ref="C43:C44"/>
    <mergeCell ref="C45:C46"/>
    <mergeCell ref="C47:C48"/>
    <mergeCell ref="B49:B55"/>
    <mergeCell ref="C49:C55"/>
    <mergeCell ref="B56:D56"/>
    <mergeCell ref="B58:B60"/>
    <mergeCell ref="C58:C60"/>
    <mergeCell ref="B61:D61"/>
    <mergeCell ref="B62:D62"/>
    <mergeCell ref="B66:B74"/>
    <mergeCell ref="C66:C69"/>
    <mergeCell ref="E68:E69"/>
    <mergeCell ref="C70:C71"/>
    <mergeCell ref="C72:C74"/>
    <mergeCell ref="B75:B83"/>
    <mergeCell ref="C75:C83"/>
    <mergeCell ref="B84:D84"/>
    <mergeCell ref="B86:B88"/>
    <mergeCell ref="C86:C88"/>
    <mergeCell ref="C122:C125"/>
    <mergeCell ref="E124:E125"/>
    <mergeCell ref="B89:D89"/>
    <mergeCell ref="B90:D90"/>
    <mergeCell ref="B94:B102"/>
    <mergeCell ref="C94:C97"/>
    <mergeCell ref="C98:C99"/>
    <mergeCell ref="C100:C102"/>
    <mergeCell ref="B103:B111"/>
    <mergeCell ref="C103:C111"/>
    <mergeCell ref="B112:D112"/>
    <mergeCell ref="B114:B116"/>
    <mergeCell ref="C114:C116"/>
    <mergeCell ref="B117:D117"/>
    <mergeCell ref="B118:D118"/>
    <mergeCell ref="B122:B129"/>
    <mergeCell ref="C126:C127"/>
    <mergeCell ref="C128:C129"/>
    <mergeCell ref="B131:B138"/>
    <mergeCell ref="C131:C138"/>
    <mergeCell ref="B140:D140"/>
    <mergeCell ref="B142:B144"/>
    <mergeCell ref="C142:C144"/>
    <mergeCell ref="B145:D145"/>
    <mergeCell ref="B146:D146"/>
    <mergeCell ref="B150:B158"/>
    <mergeCell ref="C150:C153"/>
    <mergeCell ref="C154:C155"/>
    <mergeCell ref="C156:C158"/>
    <mergeCell ref="B159:B167"/>
    <mergeCell ref="C183:C186"/>
    <mergeCell ref="E185:E186"/>
    <mergeCell ref="C159:C167"/>
    <mergeCell ref="B168:D168"/>
    <mergeCell ref="B170:B173"/>
    <mergeCell ref="C170:C173"/>
    <mergeCell ref="B174:D174"/>
    <mergeCell ref="B175:D175"/>
    <mergeCell ref="B183:B191"/>
    <mergeCell ref="C187:C188"/>
    <mergeCell ref="C189:C191"/>
    <mergeCell ref="B192:B200"/>
    <mergeCell ref="C192:C200"/>
    <mergeCell ref="B201:D201"/>
    <mergeCell ref="B203:B206"/>
    <mergeCell ref="C203:C206"/>
    <mergeCell ref="B207:D207"/>
    <mergeCell ref="B208:D208"/>
    <mergeCell ref="B213:B221"/>
    <mergeCell ref="C213:C216"/>
    <mergeCell ref="E215:E216"/>
    <mergeCell ref="C217:C218"/>
    <mergeCell ref="C219:C221"/>
    <mergeCell ref="B243:B251"/>
    <mergeCell ref="C243:C246"/>
    <mergeCell ref="E245:E246"/>
    <mergeCell ref="J245:J246"/>
    <mergeCell ref="C247:C248"/>
    <mergeCell ref="C249:C251"/>
    <mergeCell ref="B222:B230"/>
    <mergeCell ref="C222:C230"/>
    <mergeCell ref="B231:D231"/>
    <mergeCell ref="B233:B236"/>
    <mergeCell ref="C233:C236"/>
    <mergeCell ref="B237:D237"/>
    <mergeCell ref="B238:D238"/>
    <mergeCell ref="B252:B260"/>
    <mergeCell ref="C252:C260"/>
    <mergeCell ref="B261:D261"/>
    <mergeCell ref="B263:B265"/>
    <mergeCell ref="C263:C265"/>
    <mergeCell ref="B266:D266"/>
    <mergeCell ref="B267:D267"/>
    <mergeCell ref="B278:B286"/>
    <mergeCell ref="C278:C281"/>
    <mergeCell ref="C282:C283"/>
    <mergeCell ref="C284:C286"/>
    <mergeCell ref="B287:B295"/>
    <mergeCell ref="C287:C295"/>
    <mergeCell ref="B296:D296"/>
    <mergeCell ref="B298:B301"/>
    <mergeCell ref="C298:C301"/>
    <mergeCell ref="B302:D302"/>
    <mergeCell ref="B303:D303"/>
    <mergeCell ref="C308:C311"/>
    <mergeCell ref="C312:C313"/>
    <mergeCell ref="C314:C316"/>
    <mergeCell ref="B347:B355"/>
    <mergeCell ref="B357:B360"/>
    <mergeCell ref="C357:C360"/>
    <mergeCell ref="B361:D361"/>
    <mergeCell ref="B362:D362"/>
    <mergeCell ref="C463:C471"/>
    <mergeCell ref="C473:C476"/>
    <mergeCell ref="C444:C447"/>
    <mergeCell ref="B448:D448"/>
    <mergeCell ref="B449:D449"/>
    <mergeCell ref="C454:C457"/>
    <mergeCell ref="C458:C459"/>
    <mergeCell ref="C460:C462"/>
    <mergeCell ref="B472:D472"/>
    <mergeCell ref="B308:B316"/>
    <mergeCell ref="B317:B325"/>
    <mergeCell ref="C317:C325"/>
    <mergeCell ref="B326:D326"/>
    <mergeCell ref="C328:C331"/>
    <mergeCell ref="B332:D332"/>
    <mergeCell ref="B333:D333"/>
    <mergeCell ref="B328:B331"/>
    <mergeCell ref="B338:B346"/>
    <mergeCell ref="C338:C341"/>
    <mergeCell ref="C342:C343"/>
    <mergeCell ref="C344:C346"/>
    <mergeCell ref="C347:C355"/>
    <mergeCell ref="B356:D356"/>
    <mergeCell ref="B367:B375"/>
    <mergeCell ref="C367:C370"/>
    <mergeCell ref="C371:C372"/>
    <mergeCell ref="C373:C375"/>
    <mergeCell ref="B376:B384"/>
    <mergeCell ref="C376:C384"/>
    <mergeCell ref="B385:D385"/>
    <mergeCell ref="B386:B389"/>
    <mergeCell ref="C386:C389"/>
    <mergeCell ref="B390:D390"/>
    <mergeCell ref="B391:D391"/>
    <mergeCell ref="C395:C398"/>
    <mergeCell ref="C399:C400"/>
    <mergeCell ref="C401:C403"/>
    <mergeCell ref="B395:B403"/>
    <mergeCell ref="B404:B412"/>
    <mergeCell ref="C404:C412"/>
    <mergeCell ref="B413:D413"/>
    <mergeCell ref="C415:C418"/>
    <mergeCell ref="B419:D419"/>
    <mergeCell ref="B420:D420"/>
    <mergeCell ref="B415:B418"/>
    <mergeCell ref="B425:B433"/>
    <mergeCell ref="C425:C428"/>
    <mergeCell ref="C429:C430"/>
    <mergeCell ref="C431:C433"/>
    <mergeCell ref="C434:C442"/>
    <mergeCell ref="B443:D443"/>
    <mergeCell ref="B434:B442"/>
    <mergeCell ref="B444:B447"/>
    <mergeCell ref="B454:B462"/>
    <mergeCell ref="B463:B471"/>
    <mergeCell ref="B473:B476"/>
    <mergeCell ref="B477:D477"/>
    <mergeCell ref="B478:D478"/>
    <mergeCell ref="B622:B625"/>
    <mergeCell ref="B632:B640"/>
    <mergeCell ref="B641:B649"/>
    <mergeCell ref="B652:B655"/>
    <mergeCell ref="B662:B670"/>
    <mergeCell ref="B671:B679"/>
    <mergeCell ref="B681:B684"/>
    <mergeCell ref="B551:B559"/>
    <mergeCell ref="B562:B565"/>
    <mergeCell ref="B572:B580"/>
    <mergeCell ref="B581:B589"/>
    <mergeCell ref="B592:B595"/>
    <mergeCell ref="B602:B610"/>
    <mergeCell ref="B611:B619"/>
    <mergeCell ref="C632:C635"/>
    <mergeCell ref="C636:C637"/>
    <mergeCell ref="C638:C640"/>
    <mergeCell ref="C641:C649"/>
    <mergeCell ref="B650:D650"/>
    <mergeCell ref="B656:D656"/>
    <mergeCell ref="B657:D657"/>
    <mergeCell ref="B685:D685"/>
    <mergeCell ref="B686:D686"/>
    <mergeCell ref="C652:C655"/>
    <mergeCell ref="C662:C665"/>
    <mergeCell ref="C666:C667"/>
    <mergeCell ref="C668:C670"/>
    <mergeCell ref="C671:C679"/>
    <mergeCell ref="B680:D680"/>
    <mergeCell ref="C681:C684"/>
    <mergeCell ref="B483:B491"/>
    <mergeCell ref="C483:C486"/>
    <mergeCell ref="C487:C488"/>
    <mergeCell ref="C489:C491"/>
    <mergeCell ref="B492:B500"/>
    <mergeCell ref="C492:C500"/>
    <mergeCell ref="B501:D501"/>
    <mergeCell ref="B503:B506"/>
    <mergeCell ref="C503:C506"/>
    <mergeCell ref="B507:D507"/>
    <mergeCell ref="B508:D508"/>
    <mergeCell ref="C512:C515"/>
    <mergeCell ref="C516:C517"/>
    <mergeCell ref="C518:C520"/>
    <mergeCell ref="B512:B520"/>
    <mergeCell ref="B521:B529"/>
    <mergeCell ref="C521:C529"/>
    <mergeCell ref="B530:D530"/>
    <mergeCell ref="C532:C535"/>
    <mergeCell ref="B536:D536"/>
    <mergeCell ref="B537:D537"/>
    <mergeCell ref="B532:B535"/>
    <mergeCell ref="B542:B550"/>
    <mergeCell ref="C542:C545"/>
    <mergeCell ref="C546:C547"/>
    <mergeCell ref="C548:C550"/>
    <mergeCell ref="C551:C559"/>
    <mergeCell ref="B560:D560"/>
    <mergeCell ref="B596:D596"/>
    <mergeCell ref="B597:D597"/>
    <mergeCell ref="B620:D620"/>
    <mergeCell ref="B626:D626"/>
    <mergeCell ref="B627:D627"/>
    <mergeCell ref="C562:C565"/>
    <mergeCell ref="B566:D566"/>
    <mergeCell ref="B567:D567"/>
    <mergeCell ref="C572:C575"/>
    <mergeCell ref="C576:C577"/>
    <mergeCell ref="C578:C580"/>
    <mergeCell ref="B590:D590"/>
    <mergeCell ref="C581:C589"/>
    <mergeCell ref="C592:C595"/>
    <mergeCell ref="C602:C605"/>
    <mergeCell ref="C606:C607"/>
    <mergeCell ref="C608:C610"/>
    <mergeCell ref="C611:C619"/>
    <mergeCell ref="C622:C6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3" max="3" width="22.75"/>
    <col customWidth="1" min="5" max="5" width="27.88"/>
    <col customWidth="1" min="6" max="7" width="25.88"/>
    <col customWidth="1" min="8" max="8" width="35.88"/>
    <col customWidth="1" min="9" max="9" width="59.63"/>
    <col customWidth="1" min="14" max="14" width="22.88"/>
    <col customWidth="1" min="15" max="15" width="25.63"/>
    <col customWidth="1" min="16" max="16" width="41.13"/>
    <col customWidth="1" min="17" max="17" width="15.38"/>
  </cols>
  <sheetData>
    <row r="1">
      <c r="I1" s="310"/>
      <c r="S1" s="311"/>
    </row>
    <row r="2">
      <c r="A2" s="248" t="s">
        <v>595</v>
      </c>
      <c r="I2" s="310"/>
      <c r="S2" s="311"/>
    </row>
    <row r="3">
      <c r="I3" s="310"/>
      <c r="S3" s="311"/>
    </row>
    <row r="4">
      <c r="A4" s="312" t="s">
        <v>596</v>
      </c>
      <c r="B4" s="19"/>
      <c r="C4" s="20"/>
      <c r="D4" s="313" t="s">
        <v>548</v>
      </c>
      <c r="E4" s="314" t="s">
        <v>597</v>
      </c>
      <c r="F4" s="314" t="s">
        <v>598</v>
      </c>
      <c r="G4" s="315" t="s">
        <v>503</v>
      </c>
      <c r="H4" s="314" t="s">
        <v>599</v>
      </c>
      <c r="I4" s="316" t="s">
        <v>11</v>
      </c>
      <c r="Q4" s="317" t="s">
        <v>548</v>
      </c>
      <c r="R4" s="317" t="s">
        <v>600</v>
      </c>
      <c r="S4" s="311"/>
    </row>
    <row r="5">
      <c r="A5" s="318" t="s">
        <v>601</v>
      </c>
      <c r="B5" s="319" t="s">
        <v>602</v>
      </c>
      <c r="C5" s="320" t="s">
        <v>603</v>
      </c>
      <c r="D5" s="321">
        <v>518.0</v>
      </c>
      <c r="E5" s="322">
        <v>0.0</v>
      </c>
      <c r="F5" s="322">
        <v>0.0</v>
      </c>
      <c r="G5" s="322">
        <v>0.0</v>
      </c>
      <c r="H5" s="322" t="s">
        <v>0</v>
      </c>
      <c r="I5" s="323"/>
      <c r="N5" s="324" t="s">
        <v>601</v>
      </c>
      <c r="O5" s="324" t="s">
        <v>602</v>
      </c>
      <c r="P5" s="325" t="s">
        <v>603</v>
      </c>
      <c r="Q5" s="326">
        <v>518.0</v>
      </c>
      <c r="R5" s="327">
        <f>'PENDATAAN PERUMAHAN'!J229</f>
        <v>25</v>
      </c>
      <c r="S5" s="328">
        <f t="shared" ref="S5:S6" si="1">R5/Q5</f>
        <v>0.04826254826</v>
      </c>
    </row>
    <row r="6">
      <c r="A6" s="27"/>
      <c r="B6" s="27"/>
      <c r="C6" s="320" t="s">
        <v>604</v>
      </c>
      <c r="D6" s="321">
        <v>217500.0</v>
      </c>
      <c r="E6" s="320">
        <v>92569.0</v>
      </c>
      <c r="F6" s="329">
        <f t="shared" ref="F6:F17" si="2">G6-E6</f>
        <v>53017</v>
      </c>
      <c r="G6" s="329">
        <f>'PENDATAAN PERUMAHAN'!E229</f>
        <v>145586</v>
      </c>
      <c r="H6" s="330">
        <f>G6/D6</f>
        <v>0.6693609195</v>
      </c>
      <c r="I6" s="331"/>
      <c r="N6" s="27"/>
      <c r="O6" s="27"/>
      <c r="P6" s="325" t="s">
        <v>604</v>
      </c>
      <c r="Q6" s="326">
        <v>217500.0</v>
      </c>
      <c r="R6" s="327">
        <f>'PENDATAAN PERUMAHAN'!E229</f>
        <v>145586</v>
      </c>
      <c r="S6" s="328">
        <f t="shared" si="1"/>
        <v>0.6693609195</v>
      </c>
    </row>
    <row r="7">
      <c r="A7" s="27"/>
      <c r="B7" s="27"/>
      <c r="C7" s="320" t="s">
        <v>33</v>
      </c>
      <c r="D7" s="321">
        <v>0.0</v>
      </c>
      <c r="E7" s="320">
        <v>67.0</v>
      </c>
      <c r="F7" s="329">
        <f t="shared" si="2"/>
        <v>6</v>
      </c>
      <c r="G7" s="329">
        <f>'PENDATAAN PERUMAHAN'!K229</f>
        <v>73</v>
      </c>
      <c r="H7" s="330">
        <f>G7/131</f>
        <v>0.5572519084</v>
      </c>
      <c r="I7" s="332" t="s">
        <v>605</v>
      </c>
      <c r="N7" s="27"/>
      <c r="O7" s="27"/>
      <c r="P7" s="325" t="s">
        <v>33</v>
      </c>
      <c r="Q7" s="326">
        <v>0.0</v>
      </c>
      <c r="R7" s="327">
        <f>'PENDATAAN PERUMAHAN'!K229</f>
        <v>73</v>
      </c>
      <c r="S7" s="328">
        <v>1.0</v>
      </c>
    </row>
    <row r="8">
      <c r="A8" s="27"/>
      <c r="B8" s="27"/>
      <c r="C8" s="320" t="s">
        <v>606</v>
      </c>
      <c r="D8" s="321">
        <v>0.0</v>
      </c>
      <c r="E8" s="320">
        <v>0.0</v>
      </c>
      <c r="F8" s="329">
        <f t="shared" si="2"/>
        <v>0</v>
      </c>
      <c r="G8" s="320">
        <v>0.0</v>
      </c>
      <c r="H8" s="330"/>
      <c r="I8" s="331"/>
      <c r="N8" s="27"/>
      <c r="O8" s="27"/>
      <c r="P8" s="325" t="s">
        <v>606</v>
      </c>
      <c r="Q8" s="326">
        <v>0.0</v>
      </c>
      <c r="R8" s="327">
        <v>0.0</v>
      </c>
      <c r="S8" s="328">
        <v>0.0</v>
      </c>
    </row>
    <row r="9">
      <c r="A9" s="27"/>
      <c r="B9" s="27"/>
      <c r="C9" s="320" t="s">
        <v>607</v>
      </c>
      <c r="D9" s="321">
        <v>2500.0</v>
      </c>
      <c r="E9" s="320">
        <v>4222.0</v>
      </c>
      <c r="F9" s="329">
        <f t="shared" si="2"/>
        <v>805</v>
      </c>
      <c r="G9" s="333">
        <f>'PENDATAAN PERUMAHAN'!M229</f>
        <v>5027</v>
      </c>
      <c r="H9" s="330">
        <f>G9/D9</f>
        <v>2.0108</v>
      </c>
      <c r="I9" s="331"/>
      <c r="N9" s="27"/>
      <c r="O9" s="27"/>
      <c r="P9" s="325" t="s">
        <v>607</v>
      </c>
      <c r="Q9" s="326">
        <v>2500.0</v>
      </c>
      <c r="R9" s="327">
        <f>'PENDATAAN PERUMAHAN'!M229</f>
        <v>5027</v>
      </c>
      <c r="S9" s="328">
        <f>R9/Q9</f>
        <v>2.0108</v>
      </c>
    </row>
    <row r="10">
      <c r="A10" s="27"/>
      <c r="B10" s="40"/>
      <c r="C10" s="320" t="s">
        <v>608</v>
      </c>
      <c r="D10" s="321">
        <v>0.0</v>
      </c>
      <c r="E10" s="320">
        <v>421.0</v>
      </c>
      <c r="F10" s="329">
        <f t="shared" si="2"/>
        <v>575</v>
      </c>
      <c r="G10" s="334">
        <f>'PENDATAAN PERUMAHAN'!L229</f>
        <v>996</v>
      </c>
      <c r="H10" s="330">
        <f>G10/409</f>
        <v>2.435207824</v>
      </c>
      <c r="I10" s="332" t="s">
        <v>609</v>
      </c>
      <c r="J10" s="249">
        <f>sum(D5:D17)</f>
        <v>958918</v>
      </c>
      <c r="N10" s="27"/>
      <c r="O10" s="40"/>
      <c r="P10" s="325" t="s">
        <v>610</v>
      </c>
      <c r="Q10" s="326" t="s">
        <v>0</v>
      </c>
      <c r="R10" s="327">
        <f>'PENDATAAN PERUMAHAN'!L229</f>
        <v>996</v>
      </c>
      <c r="S10" s="328">
        <v>1.0</v>
      </c>
    </row>
    <row r="11">
      <c r="A11" s="27"/>
      <c r="B11" s="335" t="s">
        <v>611</v>
      </c>
      <c r="C11" s="320" t="s">
        <v>612</v>
      </c>
      <c r="D11" s="321">
        <v>160000.0</v>
      </c>
      <c r="E11" s="320">
        <v>14413.0</v>
      </c>
      <c r="F11" s="329">
        <f t="shared" si="2"/>
        <v>1626</v>
      </c>
      <c r="G11" s="333">
        <f>'PENDATAAN PERUMAHAN'!F229</f>
        <v>16039</v>
      </c>
      <c r="H11" s="330">
        <f t="shared" ref="H11:H14" si="3">G11/D11</f>
        <v>0.10024375</v>
      </c>
      <c r="I11" s="331"/>
      <c r="K11" s="317" t="s">
        <v>583</v>
      </c>
      <c r="L11" s="317">
        <v>326.0</v>
      </c>
      <c r="N11" s="27"/>
      <c r="O11" s="336" t="s">
        <v>611</v>
      </c>
      <c r="P11" s="325" t="s">
        <v>613</v>
      </c>
      <c r="Q11" s="326">
        <v>160000.0</v>
      </c>
      <c r="R11" s="327">
        <f>'PENDATAAN PERUMAHAN'!F229</f>
        <v>16039</v>
      </c>
      <c r="S11" s="328">
        <f t="shared" ref="S11:S14" si="4">R11/Q11</f>
        <v>0.10024375</v>
      </c>
    </row>
    <row r="12">
      <c r="A12" s="27"/>
      <c r="B12" s="40"/>
      <c r="C12" s="320" t="s">
        <v>614</v>
      </c>
      <c r="D12" s="321">
        <v>80000.0</v>
      </c>
      <c r="E12" s="320">
        <v>177.0</v>
      </c>
      <c r="F12" s="329">
        <f t="shared" si="2"/>
        <v>0</v>
      </c>
      <c r="G12" s="333">
        <f>'PENDATAAN PERUMAHAN'!G229</f>
        <v>177</v>
      </c>
      <c r="H12" s="330">
        <f t="shared" si="3"/>
        <v>0.0022125</v>
      </c>
      <c r="I12" s="331"/>
      <c r="K12" s="317" t="s">
        <v>584</v>
      </c>
      <c r="L12" s="317">
        <v>1825.0</v>
      </c>
      <c r="N12" s="27"/>
      <c r="O12" s="40"/>
      <c r="P12" s="325" t="s">
        <v>614</v>
      </c>
      <c r="Q12" s="326">
        <v>80000.0</v>
      </c>
      <c r="R12" s="327">
        <f>'PENDATAAN PERUMAHAN'!G229</f>
        <v>177</v>
      </c>
      <c r="S12" s="328">
        <f t="shared" si="4"/>
        <v>0.0022125</v>
      </c>
    </row>
    <row r="13">
      <c r="A13" s="27"/>
      <c r="B13" s="337" t="s">
        <v>615</v>
      </c>
      <c r="C13" s="320" t="s">
        <v>616</v>
      </c>
      <c r="D13" s="321">
        <v>850.0</v>
      </c>
      <c r="E13" s="320">
        <v>293.0</v>
      </c>
      <c r="F13" s="329">
        <f t="shared" si="2"/>
        <v>17</v>
      </c>
      <c r="G13" s="329">
        <f>L11-G14</f>
        <v>310</v>
      </c>
      <c r="H13" s="330">
        <f t="shared" si="3"/>
        <v>0.3647058824</v>
      </c>
      <c r="I13" s="332"/>
      <c r="K13" s="317" t="s">
        <v>491</v>
      </c>
      <c r="L13" s="249">
        <f>L11+L12</f>
        <v>2151</v>
      </c>
      <c r="N13" s="27"/>
      <c r="O13" s="324" t="s">
        <v>615</v>
      </c>
      <c r="P13" s="325" t="s">
        <v>616</v>
      </c>
      <c r="Q13" s="326">
        <v>850.0</v>
      </c>
      <c r="R13" s="327">
        <f>'PENDATAAN PERUMAHAN'!I229</f>
        <v>1725</v>
      </c>
      <c r="S13" s="328">
        <f t="shared" si="4"/>
        <v>2.029411765</v>
      </c>
    </row>
    <row r="14">
      <c r="A14" s="27"/>
      <c r="B14" s="27"/>
      <c r="C14" s="320" t="s">
        <v>519</v>
      </c>
      <c r="D14" s="321">
        <v>50.0</v>
      </c>
      <c r="E14" s="320">
        <v>16.0</v>
      </c>
      <c r="F14" s="329">
        <f t="shared" si="2"/>
        <v>0</v>
      </c>
      <c r="G14" s="320">
        <v>16.0</v>
      </c>
      <c r="H14" s="330">
        <f t="shared" si="3"/>
        <v>0.32</v>
      </c>
      <c r="I14" s="331"/>
      <c r="N14" s="27"/>
      <c r="O14" s="27"/>
      <c r="P14" s="325" t="s">
        <v>519</v>
      </c>
      <c r="Q14" s="326">
        <v>50.0</v>
      </c>
      <c r="R14" s="327">
        <f>'PENDATAAN PERUMAHAN'!T229</f>
        <v>0</v>
      </c>
      <c r="S14" s="328">
        <f t="shared" si="4"/>
        <v>0</v>
      </c>
    </row>
    <row r="15">
      <c r="A15" s="27"/>
      <c r="B15" s="40"/>
      <c r="C15" s="320" t="s">
        <v>617</v>
      </c>
      <c r="D15" s="321">
        <v>0.0</v>
      </c>
      <c r="E15" s="320">
        <v>0.0</v>
      </c>
      <c r="F15" s="329">
        <f t="shared" si="2"/>
        <v>0</v>
      </c>
      <c r="G15" s="320">
        <v>0.0</v>
      </c>
      <c r="H15" s="330">
        <v>0.0</v>
      </c>
      <c r="I15" s="331"/>
      <c r="N15" s="27"/>
      <c r="O15" s="40"/>
      <c r="P15" s="325" t="s">
        <v>617</v>
      </c>
      <c r="Q15" s="326" t="s">
        <v>0</v>
      </c>
      <c r="R15" s="327" t="s">
        <v>0</v>
      </c>
      <c r="S15" s="328">
        <v>0.0</v>
      </c>
    </row>
    <row r="16">
      <c r="A16" s="27"/>
      <c r="B16" s="338" t="s">
        <v>618</v>
      </c>
      <c r="C16" s="20"/>
      <c r="D16" s="321">
        <v>197500.0</v>
      </c>
      <c r="E16" s="320">
        <v>7040.0</v>
      </c>
      <c r="F16" s="329">
        <f t="shared" si="2"/>
        <v>2404</v>
      </c>
      <c r="G16" s="333">
        <f>'PENDATAAN PERUMAHAN'!H229</f>
        <v>9444</v>
      </c>
      <c r="H16" s="330">
        <f t="shared" ref="H16:H17" si="5">G16/D16</f>
        <v>0.04781772152</v>
      </c>
      <c r="I16" s="331"/>
      <c r="J16" s="169">
        <f>SUM(G7:G17)</f>
        <v>32082</v>
      </c>
      <c r="N16" s="27"/>
      <c r="O16" s="339" t="s">
        <v>618</v>
      </c>
      <c r="P16" s="20"/>
      <c r="Q16" s="326">
        <v>197500.0</v>
      </c>
      <c r="R16" s="327">
        <f>'PENDATAAN PERUMAHAN'!H229</f>
        <v>9444</v>
      </c>
      <c r="S16" s="328">
        <f t="shared" ref="S16:S17" si="6">R16/Q16</f>
        <v>0.04781772152</v>
      </c>
    </row>
    <row r="17">
      <c r="A17" s="40"/>
      <c r="B17" s="338" t="s">
        <v>619</v>
      </c>
      <c r="C17" s="20"/>
      <c r="D17" s="321">
        <v>300000.0</v>
      </c>
      <c r="E17" s="320">
        <v>0.0</v>
      </c>
      <c r="F17" s="329">
        <f t="shared" si="2"/>
        <v>0</v>
      </c>
      <c r="G17" s="320">
        <v>0.0</v>
      </c>
      <c r="H17" s="330">
        <f t="shared" si="5"/>
        <v>0</v>
      </c>
      <c r="I17" s="331"/>
      <c r="J17" s="169">
        <f>SUM(G6:G17)</f>
        <v>177668</v>
      </c>
      <c r="N17" s="40"/>
      <c r="O17" s="339" t="s">
        <v>619</v>
      </c>
      <c r="P17" s="20"/>
      <c r="Q17" s="326">
        <v>300000.0</v>
      </c>
      <c r="R17" s="327">
        <v>0.0</v>
      </c>
      <c r="S17" s="328">
        <f t="shared" si="6"/>
        <v>0</v>
      </c>
    </row>
    <row r="18">
      <c r="A18" s="340"/>
      <c r="B18" s="19"/>
      <c r="C18" s="19"/>
      <c r="D18" s="19"/>
      <c r="E18" s="19"/>
      <c r="F18" s="19"/>
      <c r="G18" s="19"/>
      <c r="H18" s="19"/>
      <c r="I18" s="20"/>
      <c r="N18" s="341"/>
      <c r="O18" s="342"/>
      <c r="P18" s="342"/>
      <c r="Q18" s="343"/>
      <c r="R18" s="327" t="s">
        <v>0</v>
      </c>
      <c r="S18" s="328"/>
    </row>
    <row r="19">
      <c r="A19" s="318" t="s">
        <v>620</v>
      </c>
      <c r="B19" s="337" t="s">
        <v>602</v>
      </c>
      <c r="C19" s="320" t="s">
        <v>603</v>
      </c>
      <c r="D19" s="321">
        <v>15110.0</v>
      </c>
      <c r="E19" s="320">
        <v>0.0</v>
      </c>
      <c r="F19" s="334">
        <f t="shared" ref="F19:F29" si="7">G19-E19</f>
        <v>0</v>
      </c>
      <c r="G19" s="334">
        <f>'PENDATAAN PERUMAHAN'!N229</f>
        <v>0</v>
      </c>
      <c r="H19" s="330">
        <f t="shared" ref="H19:H21" si="8">G19/D19</f>
        <v>0</v>
      </c>
      <c r="I19" s="331"/>
      <c r="N19" s="324" t="s">
        <v>621</v>
      </c>
      <c r="O19" s="324" t="s">
        <v>602</v>
      </c>
      <c r="P19" s="325" t="s">
        <v>622</v>
      </c>
      <c r="Q19" s="326">
        <v>15110.0</v>
      </c>
      <c r="R19" s="327">
        <f>'PENDATAAN PERUMAHAN'!N229</f>
        <v>0</v>
      </c>
      <c r="S19" s="328">
        <f t="shared" ref="S19:S26" si="9">R19/Q19</f>
        <v>0</v>
      </c>
    </row>
    <row r="20">
      <c r="A20" s="27"/>
      <c r="B20" s="27"/>
      <c r="C20" s="320" t="s">
        <v>623</v>
      </c>
      <c r="D20" s="321">
        <v>675.0</v>
      </c>
      <c r="E20" s="320">
        <v>79.0</v>
      </c>
      <c r="F20" s="334">
        <f t="shared" si="7"/>
        <v>0</v>
      </c>
      <c r="G20" s="320">
        <f>'PENDATAAN PERUMAHAN'!P229</f>
        <v>79</v>
      </c>
      <c r="H20" s="330">
        <f t="shared" si="8"/>
        <v>0.117037037</v>
      </c>
      <c r="I20" s="331"/>
      <c r="N20" s="27"/>
      <c r="O20" s="27"/>
      <c r="P20" s="325" t="s">
        <v>623</v>
      </c>
      <c r="Q20" s="326">
        <v>675.0</v>
      </c>
      <c r="R20" s="327">
        <f>'PENDATAAN PERUMAHAN'!P229</f>
        <v>79</v>
      </c>
      <c r="S20" s="328">
        <f t="shared" si="9"/>
        <v>0.117037037</v>
      </c>
    </row>
    <row r="21">
      <c r="A21" s="27"/>
      <c r="B21" s="27"/>
      <c r="C21" s="320" t="s">
        <v>624</v>
      </c>
      <c r="D21" s="321">
        <v>100.0</v>
      </c>
      <c r="E21" s="320">
        <v>569.0</v>
      </c>
      <c r="F21" s="333">
        <f t="shared" si="7"/>
        <v>10</v>
      </c>
      <c r="G21" s="333">
        <f>'PENDATAAN PERUMAHAN'!O229</f>
        <v>579</v>
      </c>
      <c r="H21" s="330">
        <f t="shared" si="8"/>
        <v>5.79</v>
      </c>
      <c r="I21" s="332" t="s">
        <v>625</v>
      </c>
      <c r="N21" s="27"/>
      <c r="O21" s="27"/>
      <c r="P21" s="344" t="s">
        <v>624</v>
      </c>
      <c r="Q21" s="326">
        <v>100.0</v>
      </c>
      <c r="R21" s="345">
        <f>'PENDATAAN PERUMAHAN'!O229</f>
        <v>579</v>
      </c>
      <c r="S21" s="328">
        <f t="shared" si="9"/>
        <v>5.79</v>
      </c>
    </row>
    <row r="22">
      <c r="A22" s="27"/>
      <c r="B22" s="27"/>
      <c r="C22" s="320" t="s">
        <v>606</v>
      </c>
      <c r="D22" s="321">
        <v>0.0</v>
      </c>
      <c r="E22" s="346">
        <v>0.0</v>
      </c>
      <c r="F22" s="334">
        <f t="shared" si="7"/>
        <v>0</v>
      </c>
      <c r="G22" s="347">
        <v>0.0</v>
      </c>
      <c r="H22" s="330">
        <v>0.0</v>
      </c>
      <c r="I22" s="331"/>
      <c r="N22" s="27"/>
      <c r="O22" s="27"/>
      <c r="P22" s="325" t="s">
        <v>626</v>
      </c>
      <c r="Q22" s="348"/>
      <c r="R22" s="326" t="s">
        <v>0</v>
      </c>
      <c r="S22" s="328" t="str">
        <f t="shared" si="9"/>
        <v>#VALUE!</v>
      </c>
    </row>
    <row r="23">
      <c r="A23" s="27"/>
      <c r="B23" s="27"/>
      <c r="C23" s="320" t="s">
        <v>607</v>
      </c>
      <c r="D23" s="321">
        <v>13500.0</v>
      </c>
      <c r="E23" s="349">
        <v>25858.0</v>
      </c>
      <c r="F23" s="333">
        <f t="shared" si="7"/>
        <v>2258</v>
      </c>
      <c r="G23" s="333">
        <f>'PENDATAAN PERUMAHAN'!R229</f>
        <v>28116</v>
      </c>
      <c r="H23" s="330">
        <f t="shared" ref="H23:H26" si="10">G23/D23</f>
        <v>2.082666667</v>
      </c>
      <c r="I23" s="331"/>
      <c r="N23" s="27"/>
      <c r="O23" s="27"/>
      <c r="P23" s="325" t="s">
        <v>627</v>
      </c>
      <c r="Q23" s="326">
        <v>13500.0</v>
      </c>
      <c r="R23" s="327">
        <f>'PENDATAAN PERUMAHAN'!R229</f>
        <v>28116</v>
      </c>
      <c r="S23" s="328">
        <f t="shared" si="9"/>
        <v>2.082666667</v>
      </c>
    </row>
    <row r="24">
      <c r="A24" s="27"/>
      <c r="B24" s="40"/>
      <c r="C24" s="320" t="s">
        <v>608</v>
      </c>
      <c r="D24" s="321">
        <v>42200.0</v>
      </c>
      <c r="E24" s="322">
        <v>2850.0</v>
      </c>
      <c r="F24" s="333">
        <f t="shared" si="7"/>
        <v>1775</v>
      </c>
      <c r="G24" s="333">
        <f>'PENDATAAN PERUMAHAN'!Q229</f>
        <v>4625</v>
      </c>
      <c r="H24" s="330">
        <f t="shared" si="10"/>
        <v>0.1095971564</v>
      </c>
      <c r="I24" s="331"/>
      <c r="N24" s="27"/>
      <c r="O24" s="40"/>
      <c r="P24" s="325" t="s">
        <v>610</v>
      </c>
      <c r="Q24" s="326">
        <v>42200.0</v>
      </c>
      <c r="R24" s="327">
        <f>'PENDATAAN PERUMAHAN'!Q229</f>
        <v>4625</v>
      </c>
      <c r="S24" s="328">
        <f t="shared" si="9"/>
        <v>0.1095971564</v>
      </c>
    </row>
    <row r="25">
      <c r="A25" s="27"/>
      <c r="B25" s="337" t="s">
        <v>615</v>
      </c>
      <c r="C25" s="320" t="s">
        <v>22</v>
      </c>
      <c r="D25" s="321">
        <v>600.0</v>
      </c>
      <c r="E25" s="320">
        <v>1619.0</v>
      </c>
      <c r="F25" s="333">
        <f t="shared" si="7"/>
        <v>37</v>
      </c>
      <c r="G25" s="329">
        <f>L12-G26</f>
        <v>1656</v>
      </c>
      <c r="H25" s="330">
        <f t="shared" si="10"/>
        <v>2.76</v>
      </c>
      <c r="I25" s="331"/>
      <c r="N25" s="27"/>
      <c r="O25" s="324" t="s">
        <v>615</v>
      </c>
      <c r="P25" s="325" t="s">
        <v>22</v>
      </c>
      <c r="Q25" s="326">
        <v>600.0</v>
      </c>
      <c r="R25" s="327">
        <f>'PENDATAAN PERUMAHAN'!S229</f>
        <v>2663</v>
      </c>
      <c r="S25" s="328">
        <f t="shared" si="9"/>
        <v>4.438333333</v>
      </c>
    </row>
    <row r="26">
      <c r="A26" s="27"/>
      <c r="B26" s="27"/>
      <c r="C26" s="320" t="s">
        <v>519</v>
      </c>
      <c r="D26" s="321">
        <v>200.0</v>
      </c>
      <c r="E26" s="320">
        <v>169.0</v>
      </c>
      <c r="F26" s="334">
        <f t="shared" si="7"/>
        <v>0</v>
      </c>
      <c r="G26" s="320">
        <v>169.0</v>
      </c>
      <c r="H26" s="330">
        <f t="shared" si="10"/>
        <v>0.845</v>
      </c>
      <c r="I26" s="331"/>
      <c r="N26" s="27"/>
      <c r="O26" s="27"/>
      <c r="P26" s="325" t="s">
        <v>519</v>
      </c>
      <c r="Q26" s="326">
        <v>200.0</v>
      </c>
      <c r="R26" s="327"/>
      <c r="S26" s="328">
        <f t="shared" si="9"/>
        <v>0</v>
      </c>
    </row>
    <row r="27">
      <c r="A27" s="27"/>
      <c r="B27" s="40"/>
      <c r="C27" s="320" t="s">
        <v>617</v>
      </c>
      <c r="D27" s="321">
        <v>0.0</v>
      </c>
      <c r="E27" s="320">
        <v>0.0</v>
      </c>
      <c r="F27" s="334">
        <f t="shared" si="7"/>
        <v>0</v>
      </c>
      <c r="G27" s="320">
        <v>0.0</v>
      </c>
      <c r="H27" s="330">
        <v>0.0</v>
      </c>
      <c r="I27" s="331"/>
      <c r="N27" s="27"/>
      <c r="O27" s="40"/>
      <c r="P27" s="325" t="s">
        <v>617</v>
      </c>
      <c r="Q27" s="348"/>
      <c r="R27" s="350"/>
      <c r="S27" s="328"/>
    </row>
    <row r="28">
      <c r="A28" s="40"/>
      <c r="B28" s="338" t="s">
        <v>618</v>
      </c>
      <c r="C28" s="20"/>
      <c r="D28" s="321">
        <v>486897.0</v>
      </c>
      <c r="E28" s="320">
        <v>1480.0</v>
      </c>
      <c r="F28" s="333">
        <f t="shared" si="7"/>
        <v>108852</v>
      </c>
      <c r="G28" s="333">
        <f>'PENDATAAN PERUMAHAN'!U229</f>
        <v>110332</v>
      </c>
      <c r="H28" s="330">
        <f t="shared" ref="H28:H29" si="11">G28/D28</f>
        <v>0.2266023409</v>
      </c>
      <c r="I28" s="331"/>
      <c r="J28" s="249">
        <f>SUM(G20:G28)</f>
        <v>145556</v>
      </c>
      <c r="N28" s="40"/>
      <c r="O28" s="339" t="s">
        <v>618</v>
      </c>
      <c r="P28" s="20"/>
      <c r="Q28" s="326">
        <v>486897.0</v>
      </c>
      <c r="R28" s="327">
        <f>'PENDATAAN PERUMAHAN'!U229</f>
        <v>110332</v>
      </c>
      <c r="S28" s="328">
        <f t="shared" ref="S28:S31" si="13">R28/Q28</f>
        <v>0.2266023409</v>
      </c>
    </row>
    <row r="29">
      <c r="A29" s="351" t="s">
        <v>628</v>
      </c>
      <c r="B29" s="19"/>
      <c r="C29" s="20"/>
      <c r="D29" s="352">
        <v>1518200.0</v>
      </c>
      <c r="E29" s="352">
        <f>SUM(E5:E28)</f>
        <v>151842</v>
      </c>
      <c r="F29" s="353">
        <f t="shared" si="7"/>
        <v>171382</v>
      </c>
      <c r="G29" s="353">
        <f>SUM(G5:G28)</f>
        <v>323224</v>
      </c>
      <c r="H29" s="354">
        <f t="shared" si="11"/>
        <v>0.2128994862</v>
      </c>
      <c r="I29" s="355"/>
      <c r="N29" s="339" t="s">
        <v>629</v>
      </c>
      <c r="O29" s="19"/>
      <c r="P29" s="20"/>
      <c r="Q29" s="327">
        <f t="shared" ref="Q29:R29" si="12">SUM(Q5:Q17)</f>
        <v>958918</v>
      </c>
      <c r="R29" s="327">
        <f t="shared" si="12"/>
        <v>179092</v>
      </c>
      <c r="S29" s="328">
        <f t="shared" si="13"/>
        <v>0.186764666</v>
      </c>
    </row>
    <row r="30">
      <c r="I30" s="310"/>
      <c r="N30" s="339" t="s">
        <v>630</v>
      </c>
      <c r="O30" s="19"/>
      <c r="P30" s="20"/>
      <c r="Q30" s="327">
        <f t="shared" ref="Q30:R30" si="14">SUM(Q19:Q28)</f>
        <v>559282</v>
      </c>
      <c r="R30" s="327">
        <f t="shared" si="14"/>
        <v>146394</v>
      </c>
      <c r="S30" s="328">
        <f t="shared" si="13"/>
        <v>0.2617534625</v>
      </c>
    </row>
    <row r="31">
      <c r="I31" s="310"/>
      <c r="N31" s="356" t="s">
        <v>628</v>
      </c>
      <c r="O31" s="19"/>
      <c r="P31" s="20"/>
      <c r="Q31" s="327">
        <f t="shared" ref="Q31:R31" si="15">Q29+Q30</f>
        <v>1518200</v>
      </c>
      <c r="R31" s="327">
        <f t="shared" si="15"/>
        <v>325486</v>
      </c>
      <c r="S31" s="328">
        <f t="shared" si="13"/>
        <v>0.2143894085</v>
      </c>
    </row>
    <row r="32">
      <c r="I32" s="310"/>
      <c r="S32" s="311"/>
    </row>
    <row r="33">
      <c r="A33" s="357" t="s">
        <v>596</v>
      </c>
      <c r="B33" s="19"/>
      <c r="C33" s="20"/>
      <c r="D33" s="358" t="s">
        <v>548</v>
      </c>
      <c r="E33" s="359" t="s">
        <v>631</v>
      </c>
      <c r="F33" s="359"/>
      <c r="G33" s="359" t="s">
        <v>632</v>
      </c>
      <c r="H33" s="359" t="s">
        <v>633</v>
      </c>
      <c r="I33" s="360" t="s">
        <v>503</v>
      </c>
      <c r="J33" s="359" t="s">
        <v>501</v>
      </c>
      <c r="S33" s="311"/>
    </row>
    <row r="34">
      <c r="A34" s="361" t="s">
        <v>601</v>
      </c>
      <c r="B34" s="362" t="s">
        <v>602</v>
      </c>
      <c r="C34" s="363" t="s">
        <v>603</v>
      </c>
      <c r="D34" s="364">
        <v>518.0</v>
      </c>
      <c r="E34" s="365"/>
      <c r="F34" s="366"/>
      <c r="G34" s="366" t="s">
        <v>0</v>
      </c>
      <c r="H34" s="366"/>
      <c r="I34" s="367" t="s">
        <v>0</v>
      </c>
      <c r="J34" s="368"/>
      <c r="S34" s="311"/>
    </row>
    <row r="35">
      <c r="A35" s="27"/>
      <c r="B35" s="27"/>
      <c r="C35" s="363" t="s">
        <v>604</v>
      </c>
      <c r="D35" s="364">
        <v>217.5</v>
      </c>
      <c r="E35" s="364">
        <v>60.305</v>
      </c>
      <c r="F35" s="363"/>
      <c r="G35" s="363">
        <v>65888.0</v>
      </c>
      <c r="H35" s="369">
        <v>65191.0</v>
      </c>
      <c r="I35" s="370">
        <v>65.888</v>
      </c>
      <c r="J35" s="371"/>
      <c r="S35" s="311"/>
    </row>
    <row r="36">
      <c r="A36" s="27"/>
      <c r="B36" s="27"/>
      <c r="C36" s="363" t="s">
        <v>33</v>
      </c>
      <c r="D36" s="372"/>
      <c r="E36" s="364">
        <v>60.0</v>
      </c>
      <c r="F36" s="363"/>
      <c r="G36" s="363">
        <v>60.0</v>
      </c>
      <c r="H36" s="369">
        <v>135.0</v>
      </c>
      <c r="I36" s="370">
        <v>60.0</v>
      </c>
      <c r="J36" s="371"/>
      <c r="S36" s="311"/>
    </row>
    <row r="37">
      <c r="A37" s="27"/>
      <c r="B37" s="27"/>
      <c r="C37" s="363" t="s">
        <v>606</v>
      </c>
      <c r="D37" s="372"/>
      <c r="E37" s="372"/>
      <c r="F37" s="363"/>
      <c r="G37" s="363" t="s">
        <v>0</v>
      </c>
      <c r="H37" s="363"/>
      <c r="I37" s="370" t="s">
        <v>0</v>
      </c>
      <c r="J37" s="371"/>
      <c r="S37" s="311"/>
    </row>
    <row r="38">
      <c r="A38" s="27"/>
      <c r="B38" s="27"/>
      <c r="C38" s="363" t="s">
        <v>607</v>
      </c>
      <c r="D38" s="364">
        <v>2.5</v>
      </c>
      <c r="E38" s="364">
        <v>3.108</v>
      </c>
      <c r="F38" s="363"/>
      <c r="G38" s="363">
        <v>3205.0</v>
      </c>
      <c r="H38" s="369">
        <v>4668.0</v>
      </c>
      <c r="I38" s="370">
        <v>3.205</v>
      </c>
      <c r="J38" s="371"/>
      <c r="S38" s="311"/>
    </row>
    <row r="39">
      <c r="A39" s="27"/>
      <c r="B39" s="40"/>
      <c r="C39" s="363" t="s">
        <v>608</v>
      </c>
      <c r="D39" s="372"/>
      <c r="E39" s="372"/>
      <c r="F39" s="363"/>
      <c r="G39" s="363" t="s">
        <v>0</v>
      </c>
      <c r="H39" s="363"/>
      <c r="I39" s="370" t="s">
        <v>0</v>
      </c>
      <c r="J39" s="371"/>
      <c r="S39" s="311"/>
    </row>
    <row r="40">
      <c r="A40" s="27"/>
      <c r="B40" s="373" t="s">
        <v>611</v>
      </c>
      <c r="C40" s="363" t="s">
        <v>634</v>
      </c>
      <c r="D40" s="364">
        <v>160.0</v>
      </c>
      <c r="E40" s="364">
        <v>7.332</v>
      </c>
      <c r="F40" s="363"/>
      <c r="G40" s="363">
        <v>758.0</v>
      </c>
      <c r="H40" s="369">
        <v>8815.0</v>
      </c>
      <c r="I40" s="370">
        <v>7.58</v>
      </c>
      <c r="J40" s="371"/>
      <c r="S40" s="311"/>
    </row>
    <row r="41">
      <c r="A41" s="27"/>
      <c r="B41" s="40"/>
      <c r="C41" s="363" t="s">
        <v>614</v>
      </c>
      <c r="D41" s="364">
        <v>80.0</v>
      </c>
      <c r="E41" s="364">
        <v>258.0</v>
      </c>
      <c r="F41" s="363"/>
      <c r="G41" s="363">
        <v>258.0</v>
      </c>
      <c r="H41" s="369">
        <v>346.0</v>
      </c>
      <c r="I41" s="370">
        <v>258.0</v>
      </c>
      <c r="J41" s="371"/>
      <c r="S41" s="311"/>
    </row>
    <row r="42">
      <c r="A42" s="27"/>
      <c r="B42" s="374" t="s">
        <v>615</v>
      </c>
      <c r="C42" s="363" t="s">
        <v>616</v>
      </c>
      <c r="D42" s="364">
        <v>900.0</v>
      </c>
      <c r="E42" s="364">
        <v>195.0</v>
      </c>
      <c r="F42" s="363"/>
      <c r="G42" s="363">
        <v>204.0</v>
      </c>
      <c r="H42" s="369">
        <v>397.0</v>
      </c>
      <c r="I42" s="370">
        <v>204.0</v>
      </c>
      <c r="J42" s="371"/>
      <c r="S42" s="311"/>
    </row>
    <row r="43">
      <c r="A43" s="27"/>
      <c r="B43" s="27"/>
      <c r="C43" s="363" t="s">
        <v>519</v>
      </c>
      <c r="D43" s="372"/>
      <c r="E43" s="372"/>
      <c r="F43" s="363"/>
      <c r="G43" s="363" t="s">
        <v>0</v>
      </c>
      <c r="H43" s="363"/>
      <c r="I43" s="370" t="s">
        <v>0</v>
      </c>
      <c r="J43" s="371"/>
      <c r="S43" s="311"/>
    </row>
    <row r="44">
      <c r="A44" s="27"/>
      <c r="B44" s="40"/>
      <c r="C44" s="363" t="s">
        <v>617</v>
      </c>
      <c r="D44" s="372"/>
      <c r="E44" s="372"/>
      <c r="F44" s="363"/>
      <c r="G44" s="363" t="s">
        <v>0</v>
      </c>
      <c r="H44" s="363"/>
      <c r="I44" s="370" t="s">
        <v>0</v>
      </c>
      <c r="J44" s="371"/>
      <c r="S44" s="311"/>
    </row>
    <row r="45">
      <c r="A45" s="27"/>
      <c r="B45" s="375" t="s">
        <v>618</v>
      </c>
      <c r="C45" s="20"/>
      <c r="D45" s="364">
        <v>197.5</v>
      </c>
      <c r="E45" s="364">
        <v>5.895</v>
      </c>
      <c r="F45" s="363"/>
      <c r="G45" s="363">
        <v>6072.0</v>
      </c>
      <c r="H45" s="369">
        <v>6514.0</v>
      </c>
      <c r="I45" s="370">
        <v>6.072</v>
      </c>
      <c r="J45" s="371"/>
      <c r="S45" s="311"/>
    </row>
    <row r="46">
      <c r="A46" s="40"/>
      <c r="B46" s="375" t="s">
        <v>619</v>
      </c>
      <c r="C46" s="20"/>
      <c r="D46" s="364">
        <v>300.0</v>
      </c>
      <c r="E46" s="372"/>
      <c r="F46" s="363"/>
      <c r="G46" s="363" t="s">
        <v>0</v>
      </c>
      <c r="H46" s="363"/>
      <c r="I46" s="370" t="s">
        <v>0</v>
      </c>
      <c r="J46" s="371"/>
      <c r="S46" s="311"/>
    </row>
    <row r="47">
      <c r="A47" s="376"/>
      <c r="B47" s="19"/>
      <c r="C47" s="19"/>
      <c r="D47" s="20"/>
      <c r="E47" s="377"/>
      <c r="F47" s="363"/>
      <c r="G47" s="363" t="s">
        <v>0</v>
      </c>
      <c r="H47" s="363"/>
      <c r="I47" s="370" t="s">
        <v>0</v>
      </c>
      <c r="J47" s="371"/>
      <c r="S47" s="311"/>
    </row>
    <row r="48">
      <c r="A48" s="374" t="s">
        <v>621</v>
      </c>
      <c r="B48" s="374" t="s">
        <v>602</v>
      </c>
      <c r="C48" s="363" t="s">
        <v>603</v>
      </c>
      <c r="D48" s="364">
        <v>15.11</v>
      </c>
      <c r="E48" s="372"/>
      <c r="F48" s="363"/>
      <c r="G48" s="363" t="s">
        <v>0</v>
      </c>
      <c r="H48" s="363"/>
      <c r="I48" s="370" t="s">
        <v>0</v>
      </c>
      <c r="J48" s="371"/>
      <c r="S48" s="311"/>
    </row>
    <row r="49">
      <c r="A49" s="27"/>
      <c r="B49" s="27"/>
      <c r="C49" s="363" t="s">
        <v>623</v>
      </c>
      <c r="D49" s="364">
        <v>675.0</v>
      </c>
      <c r="E49" s="372"/>
      <c r="F49" s="363"/>
      <c r="G49" s="363" t="s">
        <v>0</v>
      </c>
      <c r="H49" s="363"/>
      <c r="I49" s="370" t="s">
        <v>0</v>
      </c>
      <c r="J49" s="371"/>
      <c r="S49" s="311"/>
    </row>
    <row r="50">
      <c r="A50" s="27"/>
      <c r="B50" s="27"/>
      <c r="C50" s="363" t="s">
        <v>624</v>
      </c>
      <c r="D50" s="364">
        <v>100.0</v>
      </c>
      <c r="E50" s="364">
        <v>837.0</v>
      </c>
      <c r="F50" s="363"/>
      <c r="G50" s="363">
        <v>837.0</v>
      </c>
      <c r="H50" s="369">
        <v>848.0</v>
      </c>
      <c r="I50" s="370">
        <v>837.0</v>
      </c>
      <c r="J50" s="371"/>
      <c r="S50" s="311"/>
    </row>
    <row r="51">
      <c r="A51" s="27"/>
      <c r="B51" s="27"/>
      <c r="C51" s="363" t="s">
        <v>606</v>
      </c>
      <c r="D51" s="372"/>
      <c r="E51" s="378"/>
      <c r="F51" s="379"/>
      <c r="G51" s="363" t="s">
        <v>0</v>
      </c>
      <c r="H51" s="379"/>
      <c r="I51" s="370" t="s">
        <v>0</v>
      </c>
      <c r="J51" s="371"/>
      <c r="S51" s="311"/>
    </row>
    <row r="52">
      <c r="A52" s="27"/>
      <c r="B52" s="27"/>
      <c r="C52" s="363" t="s">
        <v>607</v>
      </c>
      <c r="D52" s="364">
        <v>13.5</v>
      </c>
      <c r="E52" s="380">
        <v>18.341</v>
      </c>
      <c r="F52" s="379"/>
      <c r="G52" s="363">
        <v>2172.0</v>
      </c>
      <c r="H52" s="369">
        <v>22949.0</v>
      </c>
      <c r="I52" s="370">
        <v>21.72</v>
      </c>
      <c r="J52" s="371"/>
      <c r="S52" s="311"/>
    </row>
    <row r="53">
      <c r="A53" s="27"/>
      <c r="B53" s="40"/>
      <c r="C53" s="363" t="s">
        <v>608</v>
      </c>
      <c r="D53" s="364">
        <v>42.2</v>
      </c>
      <c r="E53" s="381">
        <v>319.0</v>
      </c>
      <c r="F53" s="363"/>
      <c r="G53" s="363">
        <v>939.0</v>
      </c>
      <c r="H53" s="369">
        <v>2073.0</v>
      </c>
      <c r="I53" s="370">
        <v>939.0</v>
      </c>
      <c r="J53" s="371"/>
      <c r="S53" s="311"/>
    </row>
    <row r="54">
      <c r="A54" s="27"/>
      <c r="B54" s="374" t="s">
        <v>615</v>
      </c>
      <c r="C54" s="363" t="s">
        <v>22</v>
      </c>
      <c r="D54" s="364">
        <v>800.0</v>
      </c>
      <c r="E54" s="364">
        <v>985.0</v>
      </c>
      <c r="F54" s="363"/>
      <c r="G54" s="363">
        <v>1267.0</v>
      </c>
      <c r="H54" s="369">
        <v>1901.0</v>
      </c>
      <c r="I54" s="370">
        <v>1.267</v>
      </c>
      <c r="J54" s="371"/>
      <c r="S54" s="311"/>
    </row>
    <row r="55">
      <c r="A55" s="27"/>
      <c r="B55" s="27"/>
      <c r="C55" s="363" t="s">
        <v>519</v>
      </c>
      <c r="D55" s="372"/>
      <c r="E55" s="372"/>
      <c r="F55" s="363"/>
      <c r="G55" s="363" t="s">
        <v>0</v>
      </c>
      <c r="H55" s="363"/>
      <c r="I55" s="370" t="s">
        <v>0</v>
      </c>
      <c r="J55" s="371"/>
      <c r="S55" s="311"/>
    </row>
    <row r="56">
      <c r="A56" s="27"/>
      <c r="B56" s="40"/>
      <c r="C56" s="363" t="s">
        <v>617</v>
      </c>
      <c r="D56" s="372"/>
      <c r="E56" s="372"/>
      <c r="F56" s="363"/>
      <c r="G56" s="363" t="s">
        <v>0</v>
      </c>
      <c r="H56" s="363"/>
      <c r="I56" s="370" t="s">
        <v>0</v>
      </c>
      <c r="J56" s="371"/>
      <c r="S56" s="311"/>
    </row>
    <row r="57">
      <c r="A57" s="40"/>
      <c r="B57" s="375" t="s">
        <v>618</v>
      </c>
      <c r="C57" s="20"/>
      <c r="D57" s="364">
        <v>486.897</v>
      </c>
      <c r="E57" s="364">
        <v>348.0</v>
      </c>
      <c r="F57" s="363"/>
      <c r="G57" s="363">
        <v>599.0</v>
      </c>
      <c r="H57" s="369">
        <v>971.0</v>
      </c>
      <c r="I57" s="370">
        <v>599.0</v>
      </c>
      <c r="J57" s="371"/>
      <c r="S57" s="311"/>
    </row>
    <row r="58">
      <c r="A58" s="382" t="s">
        <v>628</v>
      </c>
      <c r="B58" s="19"/>
      <c r="C58" s="20"/>
      <c r="D58" s="363" t="s">
        <v>635</v>
      </c>
      <c r="E58" s="363">
        <v>97.983</v>
      </c>
      <c r="F58" s="363"/>
      <c r="G58" s="363">
        <f>SUM(G34:G57)</f>
        <v>82259</v>
      </c>
      <c r="H58" s="363">
        <v>114808.0</v>
      </c>
      <c r="I58" s="370">
        <v>108.619</v>
      </c>
      <c r="J58" s="371"/>
      <c r="S58" s="311"/>
    </row>
    <row r="59">
      <c r="I59" s="310"/>
      <c r="S59" s="311"/>
    </row>
    <row r="60">
      <c r="A60" s="357" t="s">
        <v>596</v>
      </c>
      <c r="B60" s="19"/>
      <c r="C60" s="20"/>
      <c r="D60" s="358" t="s">
        <v>548</v>
      </c>
      <c r="E60" s="359" t="s">
        <v>632</v>
      </c>
      <c r="F60" s="359"/>
      <c r="G60" s="359" t="s">
        <v>636</v>
      </c>
      <c r="H60" s="359" t="s">
        <v>503</v>
      </c>
      <c r="I60" s="360" t="s">
        <v>11</v>
      </c>
      <c r="S60" s="311"/>
    </row>
    <row r="61">
      <c r="A61" s="361" t="s">
        <v>601</v>
      </c>
      <c r="B61" s="362" t="s">
        <v>602</v>
      </c>
      <c r="C61" s="363" t="s">
        <v>603</v>
      </c>
      <c r="D61" s="364">
        <v>518.0</v>
      </c>
      <c r="E61" s="366" t="s">
        <v>0</v>
      </c>
      <c r="F61" s="366"/>
      <c r="G61" s="366"/>
      <c r="H61" s="366" t="s">
        <v>0</v>
      </c>
      <c r="I61" s="383"/>
      <c r="S61" s="311"/>
    </row>
    <row r="62">
      <c r="A62" s="27"/>
      <c r="B62" s="27"/>
      <c r="C62" s="363" t="s">
        <v>604</v>
      </c>
      <c r="D62" s="384">
        <f>'REKAP DATA'!E22</f>
        <v>217500</v>
      </c>
      <c r="E62" s="363">
        <v>65888.0</v>
      </c>
      <c r="F62" s="385"/>
      <c r="G62" s="385">
        <v>-697.0</v>
      </c>
      <c r="H62" s="369">
        <f t="shared" ref="H62:H63" si="16">E62+G62</f>
        <v>65191</v>
      </c>
      <c r="I62" s="386"/>
      <c r="S62" s="311"/>
    </row>
    <row r="63">
      <c r="A63" s="27"/>
      <c r="B63" s="27"/>
      <c r="C63" s="363" t="s">
        <v>33</v>
      </c>
      <c r="D63" s="387">
        <f>'REKAP DATA'!E16</f>
        <v>0</v>
      </c>
      <c r="E63" s="363">
        <v>0.0</v>
      </c>
      <c r="F63" s="385"/>
      <c r="G63" s="385">
        <f>9+22+36</f>
        <v>67</v>
      </c>
      <c r="H63" s="369">
        <f t="shared" si="16"/>
        <v>67</v>
      </c>
      <c r="I63" s="370" t="s">
        <v>605</v>
      </c>
      <c r="S63" s="311"/>
    </row>
    <row r="64">
      <c r="A64" s="27"/>
      <c r="B64" s="27"/>
      <c r="C64" s="363" t="s">
        <v>606</v>
      </c>
      <c r="D64" s="387">
        <f>'REKAP DATA'!E4</f>
        <v>2500</v>
      </c>
      <c r="E64" s="363" t="s">
        <v>0</v>
      </c>
      <c r="F64" s="388"/>
      <c r="G64" s="388"/>
      <c r="H64" s="363"/>
      <c r="I64" s="386"/>
      <c r="S64" s="311"/>
    </row>
    <row r="65">
      <c r="A65" s="27"/>
      <c r="B65" s="27"/>
      <c r="C65" s="363" t="s">
        <v>607</v>
      </c>
      <c r="D65" s="364"/>
      <c r="E65" s="363">
        <v>3205.0</v>
      </c>
      <c r="F65" s="385"/>
      <c r="G65" s="385">
        <v>1463.0</v>
      </c>
      <c r="H65" s="369">
        <f>E65+G65</f>
        <v>4668</v>
      </c>
      <c r="I65" s="386"/>
      <c r="S65" s="311"/>
    </row>
    <row r="66">
      <c r="A66" s="27"/>
      <c r="B66" s="40"/>
      <c r="C66" s="363" t="s">
        <v>608</v>
      </c>
      <c r="D66" s="372"/>
      <c r="E66" s="363" t="s">
        <v>0</v>
      </c>
      <c r="F66" s="388"/>
      <c r="G66" s="388"/>
      <c r="H66" s="363"/>
      <c r="I66" s="386"/>
      <c r="S66" s="311"/>
    </row>
    <row r="67">
      <c r="A67" s="27"/>
      <c r="B67" s="373" t="s">
        <v>611</v>
      </c>
      <c r="C67" s="363" t="s">
        <v>634</v>
      </c>
      <c r="D67" s="384">
        <f>'REKAP DATA'!E6</f>
        <v>160000</v>
      </c>
      <c r="E67" s="363">
        <v>7580.0</v>
      </c>
      <c r="F67" s="385"/>
      <c r="G67" s="385">
        <v>1235.0</v>
      </c>
      <c r="H67" s="369">
        <f t="shared" ref="H67:H69" si="17">E67+G67</f>
        <v>8815</v>
      </c>
      <c r="I67" s="386"/>
      <c r="S67" s="311"/>
    </row>
    <row r="68">
      <c r="A68" s="27"/>
      <c r="B68" s="40"/>
      <c r="C68" s="363" t="s">
        <v>614</v>
      </c>
      <c r="D68" s="384">
        <f>'REKAP DATA'!E7</f>
        <v>80000</v>
      </c>
      <c r="E68" s="363">
        <v>258.0</v>
      </c>
      <c r="F68" s="385"/>
      <c r="G68" s="385">
        <v>88.0</v>
      </c>
      <c r="H68" s="369">
        <f t="shared" si="17"/>
        <v>346</v>
      </c>
      <c r="I68" s="386"/>
      <c r="S68" s="311"/>
    </row>
    <row r="69">
      <c r="A69" s="27"/>
      <c r="B69" s="374" t="s">
        <v>615</v>
      </c>
      <c r="C69" s="363" t="s">
        <v>616</v>
      </c>
      <c r="D69" s="384">
        <f>'REKAP DATA'!E17</f>
        <v>600</v>
      </c>
      <c r="E69" s="363">
        <v>204.0</v>
      </c>
      <c r="F69" s="385"/>
      <c r="G69" s="385">
        <v>193.0</v>
      </c>
      <c r="H69" s="369">
        <f t="shared" si="17"/>
        <v>397</v>
      </c>
      <c r="I69" s="370"/>
      <c r="S69" s="311"/>
    </row>
    <row r="70">
      <c r="A70" s="27"/>
      <c r="B70" s="27"/>
      <c r="C70" s="363" t="s">
        <v>519</v>
      </c>
      <c r="D70" s="372"/>
      <c r="E70" s="363" t="s">
        <v>0</v>
      </c>
      <c r="F70" s="388"/>
      <c r="G70" s="388"/>
      <c r="H70" s="363"/>
      <c r="I70" s="386"/>
      <c r="S70" s="311"/>
    </row>
    <row r="71">
      <c r="A71" s="27"/>
      <c r="B71" s="40"/>
      <c r="C71" s="363" t="s">
        <v>617</v>
      </c>
      <c r="D71" s="372"/>
      <c r="E71" s="363" t="s">
        <v>0</v>
      </c>
      <c r="F71" s="388"/>
      <c r="G71" s="388"/>
      <c r="H71" s="363"/>
      <c r="I71" s="386"/>
      <c r="S71" s="311"/>
    </row>
    <row r="72">
      <c r="A72" s="27"/>
      <c r="B72" s="375" t="s">
        <v>618</v>
      </c>
      <c r="C72" s="20"/>
      <c r="D72" s="384">
        <f>'REKAP DATA'!E8</f>
        <v>197500</v>
      </c>
      <c r="E72" s="363">
        <v>6072.0</v>
      </c>
      <c r="F72" s="385"/>
      <c r="G72" s="385">
        <v>442.0</v>
      </c>
      <c r="H72" s="369">
        <f>E72+G72</f>
        <v>6514</v>
      </c>
      <c r="I72" s="386"/>
      <c r="S72" s="311"/>
    </row>
    <row r="73">
      <c r="A73" s="40"/>
      <c r="B73" s="375" t="s">
        <v>619</v>
      </c>
      <c r="C73" s="20"/>
      <c r="D73" s="364"/>
      <c r="E73" s="363" t="s">
        <v>0</v>
      </c>
      <c r="F73" s="388"/>
      <c r="G73" s="388"/>
      <c r="H73" s="363"/>
      <c r="I73" s="386"/>
      <c r="S73" s="311"/>
    </row>
    <row r="74">
      <c r="A74" s="389"/>
      <c r="B74" s="19"/>
      <c r="C74" s="19"/>
      <c r="D74" s="20"/>
      <c r="E74" s="390"/>
      <c r="F74" s="391"/>
      <c r="G74" s="391"/>
      <c r="H74" s="390"/>
      <c r="I74" s="392"/>
      <c r="S74" s="311"/>
    </row>
    <row r="75">
      <c r="A75" s="361" t="s">
        <v>621</v>
      </c>
      <c r="B75" s="374" t="s">
        <v>602</v>
      </c>
      <c r="C75" s="363" t="s">
        <v>603</v>
      </c>
      <c r="D75" s="364">
        <v>15110.0</v>
      </c>
      <c r="E75" s="363" t="s">
        <v>0</v>
      </c>
      <c r="F75" s="388"/>
      <c r="G75" s="388"/>
      <c r="H75" s="363"/>
      <c r="I75" s="386"/>
      <c r="S75" s="311"/>
    </row>
    <row r="76">
      <c r="A76" s="27"/>
      <c r="B76" s="27"/>
      <c r="C76" s="363" t="s">
        <v>623</v>
      </c>
      <c r="D76" s="364">
        <v>675.0</v>
      </c>
      <c r="E76" s="363" t="s">
        <v>0</v>
      </c>
      <c r="F76" s="388"/>
      <c r="G76" s="388"/>
      <c r="H76" s="363"/>
      <c r="I76" s="386"/>
      <c r="S76" s="311"/>
    </row>
    <row r="77">
      <c r="A77" s="27"/>
      <c r="B77" s="27"/>
      <c r="C77" s="363" t="s">
        <v>624</v>
      </c>
      <c r="D77" s="384">
        <f>'REKAP DATA'!E16</f>
        <v>0</v>
      </c>
      <c r="E77" s="363"/>
      <c r="F77" s="385"/>
      <c r="G77" s="385">
        <f>35+5</f>
        <v>40</v>
      </c>
      <c r="H77" s="369">
        <f>E77+G77</f>
        <v>40</v>
      </c>
      <c r="I77" s="370" t="s">
        <v>637</v>
      </c>
      <c r="S77" s="311"/>
    </row>
    <row r="78">
      <c r="A78" s="27"/>
      <c r="B78" s="27"/>
      <c r="C78" s="363" t="s">
        <v>606</v>
      </c>
      <c r="D78" s="372"/>
      <c r="E78" s="393" t="s">
        <v>0</v>
      </c>
      <c r="F78" s="394"/>
      <c r="G78" s="394"/>
      <c r="H78" s="363"/>
      <c r="I78" s="386"/>
      <c r="S78" s="311"/>
    </row>
    <row r="79">
      <c r="A79" s="27"/>
      <c r="B79" s="27"/>
      <c r="C79" s="363" t="s">
        <v>607</v>
      </c>
      <c r="D79" s="384">
        <f>'REKAP DATA'!E13</f>
        <v>675</v>
      </c>
      <c r="E79" s="380">
        <v>21720.0</v>
      </c>
      <c r="F79" s="395"/>
      <c r="G79" s="385">
        <v>1229.0</v>
      </c>
      <c r="H79" s="369">
        <f t="shared" ref="H79:H81" si="18">E79+G79</f>
        <v>22949</v>
      </c>
      <c r="I79" s="386"/>
      <c r="S79" s="311"/>
    </row>
    <row r="80">
      <c r="A80" s="27"/>
      <c r="B80" s="40"/>
      <c r="C80" s="363" t="s">
        <v>608</v>
      </c>
      <c r="D80" s="384">
        <f>'REKAP DATA'!E15</f>
        <v>42200</v>
      </c>
      <c r="E80" s="366">
        <v>939.0</v>
      </c>
      <c r="F80" s="385"/>
      <c r="G80" s="385">
        <v>1134.0</v>
      </c>
      <c r="H80" s="369">
        <f t="shared" si="18"/>
        <v>2073</v>
      </c>
      <c r="I80" s="386"/>
      <c r="S80" s="311"/>
    </row>
    <row r="81">
      <c r="A81" s="27"/>
      <c r="B81" s="374" t="s">
        <v>615</v>
      </c>
      <c r="C81" s="363" t="s">
        <v>22</v>
      </c>
      <c r="D81" s="384">
        <f>'REKAP DATA'!E17</f>
        <v>600</v>
      </c>
      <c r="E81" s="363">
        <v>1267.0</v>
      </c>
      <c r="F81" s="385"/>
      <c r="G81" s="385">
        <v>634.0</v>
      </c>
      <c r="H81" s="369">
        <f t="shared" si="18"/>
        <v>1901</v>
      </c>
      <c r="I81" s="386"/>
      <c r="S81" s="311"/>
    </row>
    <row r="82">
      <c r="A82" s="27"/>
      <c r="B82" s="27"/>
      <c r="C82" s="363" t="s">
        <v>519</v>
      </c>
      <c r="D82" s="372"/>
      <c r="E82" s="363" t="s">
        <v>0</v>
      </c>
      <c r="F82" s="388"/>
      <c r="G82" s="388"/>
      <c r="H82" s="363"/>
      <c r="I82" s="386"/>
      <c r="S82" s="311"/>
    </row>
    <row r="83">
      <c r="A83" s="27"/>
      <c r="B83" s="40"/>
      <c r="C83" s="363" t="s">
        <v>617</v>
      </c>
      <c r="D83" s="372"/>
      <c r="E83" s="363" t="s">
        <v>0</v>
      </c>
      <c r="F83" s="388"/>
      <c r="G83" s="388"/>
      <c r="H83" s="363"/>
      <c r="I83" s="386"/>
      <c r="S83" s="311"/>
    </row>
    <row r="84">
      <c r="A84" s="40"/>
      <c r="B84" s="375" t="s">
        <v>618</v>
      </c>
      <c r="C84" s="20"/>
      <c r="D84" s="384">
        <f>'REKAP DATA'!E18</f>
        <v>486897</v>
      </c>
      <c r="E84" s="363">
        <v>599.0</v>
      </c>
      <c r="F84" s="385"/>
      <c r="G84" s="385">
        <v>372.0</v>
      </c>
      <c r="H84" s="369">
        <f>E84+G84</f>
        <v>971</v>
      </c>
      <c r="I84" s="386"/>
      <c r="S84" s="311"/>
    </row>
    <row r="85">
      <c r="A85" s="382" t="s">
        <v>628</v>
      </c>
      <c r="B85" s="19"/>
      <c r="C85" s="20"/>
      <c r="D85" s="363" t="s">
        <v>635</v>
      </c>
      <c r="E85" s="363">
        <f>SUM(E61:E84)</f>
        <v>107732</v>
      </c>
      <c r="F85" s="388"/>
      <c r="G85" s="388">
        <f>SUM(G61:G84)</f>
        <v>6200</v>
      </c>
      <c r="H85" s="369">
        <f>SUM(H62:H84)</f>
        <v>113932</v>
      </c>
      <c r="I85" s="386"/>
      <c r="S85" s="311"/>
    </row>
    <row r="86">
      <c r="I86" s="310"/>
      <c r="S86" s="311"/>
    </row>
    <row r="87">
      <c r="A87" s="396" t="s">
        <v>596</v>
      </c>
      <c r="B87" s="19"/>
      <c r="C87" s="20"/>
      <c r="D87" s="397" t="s">
        <v>548</v>
      </c>
      <c r="E87" s="398" t="s">
        <v>638</v>
      </c>
      <c r="F87" s="398"/>
      <c r="G87" s="398" t="s">
        <v>639</v>
      </c>
      <c r="H87" s="398" t="s">
        <v>503</v>
      </c>
      <c r="I87" s="399" t="s">
        <v>11</v>
      </c>
      <c r="S87" s="311"/>
    </row>
    <row r="88">
      <c r="A88" s="318" t="s">
        <v>601</v>
      </c>
      <c r="B88" s="319" t="s">
        <v>602</v>
      </c>
      <c r="C88" s="320" t="s">
        <v>603</v>
      </c>
      <c r="D88" s="321">
        <v>518.0</v>
      </c>
      <c r="E88" s="322">
        <v>0.0</v>
      </c>
      <c r="F88" s="322"/>
      <c r="G88" s="322"/>
      <c r="H88" s="322" t="s">
        <v>0</v>
      </c>
      <c r="I88" s="323"/>
      <c r="S88" s="311"/>
    </row>
    <row r="89">
      <c r="A89" s="27"/>
      <c r="B89" s="27"/>
      <c r="C89" s="320" t="s">
        <v>604</v>
      </c>
      <c r="D89" s="321">
        <v>217500.0</v>
      </c>
      <c r="E89" s="320">
        <v>67791.0</v>
      </c>
      <c r="F89" s="329"/>
      <c r="G89" s="329">
        <v>71251.0</v>
      </c>
      <c r="H89" s="330">
        <f>G89/D89</f>
        <v>0.3275908046</v>
      </c>
      <c r="I89" s="331"/>
      <c r="S89" s="311"/>
    </row>
    <row r="90">
      <c r="A90" s="27"/>
      <c r="B90" s="27"/>
      <c r="C90" s="320" t="s">
        <v>33</v>
      </c>
      <c r="D90" s="321">
        <v>0.0</v>
      </c>
      <c r="E90" s="320">
        <v>138.0</v>
      </c>
      <c r="F90" s="333"/>
      <c r="G90" s="333" t="str">
        <f>'PENDATAAN PERUMAHAN'!K312</f>
        <v/>
      </c>
      <c r="H90" s="330">
        <f>G90/131</f>
        <v>0</v>
      </c>
      <c r="I90" s="332" t="s">
        <v>605</v>
      </c>
      <c r="S90" s="311"/>
    </row>
    <row r="91">
      <c r="A91" s="27"/>
      <c r="B91" s="27"/>
      <c r="C91" s="320" t="s">
        <v>606</v>
      </c>
      <c r="D91" s="400"/>
      <c r="E91" s="320" t="s">
        <v>0</v>
      </c>
      <c r="F91" s="334"/>
      <c r="G91" s="334"/>
      <c r="H91" s="330"/>
      <c r="I91" s="331"/>
      <c r="S91" s="311"/>
    </row>
    <row r="92">
      <c r="A92" s="27"/>
      <c r="B92" s="27"/>
      <c r="C92" s="320" t="s">
        <v>607</v>
      </c>
      <c r="D92" s="321">
        <v>2500.0</v>
      </c>
      <c r="E92" s="320">
        <v>3563.0</v>
      </c>
      <c r="F92" s="333"/>
      <c r="G92" s="333" t="str">
        <f>'PENDATAAN PERUMAHAN'!M312</f>
        <v/>
      </c>
      <c r="H92" s="330">
        <f>G92/D92</f>
        <v>0</v>
      </c>
      <c r="I92" s="331"/>
      <c r="S92" s="311"/>
    </row>
    <row r="93">
      <c r="A93" s="27"/>
      <c r="B93" s="40"/>
      <c r="C93" s="320" t="s">
        <v>608</v>
      </c>
      <c r="D93" s="321">
        <v>0.0</v>
      </c>
      <c r="E93" s="320">
        <v>407.0</v>
      </c>
      <c r="F93" s="334"/>
      <c r="G93" s="334" t="str">
        <f>'PENDATAAN PERUMAHAN'!L312</f>
        <v/>
      </c>
      <c r="H93" s="330">
        <f>G93/409</f>
        <v>0</v>
      </c>
      <c r="I93" s="331"/>
      <c r="S93" s="311"/>
    </row>
    <row r="94">
      <c r="A94" s="27"/>
      <c r="B94" s="335" t="s">
        <v>611</v>
      </c>
      <c r="C94" s="320" t="s">
        <v>634</v>
      </c>
      <c r="D94" s="321">
        <v>160000.0</v>
      </c>
      <c r="E94" s="320">
        <v>11206.0</v>
      </c>
      <c r="F94" s="333"/>
      <c r="G94" s="333" t="str">
        <f>'PENDATAAN PERUMAHAN'!F312</f>
        <v/>
      </c>
      <c r="H94" s="330">
        <f t="shared" ref="H94:H97" si="19">G94/D94</f>
        <v>0</v>
      </c>
      <c r="I94" s="331"/>
      <c r="S94" s="311"/>
    </row>
    <row r="95">
      <c r="A95" s="27"/>
      <c r="B95" s="40"/>
      <c r="C95" s="320" t="s">
        <v>614</v>
      </c>
      <c r="D95" s="321">
        <v>80000.0</v>
      </c>
      <c r="E95" s="320">
        <v>98.0</v>
      </c>
      <c r="F95" s="333"/>
      <c r="G95" s="333" t="str">
        <f>'PENDATAAN PERUMAHAN'!G312</f>
        <v/>
      </c>
      <c r="H95" s="330">
        <f t="shared" si="19"/>
        <v>0</v>
      </c>
      <c r="I95" s="331"/>
      <c r="S95" s="311"/>
    </row>
    <row r="96">
      <c r="A96" s="27"/>
      <c r="B96" s="337" t="s">
        <v>615</v>
      </c>
      <c r="C96" s="320" t="s">
        <v>616</v>
      </c>
      <c r="D96" s="321">
        <v>850.0</v>
      </c>
      <c r="E96" s="320">
        <v>397.0</v>
      </c>
      <c r="F96" s="333"/>
      <c r="G96" s="333" t="str">
        <f>'PENDATAAN PERUMAHAN'!I312</f>
        <v/>
      </c>
      <c r="H96" s="330">
        <f t="shared" si="19"/>
        <v>0</v>
      </c>
      <c r="I96" s="332"/>
      <c r="S96" s="311"/>
    </row>
    <row r="97">
      <c r="A97" s="27"/>
      <c r="B97" s="27"/>
      <c r="C97" s="320" t="s">
        <v>519</v>
      </c>
      <c r="D97" s="321">
        <v>50.0</v>
      </c>
      <c r="E97" s="320">
        <v>16.0</v>
      </c>
      <c r="F97" s="320"/>
      <c r="G97" s="320">
        <v>16.0</v>
      </c>
      <c r="H97" s="330">
        <f t="shared" si="19"/>
        <v>0.32</v>
      </c>
      <c r="I97" s="331"/>
      <c r="S97" s="311"/>
    </row>
    <row r="98">
      <c r="A98" s="27"/>
      <c r="B98" s="40"/>
      <c r="C98" s="320" t="s">
        <v>617</v>
      </c>
      <c r="D98" s="321">
        <v>0.0</v>
      </c>
      <c r="E98" s="320">
        <v>0.0</v>
      </c>
      <c r="F98" s="320"/>
      <c r="G98" s="320">
        <v>0.0</v>
      </c>
      <c r="H98" s="330">
        <v>0.0</v>
      </c>
      <c r="I98" s="331"/>
      <c r="S98" s="311"/>
    </row>
    <row r="99">
      <c r="A99" s="27"/>
      <c r="B99" s="338" t="s">
        <v>618</v>
      </c>
      <c r="C99" s="20"/>
      <c r="D99" s="321">
        <v>197500.0</v>
      </c>
      <c r="E99" s="320">
        <v>6706.0</v>
      </c>
      <c r="F99" s="333"/>
      <c r="G99" s="333" t="str">
        <f>'PENDATAAN PERUMAHAN'!H312</f>
        <v/>
      </c>
      <c r="H99" s="330">
        <f t="shared" ref="H99:H100" si="20">G99/D99</f>
        <v>0</v>
      </c>
      <c r="I99" s="331"/>
      <c r="S99" s="311"/>
    </row>
    <row r="100">
      <c r="A100" s="40"/>
      <c r="B100" s="338" t="s">
        <v>619</v>
      </c>
      <c r="C100" s="20"/>
      <c r="D100" s="321">
        <v>300000.0</v>
      </c>
      <c r="E100" s="320">
        <v>0.0</v>
      </c>
      <c r="F100" s="320"/>
      <c r="G100" s="320">
        <v>0.0</v>
      </c>
      <c r="H100" s="330">
        <f t="shared" si="20"/>
        <v>0</v>
      </c>
      <c r="I100" s="331"/>
      <c r="S100" s="311"/>
    </row>
    <row r="101">
      <c r="A101" s="340"/>
      <c r="B101" s="19"/>
      <c r="C101" s="19"/>
      <c r="D101" s="19"/>
      <c r="E101" s="19"/>
      <c r="F101" s="19"/>
      <c r="G101" s="19"/>
      <c r="H101" s="19"/>
      <c r="I101" s="20"/>
      <c r="S101" s="311"/>
    </row>
    <row r="102">
      <c r="A102" s="318" t="s">
        <v>621</v>
      </c>
      <c r="B102" s="337" t="s">
        <v>602</v>
      </c>
      <c r="C102" s="320" t="s">
        <v>603</v>
      </c>
      <c r="D102" s="321">
        <v>15110.0</v>
      </c>
      <c r="E102" s="320">
        <v>0.0</v>
      </c>
      <c r="F102" s="334"/>
      <c r="G102" s="334" t="str">
        <f>'PENDATAAN PERUMAHAN'!N312</f>
        <v/>
      </c>
      <c r="H102" s="330">
        <f t="shared" ref="H102:H104" si="21">G102/D102</f>
        <v>0</v>
      </c>
      <c r="I102" s="331"/>
      <c r="S102" s="311"/>
    </row>
    <row r="103">
      <c r="A103" s="27"/>
      <c r="B103" s="27"/>
      <c r="C103" s="320" t="s">
        <v>623</v>
      </c>
      <c r="D103" s="321">
        <v>675.0</v>
      </c>
      <c r="E103" s="320">
        <v>0.0</v>
      </c>
      <c r="F103" s="320"/>
      <c r="G103" s="320" t="str">
        <f>'PENDATAAN PERUMAHAN'!P312</f>
        <v/>
      </c>
      <c r="H103" s="330">
        <f t="shared" si="21"/>
        <v>0</v>
      </c>
      <c r="I103" s="331"/>
      <c r="S103" s="311"/>
    </row>
    <row r="104">
      <c r="A104" s="27"/>
      <c r="B104" s="27"/>
      <c r="C104" s="320" t="s">
        <v>624</v>
      </c>
      <c r="D104" s="321">
        <v>100.0</v>
      </c>
      <c r="E104" s="320">
        <v>549.0</v>
      </c>
      <c r="F104" s="333"/>
      <c r="G104" s="333" t="str">
        <f>'PENDATAAN PERUMAHAN'!O312</f>
        <v/>
      </c>
      <c r="H104" s="330">
        <f t="shared" si="21"/>
        <v>0</v>
      </c>
      <c r="I104" s="332" t="s">
        <v>637</v>
      </c>
      <c r="S104" s="311"/>
    </row>
    <row r="105">
      <c r="A105" s="27"/>
      <c r="B105" s="27"/>
      <c r="C105" s="320" t="s">
        <v>606</v>
      </c>
      <c r="D105" s="400"/>
      <c r="E105" s="346">
        <v>0.0</v>
      </c>
      <c r="F105" s="347"/>
      <c r="G105" s="347">
        <v>0.0</v>
      </c>
      <c r="H105" s="330">
        <v>0.0</v>
      </c>
      <c r="I105" s="331"/>
      <c r="S105" s="311"/>
    </row>
    <row r="106">
      <c r="A106" s="27"/>
      <c r="B106" s="27"/>
      <c r="C106" s="320" t="s">
        <v>607</v>
      </c>
      <c r="D106" s="321">
        <v>13500.0</v>
      </c>
      <c r="E106" s="349">
        <v>24219.0</v>
      </c>
      <c r="F106" s="401"/>
      <c r="G106" s="333" t="str">
        <f>'PENDATAAN PERUMAHAN'!R312</f>
        <v/>
      </c>
      <c r="H106" s="330">
        <f t="shared" ref="H106:H109" si="22">G106/D106</f>
        <v>0</v>
      </c>
      <c r="I106" s="331"/>
      <c r="S106" s="311"/>
    </row>
    <row r="107">
      <c r="A107" s="27"/>
      <c r="B107" s="40"/>
      <c r="C107" s="320" t="s">
        <v>608</v>
      </c>
      <c r="D107" s="321">
        <v>42200.0</v>
      </c>
      <c r="E107" s="322">
        <v>2272.0</v>
      </c>
      <c r="F107" s="333"/>
      <c r="G107" s="333" t="str">
        <f>'PENDATAAN PERUMAHAN'!Q312</f>
        <v/>
      </c>
      <c r="H107" s="330">
        <f t="shared" si="22"/>
        <v>0</v>
      </c>
      <c r="I107" s="331"/>
      <c r="S107" s="311"/>
    </row>
    <row r="108">
      <c r="A108" s="27"/>
      <c r="B108" s="337" t="s">
        <v>615</v>
      </c>
      <c r="C108" s="320" t="s">
        <v>22</v>
      </c>
      <c r="D108" s="321">
        <v>600.0</v>
      </c>
      <c r="E108" s="320">
        <v>1802.0</v>
      </c>
      <c r="F108" s="329"/>
      <c r="G108" s="329">
        <v>1802.0</v>
      </c>
      <c r="H108" s="330">
        <f t="shared" si="22"/>
        <v>3.003333333</v>
      </c>
      <c r="I108" s="331"/>
      <c r="S108" s="311"/>
    </row>
    <row r="109">
      <c r="A109" s="27"/>
      <c r="B109" s="27"/>
      <c r="C109" s="320" t="s">
        <v>519</v>
      </c>
      <c r="D109" s="321">
        <v>200.0</v>
      </c>
      <c r="E109" s="320">
        <v>169.0</v>
      </c>
      <c r="F109" s="320"/>
      <c r="G109" s="320">
        <v>169.0</v>
      </c>
      <c r="H109" s="330">
        <f t="shared" si="22"/>
        <v>0.845</v>
      </c>
      <c r="I109" s="331"/>
      <c r="S109" s="311"/>
    </row>
    <row r="110">
      <c r="A110" s="27"/>
      <c r="B110" s="40"/>
      <c r="C110" s="320" t="s">
        <v>617</v>
      </c>
      <c r="D110" s="321">
        <v>0.0</v>
      </c>
      <c r="E110" s="320">
        <v>0.0</v>
      </c>
      <c r="F110" s="320"/>
      <c r="G110" s="320">
        <v>0.0</v>
      </c>
      <c r="H110" s="330">
        <v>0.0</v>
      </c>
      <c r="I110" s="331"/>
      <c r="S110" s="311"/>
    </row>
    <row r="111">
      <c r="A111" s="40"/>
      <c r="B111" s="338" t="s">
        <v>618</v>
      </c>
      <c r="C111" s="20"/>
      <c r="D111" s="321">
        <v>486897.0</v>
      </c>
      <c r="E111" s="320">
        <v>1105.0</v>
      </c>
      <c r="F111" s="333"/>
      <c r="G111" s="333" t="str">
        <f>'PENDATAAN PERUMAHAN'!U312</f>
        <v/>
      </c>
      <c r="H111" s="330">
        <f t="shared" ref="H111:H112" si="23">G111/D111</f>
        <v>0</v>
      </c>
      <c r="I111" s="331"/>
      <c r="S111" s="311"/>
    </row>
    <row r="112">
      <c r="A112" s="351" t="s">
        <v>628</v>
      </c>
      <c r="B112" s="19"/>
      <c r="C112" s="20"/>
      <c r="D112" s="352">
        <v>1518200.0</v>
      </c>
      <c r="E112" s="352">
        <f>SUM(E88:E111)</f>
        <v>120438</v>
      </c>
      <c r="F112" s="353"/>
      <c r="G112" s="353">
        <f>SUM(G88:G111)</f>
        <v>73238</v>
      </c>
      <c r="H112" s="354">
        <f t="shared" si="23"/>
        <v>0.04824002108</v>
      </c>
      <c r="I112" s="355"/>
      <c r="S112" s="311"/>
    </row>
    <row r="113">
      <c r="I113" s="310"/>
      <c r="S113" s="311"/>
    </row>
    <row r="114">
      <c r="A114" s="312" t="s">
        <v>596</v>
      </c>
      <c r="B114" s="19"/>
      <c r="C114" s="20"/>
      <c r="D114" s="313" t="s">
        <v>548</v>
      </c>
      <c r="E114" s="314" t="s">
        <v>640</v>
      </c>
      <c r="F114" s="314" t="s">
        <v>597</v>
      </c>
      <c r="G114" s="315" t="s">
        <v>503</v>
      </c>
      <c r="H114" s="314" t="s">
        <v>599</v>
      </c>
      <c r="I114" s="316" t="s">
        <v>11</v>
      </c>
      <c r="S114" s="311"/>
    </row>
    <row r="115">
      <c r="A115" s="318" t="s">
        <v>601</v>
      </c>
      <c r="B115" s="319" t="s">
        <v>602</v>
      </c>
      <c r="C115" s="320" t="s">
        <v>603</v>
      </c>
      <c r="D115" s="321">
        <v>518.0</v>
      </c>
      <c r="E115" s="322">
        <v>0.0</v>
      </c>
      <c r="F115" s="322"/>
      <c r="G115" s="322"/>
      <c r="H115" s="322" t="s">
        <v>0</v>
      </c>
      <c r="I115" s="323"/>
      <c r="S115" s="311"/>
    </row>
    <row r="116">
      <c r="A116" s="27"/>
      <c r="B116" s="27"/>
      <c r="C116" s="320" t="s">
        <v>604</v>
      </c>
      <c r="D116" s="321">
        <v>217500.0</v>
      </c>
      <c r="E116" s="320">
        <v>71251.0</v>
      </c>
      <c r="F116" s="329">
        <f t="shared" ref="F116:F127" si="24">G116-E116</f>
        <v>-71251</v>
      </c>
      <c r="G116" s="329" t="str">
        <f>'PENDATAAN PERUMAHAN'!E339</f>
        <v/>
      </c>
      <c r="H116" s="330">
        <f>G116/D116</f>
        <v>0</v>
      </c>
      <c r="I116" s="331"/>
      <c r="S116" s="311"/>
    </row>
    <row r="117">
      <c r="A117" s="27"/>
      <c r="B117" s="27"/>
      <c r="C117" s="320" t="s">
        <v>33</v>
      </c>
      <c r="D117" s="321">
        <v>0.0</v>
      </c>
      <c r="E117" s="320">
        <v>138.0</v>
      </c>
      <c r="F117" s="329">
        <f t="shared" si="24"/>
        <v>-138</v>
      </c>
      <c r="G117" s="329" t="str">
        <f>'PENDATAAN PERUMAHAN'!K339</f>
        <v/>
      </c>
      <c r="H117" s="330">
        <f>G117/131</f>
        <v>0</v>
      </c>
      <c r="I117" s="332" t="s">
        <v>605</v>
      </c>
      <c r="S117" s="311"/>
    </row>
    <row r="118">
      <c r="A118" s="27"/>
      <c r="B118" s="27"/>
      <c r="C118" s="320" t="s">
        <v>606</v>
      </c>
      <c r="D118" s="400"/>
      <c r="E118" s="320">
        <v>0.0</v>
      </c>
      <c r="F118" s="329">
        <f t="shared" si="24"/>
        <v>0</v>
      </c>
      <c r="G118" s="320">
        <v>0.0</v>
      </c>
      <c r="H118" s="330"/>
      <c r="I118" s="331"/>
      <c r="S118" s="311"/>
    </row>
    <row r="119">
      <c r="A119" s="27"/>
      <c r="B119" s="27"/>
      <c r="C119" s="320" t="s">
        <v>607</v>
      </c>
      <c r="D119" s="321">
        <v>2500.0</v>
      </c>
      <c r="E119" s="320">
        <v>3979.0</v>
      </c>
      <c r="F119" s="329">
        <f t="shared" si="24"/>
        <v>-3979</v>
      </c>
      <c r="G119" s="333" t="str">
        <f>'PENDATAAN PERUMAHAN'!M339</f>
        <v/>
      </c>
      <c r="H119" s="330">
        <f>G119/D119</f>
        <v>0</v>
      </c>
      <c r="I119" s="331"/>
      <c r="S119" s="311"/>
    </row>
    <row r="120">
      <c r="A120" s="27"/>
      <c r="B120" s="40"/>
      <c r="C120" s="320" t="s">
        <v>608</v>
      </c>
      <c r="D120" s="321">
        <v>0.0</v>
      </c>
      <c r="E120" s="320">
        <v>412.0</v>
      </c>
      <c r="F120" s="329">
        <f t="shared" si="24"/>
        <v>-412</v>
      </c>
      <c r="G120" s="334" t="str">
        <f>'PENDATAAN PERUMAHAN'!L339</f>
        <v/>
      </c>
      <c r="H120" s="330">
        <f>G120/409</f>
        <v>0</v>
      </c>
      <c r="I120" s="331"/>
      <c r="S120" s="311"/>
    </row>
    <row r="121">
      <c r="A121" s="27"/>
      <c r="B121" s="335" t="s">
        <v>611</v>
      </c>
      <c r="C121" s="320" t="s">
        <v>634</v>
      </c>
      <c r="D121" s="321">
        <v>160000.0</v>
      </c>
      <c r="E121" s="320">
        <v>14196.0</v>
      </c>
      <c r="F121" s="329">
        <f t="shared" si="24"/>
        <v>-14196</v>
      </c>
      <c r="G121" s="333" t="str">
        <f>'PENDATAAN PERUMAHAN'!F339</f>
        <v/>
      </c>
      <c r="H121" s="330">
        <f t="shared" ref="H121:H124" si="25">G121/D121</f>
        <v>0</v>
      </c>
      <c r="I121" s="331"/>
      <c r="S121" s="311"/>
    </row>
    <row r="122">
      <c r="A122" s="27"/>
      <c r="B122" s="40"/>
      <c r="C122" s="320" t="s">
        <v>614</v>
      </c>
      <c r="D122" s="321">
        <v>80000.0</v>
      </c>
      <c r="E122" s="320">
        <v>99.0</v>
      </c>
      <c r="F122" s="329">
        <f t="shared" si="24"/>
        <v>-99</v>
      </c>
      <c r="G122" s="333" t="str">
        <f>'PENDATAAN PERUMAHAN'!G339</f>
        <v/>
      </c>
      <c r="H122" s="330">
        <f t="shared" si="25"/>
        <v>0</v>
      </c>
      <c r="I122" s="331"/>
      <c r="S122" s="311"/>
    </row>
    <row r="123">
      <c r="A123" s="27"/>
      <c r="B123" s="337" t="s">
        <v>615</v>
      </c>
      <c r="C123" s="320" t="s">
        <v>616</v>
      </c>
      <c r="D123" s="321">
        <v>850.0</v>
      </c>
      <c r="E123" s="320">
        <v>291.0</v>
      </c>
      <c r="F123" s="329">
        <f t="shared" si="24"/>
        <v>0</v>
      </c>
      <c r="G123" s="329">
        <v>291.0</v>
      </c>
      <c r="H123" s="330">
        <f t="shared" si="25"/>
        <v>0.3423529412</v>
      </c>
      <c r="I123" s="332"/>
      <c r="S123" s="311"/>
    </row>
    <row r="124">
      <c r="A124" s="27"/>
      <c r="B124" s="27"/>
      <c r="C124" s="320" t="s">
        <v>519</v>
      </c>
      <c r="D124" s="321">
        <v>50.0</v>
      </c>
      <c r="E124" s="320">
        <v>16.0</v>
      </c>
      <c r="F124" s="329">
        <f t="shared" si="24"/>
        <v>0</v>
      </c>
      <c r="G124" s="320">
        <v>16.0</v>
      </c>
      <c r="H124" s="330">
        <f t="shared" si="25"/>
        <v>0.32</v>
      </c>
      <c r="I124" s="331"/>
      <c r="S124" s="311"/>
    </row>
    <row r="125">
      <c r="A125" s="27"/>
      <c r="B125" s="40"/>
      <c r="C125" s="320" t="s">
        <v>617</v>
      </c>
      <c r="D125" s="321">
        <v>0.0</v>
      </c>
      <c r="E125" s="320">
        <v>0.0</v>
      </c>
      <c r="F125" s="329">
        <f t="shared" si="24"/>
        <v>0</v>
      </c>
      <c r="G125" s="320">
        <v>0.0</v>
      </c>
      <c r="H125" s="330">
        <v>0.0</v>
      </c>
      <c r="I125" s="331"/>
      <c r="S125" s="311"/>
    </row>
    <row r="126">
      <c r="A126" s="27"/>
      <c r="B126" s="338" t="s">
        <v>618</v>
      </c>
      <c r="C126" s="20"/>
      <c r="D126" s="321">
        <v>197500.0</v>
      </c>
      <c r="E126" s="320">
        <v>6825.0</v>
      </c>
      <c r="F126" s="329">
        <f t="shared" si="24"/>
        <v>-6825</v>
      </c>
      <c r="G126" s="333" t="str">
        <f>'PENDATAAN PERUMAHAN'!H339</f>
        <v/>
      </c>
      <c r="H126" s="330">
        <f t="shared" ref="H126:H127" si="26">G126/D126</f>
        <v>0</v>
      </c>
      <c r="I126" s="331"/>
      <c r="S126" s="311"/>
    </row>
    <row r="127">
      <c r="A127" s="40"/>
      <c r="B127" s="338" t="s">
        <v>619</v>
      </c>
      <c r="C127" s="20"/>
      <c r="D127" s="321">
        <v>300000.0</v>
      </c>
      <c r="E127" s="320">
        <v>0.0</v>
      </c>
      <c r="F127" s="329">
        <f t="shared" si="24"/>
        <v>0</v>
      </c>
      <c r="G127" s="320">
        <v>0.0</v>
      </c>
      <c r="H127" s="330">
        <f t="shared" si="26"/>
        <v>0</v>
      </c>
      <c r="I127" s="331"/>
      <c r="S127" s="311"/>
    </row>
    <row r="128">
      <c r="A128" s="340"/>
      <c r="B128" s="19"/>
      <c r="C128" s="19"/>
      <c r="D128" s="19"/>
      <c r="E128" s="19"/>
      <c r="F128" s="19"/>
      <c r="G128" s="19"/>
      <c r="H128" s="19"/>
      <c r="I128" s="20"/>
      <c r="S128" s="311"/>
    </row>
    <row r="129">
      <c r="A129" s="318" t="s">
        <v>620</v>
      </c>
      <c r="B129" s="337" t="s">
        <v>602</v>
      </c>
      <c r="C129" s="320" t="s">
        <v>603</v>
      </c>
      <c r="D129" s="321">
        <v>15110.0</v>
      </c>
      <c r="E129" s="320">
        <v>0.0</v>
      </c>
      <c r="F129" s="334">
        <f t="shared" ref="F129:F139" si="27">G129-E129</f>
        <v>0</v>
      </c>
      <c r="G129" s="334" t="str">
        <f>'PENDATAAN PERUMAHAN'!N339</f>
        <v/>
      </c>
      <c r="H129" s="330">
        <f t="shared" ref="H129:H131" si="28">G129/D129</f>
        <v>0</v>
      </c>
      <c r="I129" s="331"/>
      <c r="S129" s="311"/>
    </row>
    <row r="130">
      <c r="A130" s="27"/>
      <c r="B130" s="27"/>
      <c r="C130" s="320" t="s">
        <v>623</v>
      </c>
      <c r="D130" s="321">
        <v>675.0</v>
      </c>
      <c r="E130" s="320">
        <v>79.0</v>
      </c>
      <c r="F130" s="334">
        <f t="shared" si="27"/>
        <v>-79</v>
      </c>
      <c r="G130" s="320" t="str">
        <f>'PENDATAAN PERUMAHAN'!P339</f>
        <v/>
      </c>
      <c r="H130" s="330">
        <f t="shared" si="28"/>
        <v>0</v>
      </c>
      <c r="I130" s="331"/>
      <c r="S130" s="311"/>
    </row>
    <row r="131">
      <c r="A131" s="27"/>
      <c r="B131" s="27"/>
      <c r="C131" s="320" t="s">
        <v>624</v>
      </c>
      <c r="D131" s="321">
        <v>100.0</v>
      </c>
      <c r="E131" s="320">
        <v>594.0</v>
      </c>
      <c r="F131" s="333">
        <f t="shared" si="27"/>
        <v>-594</v>
      </c>
      <c r="G131" s="333" t="str">
        <f>'PENDATAAN PERUMAHAN'!O339</f>
        <v/>
      </c>
      <c r="H131" s="330">
        <f t="shared" si="28"/>
        <v>0</v>
      </c>
      <c r="I131" s="332" t="s">
        <v>625</v>
      </c>
      <c r="S131" s="311"/>
    </row>
    <row r="132">
      <c r="A132" s="27"/>
      <c r="B132" s="27"/>
      <c r="C132" s="320" t="s">
        <v>606</v>
      </c>
      <c r="D132" s="400"/>
      <c r="E132" s="346">
        <v>0.0</v>
      </c>
      <c r="F132" s="334">
        <f t="shared" si="27"/>
        <v>0</v>
      </c>
      <c r="G132" s="347">
        <v>0.0</v>
      </c>
      <c r="H132" s="330">
        <v>0.0</v>
      </c>
      <c r="I132" s="331"/>
      <c r="S132" s="311"/>
    </row>
    <row r="133">
      <c r="A133" s="27"/>
      <c r="B133" s="27"/>
      <c r="C133" s="320" t="s">
        <v>607</v>
      </c>
      <c r="D133" s="321">
        <v>13500.0</v>
      </c>
      <c r="E133" s="349">
        <v>25808.0</v>
      </c>
      <c r="F133" s="333">
        <f t="shared" si="27"/>
        <v>-25808</v>
      </c>
      <c r="G133" s="333" t="str">
        <f>'PENDATAAN PERUMAHAN'!R339</f>
        <v/>
      </c>
      <c r="H133" s="330">
        <f t="shared" ref="H133:H136" si="29">G133/D133</f>
        <v>0</v>
      </c>
      <c r="I133" s="331"/>
      <c r="S133" s="311"/>
    </row>
    <row r="134">
      <c r="A134" s="27"/>
      <c r="B134" s="40"/>
      <c r="C134" s="320" t="s">
        <v>608</v>
      </c>
      <c r="D134" s="321">
        <v>42200.0</v>
      </c>
      <c r="E134" s="322">
        <v>2435.0</v>
      </c>
      <c r="F134" s="333">
        <f t="shared" si="27"/>
        <v>-2435</v>
      </c>
      <c r="G134" s="333" t="str">
        <f>'PENDATAAN PERUMAHAN'!Q339</f>
        <v/>
      </c>
      <c r="H134" s="330">
        <f t="shared" si="29"/>
        <v>0</v>
      </c>
      <c r="I134" s="331"/>
      <c r="S134" s="311"/>
    </row>
    <row r="135">
      <c r="A135" s="27"/>
      <c r="B135" s="337" t="s">
        <v>615</v>
      </c>
      <c r="C135" s="320" t="s">
        <v>22</v>
      </c>
      <c r="D135" s="321">
        <v>600.0</v>
      </c>
      <c r="E135" s="320">
        <v>1517.0</v>
      </c>
      <c r="F135" s="333">
        <f t="shared" si="27"/>
        <v>0</v>
      </c>
      <c r="G135" s="329">
        <v>1517.0</v>
      </c>
      <c r="H135" s="330">
        <f t="shared" si="29"/>
        <v>2.528333333</v>
      </c>
      <c r="I135" s="331"/>
      <c r="S135" s="311"/>
    </row>
    <row r="136">
      <c r="A136" s="27"/>
      <c r="B136" s="27"/>
      <c r="C136" s="320" t="s">
        <v>519</v>
      </c>
      <c r="D136" s="321">
        <v>200.0</v>
      </c>
      <c r="E136" s="320">
        <v>169.0</v>
      </c>
      <c r="F136" s="334">
        <f t="shared" si="27"/>
        <v>0</v>
      </c>
      <c r="G136" s="320">
        <v>169.0</v>
      </c>
      <c r="H136" s="330">
        <f t="shared" si="29"/>
        <v>0.845</v>
      </c>
      <c r="I136" s="331"/>
      <c r="S136" s="311"/>
    </row>
    <row r="137">
      <c r="A137" s="27"/>
      <c r="B137" s="40"/>
      <c r="C137" s="320" t="s">
        <v>617</v>
      </c>
      <c r="D137" s="321">
        <v>0.0</v>
      </c>
      <c r="E137" s="320">
        <v>0.0</v>
      </c>
      <c r="F137" s="334">
        <f t="shared" si="27"/>
        <v>0</v>
      </c>
      <c r="G137" s="320">
        <v>0.0</v>
      </c>
      <c r="H137" s="330">
        <v>0.0</v>
      </c>
      <c r="I137" s="331"/>
      <c r="S137" s="311"/>
    </row>
    <row r="138">
      <c r="A138" s="40"/>
      <c r="B138" s="338" t="s">
        <v>618</v>
      </c>
      <c r="C138" s="20"/>
      <c r="D138" s="321">
        <v>486897.0</v>
      </c>
      <c r="E138" s="320">
        <v>1164.0</v>
      </c>
      <c r="F138" s="333">
        <f t="shared" si="27"/>
        <v>-1164</v>
      </c>
      <c r="G138" s="333" t="str">
        <f>'PENDATAAN PERUMAHAN'!U339</f>
        <v/>
      </c>
      <c r="H138" s="330">
        <f t="shared" ref="H138:H139" si="30">G138/D138</f>
        <v>0</v>
      </c>
      <c r="I138" s="331"/>
      <c r="S138" s="311"/>
    </row>
    <row r="139">
      <c r="A139" s="351" t="s">
        <v>628</v>
      </c>
      <c r="B139" s="19"/>
      <c r="C139" s="20"/>
      <c r="D139" s="352">
        <v>1518200.0</v>
      </c>
      <c r="E139" s="352">
        <f>SUM(E115:E138)</f>
        <v>128973</v>
      </c>
      <c r="F139" s="353">
        <f t="shared" si="27"/>
        <v>-126980</v>
      </c>
      <c r="G139" s="353">
        <f>SUM(G115:G138)</f>
        <v>1993</v>
      </c>
      <c r="H139" s="354">
        <f t="shared" si="30"/>
        <v>0.00131273877</v>
      </c>
      <c r="I139" s="355"/>
      <c r="S139" s="311"/>
    </row>
    <row r="140">
      <c r="I140" s="310"/>
      <c r="S140" s="311"/>
    </row>
    <row r="141">
      <c r="I141" s="310"/>
      <c r="S141" s="311"/>
    </row>
    <row r="142">
      <c r="A142" s="248" t="s">
        <v>641</v>
      </c>
      <c r="I142" s="310"/>
      <c r="S142" s="311"/>
    </row>
    <row r="143">
      <c r="A143" s="312" t="s">
        <v>596</v>
      </c>
      <c r="B143" s="19"/>
      <c r="C143" s="20"/>
      <c r="D143" s="313" t="s">
        <v>548</v>
      </c>
      <c r="E143" s="314" t="s">
        <v>597</v>
      </c>
      <c r="F143" s="314" t="s">
        <v>598</v>
      </c>
      <c r="G143" s="315" t="s">
        <v>503</v>
      </c>
      <c r="H143" s="314" t="s">
        <v>599</v>
      </c>
      <c r="I143" s="316" t="s">
        <v>11</v>
      </c>
      <c r="S143" s="311"/>
    </row>
    <row r="144">
      <c r="A144" s="318" t="s">
        <v>601</v>
      </c>
      <c r="B144" s="319" t="s">
        <v>602</v>
      </c>
      <c r="C144" s="320" t="s">
        <v>603</v>
      </c>
      <c r="D144" s="321">
        <v>518.0</v>
      </c>
      <c r="E144" s="322">
        <v>0.0</v>
      </c>
      <c r="F144" s="322">
        <v>0.0</v>
      </c>
      <c r="G144" s="322">
        <v>0.0</v>
      </c>
      <c r="H144" s="322" t="s">
        <v>0</v>
      </c>
      <c r="I144" s="323"/>
      <c r="S144" s="311"/>
    </row>
    <row r="145">
      <c r="A145" s="27"/>
      <c r="B145" s="27"/>
      <c r="C145" s="320" t="s">
        <v>604</v>
      </c>
      <c r="D145" s="321">
        <v>217500.0</v>
      </c>
      <c r="E145" s="320">
        <v>92569.0</v>
      </c>
      <c r="F145" s="329">
        <f t="shared" ref="F145:F156" si="31">G145-E145</f>
        <v>53017</v>
      </c>
      <c r="G145" s="329">
        <f>'PENDATAAN PERUMAHAN'!E229</f>
        <v>145586</v>
      </c>
      <c r="H145" s="330">
        <f>G145/D145</f>
        <v>0.6693609195</v>
      </c>
      <c r="I145" s="331"/>
      <c r="S145" s="311"/>
    </row>
    <row r="146">
      <c r="A146" s="27"/>
      <c r="B146" s="27"/>
      <c r="C146" s="320" t="s">
        <v>33</v>
      </c>
      <c r="D146" s="321">
        <v>0.0</v>
      </c>
      <c r="E146" s="320">
        <v>67.0</v>
      </c>
      <c r="F146" s="329">
        <f t="shared" si="31"/>
        <v>6</v>
      </c>
      <c r="G146" s="329">
        <f>'PENDATAAN PERUMAHAN'!K229</f>
        <v>73</v>
      </c>
      <c r="H146" s="330">
        <f>G146/131</f>
        <v>0.5572519084</v>
      </c>
      <c r="I146" s="332" t="s">
        <v>605</v>
      </c>
      <c r="S146" s="311"/>
    </row>
    <row r="147">
      <c r="A147" s="27"/>
      <c r="B147" s="27"/>
      <c r="C147" s="320" t="s">
        <v>606</v>
      </c>
      <c r="D147" s="400"/>
      <c r="E147" s="320">
        <v>0.0</v>
      </c>
      <c r="F147" s="329">
        <f t="shared" si="31"/>
        <v>0</v>
      </c>
      <c r="G147" s="320">
        <v>0.0</v>
      </c>
      <c r="H147" s="330"/>
      <c r="I147" s="331"/>
      <c r="S147" s="311"/>
    </row>
    <row r="148">
      <c r="A148" s="27"/>
      <c r="B148" s="27"/>
      <c r="C148" s="320" t="s">
        <v>607</v>
      </c>
      <c r="D148" s="321">
        <v>2500.0</v>
      </c>
      <c r="E148" s="320">
        <v>4222.0</v>
      </c>
      <c r="F148" s="329">
        <f t="shared" si="31"/>
        <v>805</v>
      </c>
      <c r="G148" s="333">
        <f>'PENDATAAN PERUMAHAN'!M229</f>
        <v>5027</v>
      </c>
      <c r="H148" s="330">
        <f>G148/D148</f>
        <v>2.0108</v>
      </c>
      <c r="I148" s="331"/>
      <c r="S148" s="311"/>
    </row>
    <row r="149">
      <c r="A149" s="27"/>
      <c r="B149" s="40"/>
      <c r="C149" s="320" t="s">
        <v>608</v>
      </c>
      <c r="D149" s="321">
        <v>0.0</v>
      </c>
      <c r="E149" s="320">
        <v>421.0</v>
      </c>
      <c r="F149" s="329">
        <f t="shared" si="31"/>
        <v>575</v>
      </c>
      <c r="G149" s="334">
        <f>'PENDATAAN PERUMAHAN'!L229</f>
        <v>996</v>
      </c>
      <c r="H149" s="330">
        <f>G149/409</f>
        <v>2.435207824</v>
      </c>
      <c r="I149" s="332" t="s">
        <v>609</v>
      </c>
      <c r="S149" s="311"/>
    </row>
    <row r="150">
      <c r="A150" s="27"/>
      <c r="B150" s="335" t="s">
        <v>611</v>
      </c>
      <c r="C150" s="320" t="s">
        <v>612</v>
      </c>
      <c r="D150" s="321">
        <v>160000.0</v>
      </c>
      <c r="E150" s="320">
        <v>14408.0</v>
      </c>
      <c r="F150" s="329">
        <f t="shared" si="31"/>
        <v>1631</v>
      </c>
      <c r="G150" s="333">
        <f>'PENDATAAN PERUMAHAN'!F229</f>
        <v>16039</v>
      </c>
      <c r="H150" s="330">
        <f t="shared" ref="H150:H153" si="32">G150/D150</f>
        <v>0.10024375</v>
      </c>
      <c r="I150" s="331"/>
      <c r="K150" s="317" t="s">
        <v>583</v>
      </c>
      <c r="L150" s="317">
        <v>309.0</v>
      </c>
      <c r="S150" s="311"/>
    </row>
    <row r="151">
      <c r="A151" s="27"/>
      <c r="B151" s="40"/>
      <c r="C151" s="320" t="s">
        <v>614</v>
      </c>
      <c r="D151" s="321">
        <v>80000.0</v>
      </c>
      <c r="E151" s="320">
        <v>177.0</v>
      </c>
      <c r="F151" s="329">
        <f t="shared" si="31"/>
        <v>0</v>
      </c>
      <c r="G151" s="333">
        <f>'PENDATAAN PERUMAHAN'!G229</f>
        <v>177</v>
      </c>
      <c r="H151" s="330">
        <f t="shared" si="32"/>
        <v>0.0022125</v>
      </c>
      <c r="I151" s="331"/>
      <c r="K151" s="317" t="s">
        <v>584</v>
      </c>
      <c r="L151" s="317">
        <v>1788.0</v>
      </c>
      <c r="S151" s="311"/>
    </row>
    <row r="152">
      <c r="A152" s="27"/>
      <c r="B152" s="337" t="s">
        <v>615</v>
      </c>
      <c r="C152" s="320" t="s">
        <v>616</v>
      </c>
      <c r="D152" s="321">
        <v>850.0</v>
      </c>
      <c r="E152" s="320">
        <v>293.0</v>
      </c>
      <c r="F152" s="329">
        <f t="shared" si="31"/>
        <v>7</v>
      </c>
      <c r="G152" s="329">
        <v>300.0</v>
      </c>
      <c r="H152" s="330">
        <f t="shared" si="32"/>
        <v>0.3529411765</v>
      </c>
      <c r="I152" s="332"/>
      <c r="K152" s="317" t="s">
        <v>491</v>
      </c>
      <c r="L152" s="249">
        <f>L150+L151</f>
        <v>2097</v>
      </c>
      <c r="S152" s="311"/>
    </row>
    <row r="153">
      <c r="A153" s="27"/>
      <c r="B153" s="27"/>
      <c r="C153" s="320" t="s">
        <v>519</v>
      </c>
      <c r="D153" s="321">
        <v>50.0</v>
      </c>
      <c r="E153" s="320">
        <v>16.0</v>
      </c>
      <c r="F153" s="329">
        <f t="shared" si="31"/>
        <v>0</v>
      </c>
      <c r="G153" s="320">
        <v>16.0</v>
      </c>
      <c r="H153" s="330">
        <f t="shared" si="32"/>
        <v>0.32</v>
      </c>
      <c r="I153" s="331"/>
      <c r="S153" s="311"/>
    </row>
    <row r="154">
      <c r="A154" s="27"/>
      <c r="B154" s="40"/>
      <c r="C154" s="320" t="s">
        <v>617</v>
      </c>
      <c r="D154" s="321">
        <v>0.0</v>
      </c>
      <c r="E154" s="320">
        <v>0.0</v>
      </c>
      <c r="F154" s="329">
        <f t="shared" si="31"/>
        <v>0</v>
      </c>
      <c r="G154" s="320">
        <v>0.0</v>
      </c>
      <c r="H154" s="330">
        <v>0.0</v>
      </c>
      <c r="I154" s="331"/>
      <c r="S154" s="311"/>
    </row>
    <row r="155">
      <c r="A155" s="27"/>
      <c r="B155" s="338" t="s">
        <v>618</v>
      </c>
      <c r="C155" s="20"/>
      <c r="D155" s="321">
        <v>197500.0</v>
      </c>
      <c r="E155" s="320">
        <v>7040.0</v>
      </c>
      <c r="F155" s="329">
        <f t="shared" si="31"/>
        <v>2404</v>
      </c>
      <c r="G155" s="333">
        <f>'PENDATAAN PERUMAHAN'!H229</f>
        <v>9444</v>
      </c>
      <c r="H155" s="330">
        <f t="shared" ref="H155:H156" si="33">G155/D155</f>
        <v>0.04781772152</v>
      </c>
      <c r="I155" s="331"/>
      <c r="J155" s="169">
        <f>SUM(G146:G156)</f>
        <v>32072</v>
      </c>
      <c r="S155" s="311"/>
    </row>
    <row r="156">
      <c r="A156" s="40"/>
      <c r="B156" s="338" t="s">
        <v>619</v>
      </c>
      <c r="C156" s="20"/>
      <c r="D156" s="321">
        <v>300000.0</v>
      </c>
      <c r="E156" s="320">
        <v>0.0</v>
      </c>
      <c r="F156" s="329">
        <f t="shared" si="31"/>
        <v>0</v>
      </c>
      <c r="G156" s="320">
        <v>0.0</v>
      </c>
      <c r="H156" s="330">
        <f t="shared" si="33"/>
        <v>0</v>
      </c>
      <c r="I156" s="331"/>
      <c r="J156" s="169">
        <f>SUM(G145:G156)</f>
        <v>177658</v>
      </c>
      <c r="S156" s="311"/>
    </row>
    <row r="157">
      <c r="A157" s="340"/>
      <c r="B157" s="19"/>
      <c r="C157" s="19"/>
      <c r="D157" s="19"/>
      <c r="E157" s="19"/>
      <c r="F157" s="19"/>
      <c r="G157" s="19"/>
      <c r="H157" s="19"/>
      <c r="I157" s="20"/>
      <c r="S157" s="311"/>
    </row>
    <row r="158">
      <c r="A158" s="318" t="s">
        <v>620</v>
      </c>
      <c r="B158" s="337" t="s">
        <v>602</v>
      </c>
      <c r="C158" s="320" t="s">
        <v>603</v>
      </c>
      <c r="D158" s="321">
        <v>15110.0</v>
      </c>
      <c r="E158" s="320">
        <v>0.0</v>
      </c>
      <c r="F158" s="334">
        <f t="shared" ref="F158:F168" si="34">G158-E158</f>
        <v>0</v>
      </c>
      <c r="G158" s="334">
        <f>'PENDATAAN PERUMAHAN'!N229</f>
        <v>0</v>
      </c>
      <c r="H158" s="330">
        <f t="shared" ref="H158:H160" si="35">G158/D158</f>
        <v>0</v>
      </c>
      <c r="I158" s="331"/>
      <c r="S158" s="311"/>
    </row>
    <row r="159">
      <c r="A159" s="27"/>
      <c r="B159" s="27"/>
      <c r="C159" s="320" t="s">
        <v>623</v>
      </c>
      <c r="D159" s="321">
        <v>675.0</v>
      </c>
      <c r="E159" s="320">
        <v>79.0</v>
      </c>
      <c r="F159" s="334">
        <f t="shared" si="34"/>
        <v>0</v>
      </c>
      <c r="G159" s="320">
        <f>'PENDATAAN PERUMAHAN'!P229</f>
        <v>79</v>
      </c>
      <c r="H159" s="330">
        <f t="shared" si="35"/>
        <v>0.117037037</v>
      </c>
      <c r="I159" s="331"/>
      <c r="S159" s="311"/>
    </row>
    <row r="160">
      <c r="A160" s="27"/>
      <c r="B160" s="27"/>
      <c r="C160" s="320" t="s">
        <v>624</v>
      </c>
      <c r="D160" s="321">
        <v>100.0</v>
      </c>
      <c r="E160" s="320">
        <v>569.0</v>
      </c>
      <c r="F160" s="333">
        <f t="shared" si="34"/>
        <v>10</v>
      </c>
      <c r="G160" s="333">
        <f>'PENDATAAN PERUMAHAN'!O229</f>
        <v>579</v>
      </c>
      <c r="H160" s="330">
        <f t="shared" si="35"/>
        <v>5.79</v>
      </c>
      <c r="I160" s="332" t="s">
        <v>625</v>
      </c>
      <c r="S160" s="311"/>
    </row>
    <row r="161">
      <c r="A161" s="27"/>
      <c r="B161" s="27"/>
      <c r="C161" s="320" t="s">
        <v>606</v>
      </c>
      <c r="D161" s="321">
        <v>0.0</v>
      </c>
      <c r="E161" s="346">
        <v>0.0</v>
      </c>
      <c r="F161" s="334">
        <f t="shared" si="34"/>
        <v>0</v>
      </c>
      <c r="G161" s="347">
        <v>0.0</v>
      </c>
      <c r="H161" s="330">
        <v>0.0</v>
      </c>
      <c r="I161" s="331"/>
      <c r="S161" s="311"/>
    </row>
    <row r="162">
      <c r="A162" s="27"/>
      <c r="B162" s="27"/>
      <c r="C162" s="320" t="s">
        <v>607</v>
      </c>
      <c r="D162" s="321">
        <v>13500.0</v>
      </c>
      <c r="E162" s="349">
        <v>25858.0</v>
      </c>
      <c r="F162" s="333">
        <f t="shared" si="34"/>
        <v>2258</v>
      </c>
      <c r="G162" s="333">
        <f>'PENDATAAN PERUMAHAN'!R229</f>
        <v>28116</v>
      </c>
      <c r="H162" s="330">
        <f t="shared" ref="H162:H165" si="36">G162/D162</f>
        <v>2.082666667</v>
      </c>
      <c r="I162" s="331"/>
      <c r="S162" s="311"/>
    </row>
    <row r="163">
      <c r="A163" s="27"/>
      <c r="B163" s="40"/>
      <c r="C163" s="320" t="s">
        <v>608</v>
      </c>
      <c r="D163" s="321">
        <v>42200.0</v>
      </c>
      <c r="E163" s="322">
        <v>2778.0</v>
      </c>
      <c r="F163" s="333">
        <f t="shared" si="34"/>
        <v>1847</v>
      </c>
      <c r="G163" s="333">
        <f>'PENDATAAN PERUMAHAN'!Q229</f>
        <v>4625</v>
      </c>
      <c r="H163" s="330">
        <f t="shared" si="36"/>
        <v>0.1095971564</v>
      </c>
      <c r="I163" s="331"/>
      <c r="S163" s="311"/>
    </row>
    <row r="164">
      <c r="A164" s="27"/>
      <c r="B164" s="337" t="s">
        <v>615</v>
      </c>
      <c r="C164" s="320" t="s">
        <v>22</v>
      </c>
      <c r="D164" s="321">
        <v>600.0</v>
      </c>
      <c r="E164" s="320">
        <v>1619.0</v>
      </c>
      <c r="F164" s="333">
        <f t="shared" si="34"/>
        <v>37</v>
      </c>
      <c r="G164" s="329">
        <v>1656.0</v>
      </c>
      <c r="H164" s="330">
        <f t="shared" si="36"/>
        <v>2.76</v>
      </c>
      <c r="I164" s="331"/>
      <c r="S164" s="311"/>
    </row>
    <row r="165">
      <c r="A165" s="27"/>
      <c r="B165" s="27"/>
      <c r="C165" s="320" t="s">
        <v>519</v>
      </c>
      <c r="D165" s="321">
        <v>200.0</v>
      </c>
      <c r="E165" s="320">
        <v>169.0</v>
      </c>
      <c r="F165" s="334">
        <f t="shared" si="34"/>
        <v>0</v>
      </c>
      <c r="G165" s="320">
        <v>169.0</v>
      </c>
      <c r="H165" s="330">
        <f t="shared" si="36"/>
        <v>0.845</v>
      </c>
      <c r="I165" s="331"/>
      <c r="S165" s="311"/>
    </row>
    <row r="166">
      <c r="A166" s="27"/>
      <c r="B166" s="40"/>
      <c r="C166" s="320" t="s">
        <v>617</v>
      </c>
      <c r="D166" s="321">
        <v>0.0</v>
      </c>
      <c r="E166" s="320">
        <v>0.0</v>
      </c>
      <c r="F166" s="334">
        <f t="shared" si="34"/>
        <v>0</v>
      </c>
      <c r="G166" s="320">
        <v>0.0</v>
      </c>
      <c r="H166" s="330">
        <v>0.0</v>
      </c>
      <c r="I166" s="331"/>
      <c r="S166" s="311"/>
    </row>
    <row r="167">
      <c r="A167" s="40"/>
      <c r="B167" s="338" t="s">
        <v>618</v>
      </c>
      <c r="C167" s="20"/>
      <c r="D167" s="321">
        <v>486897.0</v>
      </c>
      <c r="E167" s="320">
        <v>1480.0</v>
      </c>
      <c r="F167" s="333">
        <f t="shared" si="34"/>
        <v>108852</v>
      </c>
      <c r="G167" s="333">
        <f>'PENDATAAN PERUMAHAN'!U229</f>
        <v>110332</v>
      </c>
      <c r="H167" s="330">
        <f t="shared" ref="H167:H168" si="37">G167/D167</f>
        <v>0.2266023409</v>
      </c>
      <c r="I167" s="331"/>
      <c r="S167" s="311"/>
    </row>
    <row r="168">
      <c r="A168" s="351" t="s">
        <v>628</v>
      </c>
      <c r="B168" s="19"/>
      <c r="C168" s="20"/>
      <c r="D168" s="352">
        <v>1518200.0</v>
      </c>
      <c r="E168" s="352">
        <f>SUM(E144:E167)</f>
        <v>151765</v>
      </c>
      <c r="F168" s="353">
        <f t="shared" si="34"/>
        <v>171449</v>
      </c>
      <c r="G168" s="353">
        <f>SUM(G144:G167)</f>
        <v>323214</v>
      </c>
      <c r="H168" s="354">
        <f t="shared" si="37"/>
        <v>0.2128928995</v>
      </c>
      <c r="I168" s="355"/>
      <c r="S168" s="311"/>
    </row>
    <row r="169">
      <c r="I169" s="310"/>
      <c r="S169" s="311"/>
    </row>
    <row r="170">
      <c r="A170" s="248" t="s">
        <v>642</v>
      </c>
      <c r="I170" s="310"/>
      <c r="S170" s="311"/>
    </row>
    <row r="171">
      <c r="A171" s="312" t="s">
        <v>596</v>
      </c>
      <c r="B171" s="19"/>
      <c r="C171" s="20"/>
      <c r="D171" s="313" t="s">
        <v>548</v>
      </c>
      <c r="E171" s="314" t="s">
        <v>643</v>
      </c>
      <c r="F171" s="314" t="s">
        <v>644</v>
      </c>
      <c r="G171" s="315" t="s">
        <v>503</v>
      </c>
      <c r="H171" s="314" t="s">
        <v>599</v>
      </c>
      <c r="I171" s="316" t="s">
        <v>11</v>
      </c>
      <c r="S171" s="311"/>
    </row>
    <row r="172">
      <c r="A172" s="318" t="s">
        <v>601</v>
      </c>
      <c r="B172" s="319" t="s">
        <v>602</v>
      </c>
      <c r="C172" s="320" t="s">
        <v>603</v>
      </c>
      <c r="D172" s="402">
        <v>518.0</v>
      </c>
      <c r="E172" s="403">
        <v>0.0</v>
      </c>
      <c r="F172" s="403">
        <v>0.0</v>
      </c>
      <c r="G172" s="404">
        <v>0.0</v>
      </c>
      <c r="H172" s="322" t="s">
        <v>0</v>
      </c>
      <c r="I172" s="323"/>
      <c r="S172" s="311"/>
    </row>
    <row r="173">
      <c r="A173" s="27"/>
      <c r="B173" s="27"/>
      <c r="C173" s="320" t="s">
        <v>604</v>
      </c>
      <c r="D173" s="402">
        <v>217500.0</v>
      </c>
      <c r="E173" s="329">
        <v>99334.0</v>
      </c>
      <c r="F173" s="329">
        <f t="shared" ref="F173:F184" si="38">G173-E173</f>
        <v>46252</v>
      </c>
      <c r="G173" s="329">
        <f>'PENDATAAN PERUMAHAN'!E229</f>
        <v>145586</v>
      </c>
      <c r="H173" s="330">
        <f>G173/D173</f>
        <v>0.6693609195</v>
      </c>
      <c r="I173" s="331"/>
      <c r="S173" s="311"/>
    </row>
    <row r="174">
      <c r="A174" s="27"/>
      <c r="B174" s="27"/>
      <c r="C174" s="320" t="s">
        <v>33</v>
      </c>
      <c r="D174" s="402">
        <v>0.0</v>
      </c>
      <c r="E174" s="329">
        <v>67.0</v>
      </c>
      <c r="F174" s="329">
        <f t="shared" si="38"/>
        <v>6</v>
      </c>
      <c r="G174" s="329">
        <f>'PENDATAAN PERUMAHAN'!K229</f>
        <v>73</v>
      </c>
      <c r="H174" s="330">
        <f>G174/131</f>
        <v>0.5572519084</v>
      </c>
      <c r="I174" s="332" t="s">
        <v>605</v>
      </c>
      <c r="S174" s="311"/>
    </row>
    <row r="175">
      <c r="A175" s="27"/>
      <c r="B175" s="27"/>
      <c r="C175" s="320" t="s">
        <v>606</v>
      </c>
      <c r="D175" s="402">
        <v>0.0</v>
      </c>
      <c r="E175" s="329">
        <v>0.0</v>
      </c>
      <c r="F175" s="329">
        <f t="shared" si="38"/>
        <v>0</v>
      </c>
      <c r="G175" s="405">
        <v>0.0</v>
      </c>
      <c r="H175" s="330"/>
      <c r="I175" s="331"/>
      <c r="S175" s="311"/>
    </row>
    <row r="176">
      <c r="A176" s="27"/>
      <c r="B176" s="27"/>
      <c r="C176" s="320" t="s">
        <v>607</v>
      </c>
      <c r="D176" s="402">
        <v>2500.0</v>
      </c>
      <c r="E176" s="329">
        <v>4526.0</v>
      </c>
      <c r="F176" s="329">
        <f t="shared" si="38"/>
        <v>501</v>
      </c>
      <c r="G176" s="333">
        <f>'PENDATAAN PERUMAHAN'!M229</f>
        <v>5027</v>
      </c>
      <c r="H176" s="330">
        <f>G176/D176</f>
        <v>2.0108</v>
      </c>
      <c r="I176" s="331"/>
      <c r="S176" s="311"/>
    </row>
    <row r="177">
      <c r="A177" s="27"/>
      <c r="B177" s="40"/>
      <c r="C177" s="320" t="s">
        <v>608</v>
      </c>
      <c r="D177" s="402">
        <v>0.0</v>
      </c>
      <c r="E177" s="329">
        <v>468.0</v>
      </c>
      <c r="F177" s="329">
        <f t="shared" si="38"/>
        <v>528</v>
      </c>
      <c r="G177" s="333">
        <f>'PENDATAAN PERUMAHAN'!L229</f>
        <v>996</v>
      </c>
      <c r="H177" s="330">
        <f>G177/409</f>
        <v>2.435207824</v>
      </c>
      <c r="I177" s="332" t="s">
        <v>609</v>
      </c>
      <c r="S177" s="311"/>
    </row>
    <row r="178">
      <c r="A178" s="27"/>
      <c r="B178" s="335" t="s">
        <v>611</v>
      </c>
      <c r="C178" s="320" t="s">
        <v>612</v>
      </c>
      <c r="D178" s="402">
        <v>160000.0</v>
      </c>
      <c r="E178" s="329">
        <v>14408.0</v>
      </c>
      <c r="F178" s="329">
        <f t="shared" si="38"/>
        <v>1631</v>
      </c>
      <c r="G178" s="333">
        <f>'PENDATAAN PERUMAHAN'!F229</f>
        <v>16039</v>
      </c>
      <c r="H178" s="330">
        <f t="shared" ref="H178:H181" si="39">G178/D178</f>
        <v>0.10024375</v>
      </c>
      <c r="I178" s="331"/>
      <c r="K178" s="317" t="s">
        <v>583</v>
      </c>
      <c r="L178" s="317">
        <v>326.0</v>
      </c>
      <c r="S178" s="311"/>
    </row>
    <row r="179">
      <c r="A179" s="27"/>
      <c r="B179" s="40"/>
      <c r="C179" s="320" t="s">
        <v>614</v>
      </c>
      <c r="D179" s="402">
        <v>80000.0</v>
      </c>
      <c r="E179" s="329">
        <v>177.0</v>
      </c>
      <c r="F179" s="329">
        <f t="shared" si="38"/>
        <v>0</v>
      </c>
      <c r="G179" s="333">
        <f>'PENDATAAN PERUMAHAN'!G229</f>
        <v>177</v>
      </c>
      <c r="H179" s="330">
        <f t="shared" si="39"/>
        <v>0.0022125</v>
      </c>
      <c r="I179" s="331"/>
      <c r="K179" s="317" t="s">
        <v>584</v>
      </c>
      <c r="L179" s="317">
        <v>1825.0</v>
      </c>
      <c r="S179" s="311"/>
    </row>
    <row r="180">
      <c r="A180" s="27"/>
      <c r="B180" s="337" t="s">
        <v>615</v>
      </c>
      <c r="C180" s="320" t="s">
        <v>616</v>
      </c>
      <c r="D180" s="402">
        <v>850.0</v>
      </c>
      <c r="E180" s="329">
        <v>300.0</v>
      </c>
      <c r="F180" s="329">
        <f t="shared" si="38"/>
        <v>26</v>
      </c>
      <c r="G180" s="405">
        <v>326.0</v>
      </c>
      <c r="H180" s="330">
        <f t="shared" si="39"/>
        <v>0.3835294118</v>
      </c>
      <c r="I180" s="332"/>
      <c r="K180" s="317" t="s">
        <v>491</v>
      </c>
      <c r="L180" s="249">
        <f>L178+L179</f>
        <v>2151</v>
      </c>
      <c r="S180" s="311"/>
    </row>
    <row r="181">
      <c r="A181" s="27"/>
      <c r="B181" s="27"/>
      <c r="C181" s="320" t="s">
        <v>519</v>
      </c>
      <c r="D181" s="402">
        <v>50.0</v>
      </c>
      <c r="E181" s="329">
        <v>16.0</v>
      </c>
      <c r="F181" s="329">
        <f t="shared" si="38"/>
        <v>0</v>
      </c>
      <c r="G181" s="405">
        <v>16.0</v>
      </c>
      <c r="H181" s="330">
        <f t="shared" si="39"/>
        <v>0.32</v>
      </c>
      <c r="I181" s="331"/>
      <c r="S181" s="311"/>
    </row>
    <row r="182">
      <c r="A182" s="27"/>
      <c r="B182" s="40"/>
      <c r="C182" s="320" t="s">
        <v>617</v>
      </c>
      <c r="D182" s="402">
        <v>0.0</v>
      </c>
      <c r="E182" s="329">
        <v>0.0</v>
      </c>
      <c r="F182" s="329">
        <f t="shared" si="38"/>
        <v>0</v>
      </c>
      <c r="G182" s="405">
        <v>0.0</v>
      </c>
      <c r="H182" s="330">
        <v>0.0</v>
      </c>
      <c r="I182" s="331"/>
      <c r="S182" s="311"/>
    </row>
    <row r="183">
      <c r="A183" s="27"/>
      <c r="B183" s="338" t="s">
        <v>618</v>
      </c>
      <c r="C183" s="20"/>
      <c r="D183" s="402">
        <v>197500.0</v>
      </c>
      <c r="E183" s="329">
        <v>7148.0</v>
      </c>
      <c r="F183" s="329">
        <f t="shared" si="38"/>
        <v>2296</v>
      </c>
      <c r="G183" s="333">
        <f>'PENDATAAN PERUMAHAN'!H229</f>
        <v>9444</v>
      </c>
      <c r="H183" s="330">
        <f t="shared" ref="H183:H184" si="40">G183/D183</f>
        <v>0.04781772152</v>
      </c>
      <c r="I183" s="331"/>
      <c r="J183" s="169">
        <f>SUM(G174:G184)</f>
        <v>32098</v>
      </c>
      <c r="S183" s="311"/>
    </row>
    <row r="184">
      <c r="A184" s="40"/>
      <c r="B184" s="338" t="s">
        <v>619</v>
      </c>
      <c r="C184" s="20"/>
      <c r="D184" s="402">
        <v>300000.0</v>
      </c>
      <c r="E184" s="329">
        <v>0.0</v>
      </c>
      <c r="F184" s="329">
        <f t="shared" si="38"/>
        <v>0</v>
      </c>
      <c r="G184" s="405">
        <v>0.0</v>
      </c>
      <c r="H184" s="330">
        <f t="shared" si="40"/>
        <v>0</v>
      </c>
      <c r="I184" s="331"/>
      <c r="J184" s="169">
        <f>SUM(G173:G184)</f>
        <v>177684</v>
      </c>
      <c r="S184" s="311"/>
    </row>
    <row r="185">
      <c r="A185" s="340"/>
      <c r="B185" s="19"/>
      <c r="C185" s="19"/>
      <c r="D185" s="19"/>
      <c r="E185" s="19"/>
      <c r="F185" s="19"/>
      <c r="G185" s="19"/>
      <c r="H185" s="19"/>
      <c r="I185" s="20"/>
      <c r="S185" s="311"/>
    </row>
    <row r="186">
      <c r="A186" s="318" t="s">
        <v>620</v>
      </c>
      <c r="B186" s="337" t="s">
        <v>602</v>
      </c>
      <c r="C186" s="320" t="s">
        <v>603</v>
      </c>
      <c r="D186" s="402">
        <v>15110.0</v>
      </c>
      <c r="E186" s="329">
        <v>0.0</v>
      </c>
      <c r="F186" s="333">
        <f t="shared" ref="F186:F196" si="41">G186-E186</f>
        <v>0</v>
      </c>
      <c r="G186" s="333">
        <f>'PENDATAAN PERUMAHAN'!N229</f>
        <v>0</v>
      </c>
      <c r="H186" s="330">
        <f t="shared" ref="H186:H188" si="42">G186/D186</f>
        <v>0</v>
      </c>
      <c r="I186" s="331"/>
      <c r="S186" s="311"/>
    </row>
    <row r="187">
      <c r="A187" s="27"/>
      <c r="B187" s="27"/>
      <c r="C187" s="320" t="s">
        <v>623</v>
      </c>
      <c r="D187" s="402">
        <v>675.0</v>
      </c>
      <c r="E187" s="329">
        <v>79.0</v>
      </c>
      <c r="F187" s="333">
        <f t="shared" si="41"/>
        <v>0</v>
      </c>
      <c r="G187" s="329">
        <f>'PENDATAAN PERUMAHAN'!P229</f>
        <v>79</v>
      </c>
      <c r="H187" s="330">
        <f t="shared" si="42"/>
        <v>0.117037037</v>
      </c>
      <c r="I187" s="331"/>
      <c r="S187" s="311"/>
    </row>
    <row r="188">
      <c r="A188" s="27"/>
      <c r="B188" s="27"/>
      <c r="C188" s="320" t="s">
        <v>624</v>
      </c>
      <c r="D188" s="402">
        <v>100.0</v>
      </c>
      <c r="E188" s="329">
        <v>569.0</v>
      </c>
      <c r="F188" s="333">
        <f t="shared" si="41"/>
        <v>10</v>
      </c>
      <c r="G188" s="333">
        <f>'PENDATAAN PERUMAHAN'!O229</f>
        <v>579</v>
      </c>
      <c r="H188" s="330">
        <f t="shared" si="42"/>
        <v>5.79</v>
      </c>
      <c r="I188" s="332" t="s">
        <v>625</v>
      </c>
      <c r="S188" s="311"/>
    </row>
    <row r="189">
      <c r="A189" s="27"/>
      <c r="B189" s="27"/>
      <c r="C189" s="320" t="s">
        <v>606</v>
      </c>
      <c r="D189" s="402">
        <v>0.0</v>
      </c>
      <c r="E189" s="406">
        <v>0.0</v>
      </c>
      <c r="F189" s="333">
        <f t="shared" si="41"/>
        <v>0</v>
      </c>
      <c r="G189" s="407">
        <v>0.0</v>
      </c>
      <c r="H189" s="330">
        <v>0.0</v>
      </c>
      <c r="I189" s="331"/>
      <c r="S189" s="311"/>
    </row>
    <row r="190">
      <c r="A190" s="27"/>
      <c r="B190" s="27"/>
      <c r="C190" s="320" t="s">
        <v>607</v>
      </c>
      <c r="D190" s="402">
        <v>13500.0</v>
      </c>
      <c r="E190" s="408">
        <v>26536.0</v>
      </c>
      <c r="F190" s="333">
        <f t="shared" si="41"/>
        <v>1580</v>
      </c>
      <c r="G190" s="409">
        <f>'PENDATAAN PERUMAHAN'!R229</f>
        <v>28116</v>
      </c>
      <c r="H190" s="330">
        <f t="shared" ref="H190:H193" si="43">G190/D190</f>
        <v>2.082666667</v>
      </c>
      <c r="I190" s="331"/>
      <c r="S190" s="311"/>
    </row>
    <row r="191">
      <c r="A191" s="27"/>
      <c r="B191" s="40"/>
      <c r="C191" s="320" t="s">
        <v>608</v>
      </c>
      <c r="D191" s="402">
        <v>42200.0</v>
      </c>
      <c r="E191" s="403">
        <v>2778.0</v>
      </c>
      <c r="F191" s="333">
        <f t="shared" si="41"/>
        <v>1847</v>
      </c>
      <c r="G191" s="333">
        <f>'PENDATAAN PERUMAHAN'!Q229</f>
        <v>4625</v>
      </c>
      <c r="H191" s="330">
        <f t="shared" si="43"/>
        <v>0.1095971564</v>
      </c>
      <c r="I191" s="331"/>
      <c r="S191" s="311"/>
    </row>
    <row r="192">
      <c r="A192" s="27"/>
      <c r="B192" s="337" t="s">
        <v>615</v>
      </c>
      <c r="C192" s="320" t="s">
        <v>22</v>
      </c>
      <c r="D192" s="402">
        <v>600.0</v>
      </c>
      <c r="E192" s="329">
        <v>1656.0</v>
      </c>
      <c r="F192" s="333">
        <f t="shared" si="41"/>
        <v>513</v>
      </c>
      <c r="G192" s="405">
        <v>2169.0</v>
      </c>
      <c r="H192" s="330">
        <f t="shared" si="43"/>
        <v>3.615</v>
      </c>
      <c r="I192" s="331"/>
      <c r="S192" s="311"/>
    </row>
    <row r="193">
      <c r="A193" s="27"/>
      <c r="B193" s="27"/>
      <c r="C193" s="320" t="s">
        <v>519</v>
      </c>
      <c r="D193" s="402">
        <v>200.0</v>
      </c>
      <c r="E193" s="329">
        <v>169.0</v>
      </c>
      <c r="F193" s="333">
        <f t="shared" si="41"/>
        <v>0</v>
      </c>
      <c r="G193" s="405">
        <v>169.0</v>
      </c>
      <c r="H193" s="330">
        <f t="shared" si="43"/>
        <v>0.845</v>
      </c>
      <c r="I193" s="331"/>
      <c r="S193" s="311"/>
    </row>
    <row r="194">
      <c r="A194" s="27"/>
      <c r="B194" s="40"/>
      <c r="C194" s="320" t="s">
        <v>617</v>
      </c>
      <c r="D194" s="402">
        <v>0.0</v>
      </c>
      <c r="E194" s="329">
        <v>0.0</v>
      </c>
      <c r="F194" s="333">
        <f t="shared" si="41"/>
        <v>0</v>
      </c>
      <c r="G194" s="405">
        <v>0.0</v>
      </c>
      <c r="H194" s="330">
        <v>0.0</v>
      </c>
      <c r="I194" s="331"/>
      <c r="S194" s="311"/>
    </row>
    <row r="195">
      <c r="A195" s="40"/>
      <c r="B195" s="338" t="s">
        <v>618</v>
      </c>
      <c r="C195" s="20"/>
      <c r="D195" s="402">
        <v>486897.0</v>
      </c>
      <c r="E195" s="329">
        <v>1628.0</v>
      </c>
      <c r="F195" s="333">
        <f t="shared" si="41"/>
        <v>108704</v>
      </c>
      <c r="G195" s="333">
        <f>'PENDATAAN PERUMAHAN'!U229</f>
        <v>110332</v>
      </c>
      <c r="H195" s="330">
        <f t="shared" ref="H195:H196" si="44">G195/D195</f>
        <v>0.2266023409</v>
      </c>
      <c r="I195" s="331"/>
      <c r="J195" s="169">
        <f>SUM(G187:G195)</f>
        <v>146069</v>
      </c>
      <c r="S195" s="311"/>
    </row>
    <row r="196">
      <c r="A196" s="351" t="s">
        <v>628</v>
      </c>
      <c r="B196" s="19"/>
      <c r="C196" s="20"/>
      <c r="D196" s="352">
        <v>1518200.0</v>
      </c>
      <c r="E196" s="410">
        <f>SUM(E172:E195)</f>
        <v>159859</v>
      </c>
      <c r="F196" s="411">
        <f t="shared" si="41"/>
        <v>163894</v>
      </c>
      <c r="G196" s="411">
        <f>SUM(G172:G195)</f>
        <v>323753</v>
      </c>
      <c r="H196" s="354">
        <f t="shared" si="44"/>
        <v>0.2132479252</v>
      </c>
      <c r="I196" s="355"/>
      <c r="S196" s="311"/>
    </row>
    <row r="197">
      <c r="I197" s="310"/>
      <c r="S197" s="311"/>
    </row>
    <row r="198">
      <c r="A198" s="248" t="s">
        <v>645</v>
      </c>
      <c r="I198" s="310"/>
      <c r="S198" s="311"/>
    </row>
    <row r="199">
      <c r="A199" s="312" t="s">
        <v>596</v>
      </c>
      <c r="B199" s="19"/>
      <c r="C199" s="20"/>
      <c r="D199" s="313" t="s">
        <v>548</v>
      </c>
      <c r="E199" s="314" t="s">
        <v>646</v>
      </c>
      <c r="F199" s="314" t="s">
        <v>647</v>
      </c>
      <c r="G199" s="315" t="s">
        <v>503</v>
      </c>
      <c r="H199" s="314" t="s">
        <v>599</v>
      </c>
      <c r="I199" s="316" t="s">
        <v>11</v>
      </c>
      <c r="S199" s="311"/>
    </row>
    <row r="200">
      <c r="A200" s="318" t="s">
        <v>601</v>
      </c>
      <c r="B200" s="319" t="s">
        <v>602</v>
      </c>
      <c r="C200" s="320" t="s">
        <v>603</v>
      </c>
      <c r="D200" s="402">
        <v>518.0</v>
      </c>
      <c r="E200" s="403">
        <v>0.0</v>
      </c>
      <c r="F200" s="403">
        <v>0.0</v>
      </c>
      <c r="G200" s="403">
        <v>0.0</v>
      </c>
      <c r="H200" s="322" t="s">
        <v>0</v>
      </c>
      <c r="I200" s="323"/>
      <c r="S200" s="311"/>
    </row>
    <row r="201">
      <c r="A201" s="27"/>
      <c r="B201" s="27"/>
      <c r="C201" s="320" t="s">
        <v>604</v>
      </c>
      <c r="D201" s="402">
        <v>217500.0</v>
      </c>
      <c r="E201" s="329">
        <v>105413.0</v>
      </c>
      <c r="F201" s="329">
        <f t="shared" ref="F201:F212" si="45">G201-E201</f>
        <v>40173</v>
      </c>
      <c r="G201" s="329">
        <f>'PENDATAAN PERUMAHAN'!E229</f>
        <v>145586</v>
      </c>
      <c r="H201" s="330">
        <f>G201/D201</f>
        <v>0.6693609195</v>
      </c>
      <c r="I201" s="331"/>
      <c r="S201" s="311"/>
    </row>
    <row r="202">
      <c r="A202" s="27"/>
      <c r="B202" s="27"/>
      <c r="C202" s="320" t="s">
        <v>33</v>
      </c>
      <c r="D202" s="402">
        <v>0.0</v>
      </c>
      <c r="E202" s="329">
        <v>73.0</v>
      </c>
      <c r="F202" s="329">
        <f t="shared" si="45"/>
        <v>0</v>
      </c>
      <c r="G202" s="329">
        <f>'PENDATAAN PERUMAHAN'!K229</f>
        <v>73</v>
      </c>
      <c r="H202" s="330">
        <f>G202/131</f>
        <v>0.5572519084</v>
      </c>
      <c r="I202" s="332" t="s">
        <v>605</v>
      </c>
      <c r="S202" s="311"/>
    </row>
    <row r="203">
      <c r="A203" s="27"/>
      <c r="B203" s="27"/>
      <c r="C203" s="320" t="s">
        <v>606</v>
      </c>
      <c r="D203" s="402">
        <v>0.0</v>
      </c>
      <c r="E203" s="329">
        <v>0.0</v>
      </c>
      <c r="F203" s="329">
        <f t="shared" si="45"/>
        <v>0</v>
      </c>
      <c r="G203" s="329">
        <v>0.0</v>
      </c>
      <c r="H203" s="330"/>
      <c r="I203" s="331"/>
      <c r="S203" s="311"/>
    </row>
    <row r="204">
      <c r="A204" s="27"/>
      <c r="B204" s="27"/>
      <c r="C204" s="320" t="s">
        <v>607</v>
      </c>
      <c r="D204" s="402">
        <v>2500.0</v>
      </c>
      <c r="E204" s="329">
        <v>4526.0</v>
      </c>
      <c r="F204" s="329">
        <f t="shared" si="45"/>
        <v>501</v>
      </c>
      <c r="G204" s="333">
        <f>'PENDATAAN PERUMAHAN'!M229</f>
        <v>5027</v>
      </c>
      <c r="H204" s="330">
        <f>G204/D204</f>
        <v>2.0108</v>
      </c>
      <c r="I204" s="331"/>
      <c r="S204" s="311"/>
    </row>
    <row r="205">
      <c r="A205" s="27"/>
      <c r="B205" s="40"/>
      <c r="C205" s="320" t="s">
        <v>608</v>
      </c>
      <c r="D205" s="402">
        <v>0.0</v>
      </c>
      <c r="E205" s="329">
        <v>477.0</v>
      </c>
      <c r="F205" s="329">
        <f t="shared" si="45"/>
        <v>519</v>
      </c>
      <c r="G205" s="333">
        <f>'PENDATAAN PERUMAHAN'!L229</f>
        <v>996</v>
      </c>
      <c r="H205" s="330">
        <f>G205/409</f>
        <v>2.435207824</v>
      </c>
      <c r="I205" s="332" t="s">
        <v>609</v>
      </c>
      <c r="J205" s="169">
        <f>sum(D200:D212)</f>
        <v>958918</v>
      </c>
      <c r="S205" s="311"/>
    </row>
    <row r="206">
      <c r="A206" s="27"/>
      <c r="B206" s="335" t="s">
        <v>611</v>
      </c>
      <c r="C206" s="320" t="s">
        <v>612</v>
      </c>
      <c r="D206" s="402">
        <v>160000.0</v>
      </c>
      <c r="E206" s="329">
        <v>14454.0</v>
      </c>
      <c r="F206" s="329">
        <f t="shared" si="45"/>
        <v>1585</v>
      </c>
      <c r="G206" s="333">
        <f>'PENDATAAN PERUMAHAN'!F229</f>
        <v>16039</v>
      </c>
      <c r="H206" s="330">
        <f t="shared" ref="H206:H209" si="46">G206/D206</f>
        <v>0.10024375</v>
      </c>
      <c r="I206" s="331"/>
      <c r="K206" s="317" t="s">
        <v>583</v>
      </c>
      <c r="L206" s="317">
        <v>326.0</v>
      </c>
      <c r="S206" s="311"/>
    </row>
    <row r="207">
      <c r="A207" s="27"/>
      <c r="B207" s="40"/>
      <c r="C207" s="320" t="s">
        <v>614</v>
      </c>
      <c r="D207" s="402">
        <v>80000.0</v>
      </c>
      <c r="E207" s="329">
        <v>177.0</v>
      </c>
      <c r="F207" s="329">
        <f t="shared" si="45"/>
        <v>0</v>
      </c>
      <c r="G207" s="333">
        <f>'PENDATAAN PERUMAHAN'!G229</f>
        <v>177</v>
      </c>
      <c r="H207" s="330">
        <f t="shared" si="46"/>
        <v>0.0022125</v>
      </c>
      <c r="I207" s="331"/>
      <c r="K207" s="317" t="s">
        <v>584</v>
      </c>
      <c r="L207" s="317">
        <v>1852.0</v>
      </c>
      <c r="S207" s="311"/>
    </row>
    <row r="208">
      <c r="A208" s="27"/>
      <c r="B208" s="337" t="s">
        <v>615</v>
      </c>
      <c r="C208" s="320" t="s">
        <v>616</v>
      </c>
      <c r="D208" s="402">
        <v>850.0</v>
      </c>
      <c r="E208" s="329">
        <v>326.0</v>
      </c>
      <c r="F208" s="329">
        <f t="shared" si="45"/>
        <v>0</v>
      </c>
      <c r="G208" s="329">
        <v>326.0</v>
      </c>
      <c r="H208" s="330">
        <f t="shared" si="46"/>
        <v>0.3835294118</v>
      </c>
      <c r="I208" s="332"/>
      <c r="K208" s="317" t="s">
        <v>491</v>
      </c>
      <c r="L208" s="249">
        <f>L206+L207</f>
        <v>2178</v>
      </c>
      <c r="S208" s="311"/>
    </row>
    <row r="209">
      <c r="A209" s="27"/>
      <c r="B209" s="27"/>
      <c r="C209" s="320" t="s">
        <v>519</v>
      </c>
      <c r="D209" s="402">
        <v>50.0</v>
      </c>
      <c r="E209" s="329">
        <v>16.0</v>
      </c>
      <c r="F209" s="329">
        <f t="shared" si="45"/>
        <v>0</v>
      </c>
      <c r="G209" s="329">
        <v>16.0</v>
      </c>
      <c r="H209" s="330">
        <f t="shared" si="46"/>
        <v>0.32</v>
      </c>
      <c r="I209" s="331"/>
      <c r="S209" s="311"/>
    </row>
    <row r="210">
      <c r="A210" s="27"/>
      <c r="B210" s="40"/>
      <c r="C210" s="320" t="s">
        <v>617</v>
      </c>
      <c r="D210" s="402">
        <v>0.0</v>
      </c>
      <c r="E210" s="329">
        <v>0.0</v>
      </c>
      <c r="F210" s="329">
        <f t="shared" si="45"/>
        <v>0</v>
      </c>
      <c r="G210" s="329">
        <v>0.0</v>
      </c>
      <c r="H210" s="330">
        <v>0.0</v>
      </c>
      <c r="I210" s="331"/>
      <c r="S210" s="311"/>
    </row>
    <row r="211">
      <c r="A211" s="27"/>
      <c r="B211" s="338" t="s">
        <v>618</v>
      </c>
      <c r="C211" s="20"/>
      <c r="D211" s="402">
        <v>197500.0</v>
      </c>
      <c r="E211" s="329">
        <v>7319.0</v>
      </c>
      <c r="F211" s="329">
        <f t="shared" si="45"/>
        <v>2125</v>
      </c>
      <c r="G211" s="333">
        <f>'PENDATAAN PERUMAHAN'!H229</f>
        <v>9444</v>
      </c>
      <c r="H211" s="330">
        <f t="shared" ref="H211:H212" si="47">G211/D211</f>
        <v>0.04781772152</v>
      </c>
      <c r="I211" s="331"/>
      <c r="J211" s="169">
        <f>SUM(G202:G212)</f>
        <v>32098</v>
      </c>
      <c r="S211" s="311"/>
    </row>
    <row r="212">
      <c r="A212" s="40"/>
      <c r="B212" s="338" t="s">
        <v>619</v>
      </c>
      <c r="C212" s="20"/>
      <c r="D212" s="402">
        <v>300000.0</v>
      </c>
      <c r="E212" s="329">
        <v>0.0</v>
      </c>
      <c r="F212" s="329">
        <f t="shared" si="45"/>
        <v>0</v>
      </c>
      <c r="G212" s="329">
        <v>0.0</v>
      </c>
      <c r="H212" s="330">
        <f t="shared" si="47"/>
        <v>0</v>
      </c>
      <c r="I212" s="331"/>
      <c r="J212" s="169">
        <f>SUM(G201:G212)</f>
        <v>177684</v>
      </c>
      <c r="S212" s="311"/>
    </row>
    <row r="213">
      <c r="A213" s="340"/>
      <c r="B213" s="19"/>
      <c r="C213" s="19"/>
      <c r="D213" s="19"/>
      <c r="E213" s="19"/>
      <c r="F213" s="19"/>
      <c r="G213" s="19"/>
      <c r="H213" s="19"/>
      <c r="I213" s="20"/>
      <c r="S213" s="311"/>
    </row>
    <row r="214">
      <c r="A214" s="318" t="s">
        <v>620</v>
      </c>
      <c r="B214" s="337" t="s">
        <v>602</v>
      </c>
      <c r="C214" s="320" t="s">
        <v>603</v>
      </c>
      <c r="D214" s="402">
        <v>15110.0</v>
      </c>
      <c r="E214" s="329">
        <v>0.0</v>
      </c>
      <c r="F214" s="333">
        <f t="shared" ref="F214:F224" si="48">G214-E214</f>
        <v>0</v>
      </c>
      <c r="G214" s="333">
        <f>'PENDATAAN PERUMAHAN'!N229</f>
        <v>0</v>
      </c>
      <c r="H214" s="330">
        <f t="shared" ref="H214:H216" si="49">G214/D214</f>
        <v>0</v>
      </c>
      <c r="I214" s="331"/>
      <c r="S214" s="311"/>
    </row>
    <row r="215">
      <c r="A215" s="27"/>
      <c r="B215" s="27"/>
      <c r="C215" s="320" t="s">
        <v>623</v>
      </c>
      <c r="D215" s="402">
        <v>675.0</v>
      </c>
      <c r="E215" s="329">
        <v>79.0</v>
      </c>
      <c r="F215" s="333">
        <f t="shared" si="48"/>
        <v>0</v>
      </c>
      <c r="G215" s="329">
        <f>'PENDATAAN PERUMAHAN'!P229</f>
        <v>79</v>
      </c>
      <c r="H215" s="330">
        <f t="shared" si="49"/>
        <v>0.117037037</v>
      </c>
      <c r="I215" s="331"/>
      <c r="S215" s="311"/>
    </row>
    <row r="216">
      <c r="A216" s="27"/>
      <c r="B216" s="27"/>
      <c r="C216" s="320" t="s">
        <v>624</v>
      </c>
      <c r="D216" s="402">
        <v>100.0</v>
      </c>
      <c r="E216" s="329">
        <v>569.0</v>
      </c>
      <c r="F216" s="333">
        <f t="shared" si="48"/>
        <v>10</v>
      </c>
      <c r="G216" s="333">
        <f>'PENDATAAN PERUMAHAN'!O229</f>
        <v>579</v>
      </c>
      <c r="H216" s="330">
        <f t="shared" si="49"/>
        <v>5.79</v>
      </c>
      <c r="I216" s="332" t="s">
        <v>625</v>
      </c>
      <c r="S216" s="311"/>
    </row>
    <row r="217">
      <c r="A217" s="27"/>
      <c r="B217" s="27"/>
      <c r="C217" s="320" t="s">
        <v>606</v>
      </c>
      <c r="D217" s="402">
        <v>0.0</v>
      </c>
      <c r="E217" s="406">
        <v>0.0</v>
      </c>
      <c r="F217" s="333">
        <f t="shared" si="48"/>
        <v>0</v>
      </c>
      <c r="G217" s="412">
        <v>0.0</v>
      </c>
      <c r="H217" s="330">
        <v>0.0</v>
      </c>
      <c r="I217" s="331"/>
      <c r="S217" s="311"/>
    </row>
    <row r="218">
      <c r="A218" s="27"/>
      <c r="B218" s="27"/>
      <c r="C218" s="320" t="s">
        <v>607</v>
      </c>
      <c r="D218" s="402">
        <v>13500.0</v>
      </c>
      <c r="E218" s="408">
        <v>27759.0</v>
      </c>
      <c r="F218" s="333">
        <f t="shared" si="48"/>
        <v>357</v>
      </c>
      <c r="G218" s="333">
        <f>'PENDATAAN PERUMAHAN'!R229</f>
        <v>28116</v>
      </c>
      <c r="H218" s="330">
        <f t="shared" ref="H218:H221" si="50">G218/D218</f>
        <v>2.082666667</v>
      </c>
      <c r="I218" s="331"/>
      <c r="S218" s="311"/>
    </row>
    <row r="219">
      <c r="A219" s="27"/>
      <c r="B219" s="40"/>
      <c r="C219" s="320" t="s">
        <v>608</v>
      </c>
      <c r="D219" s="402">
        <v>42200.0</v>
      </c>
      <c r="E219" s="403">
        <v>2930.0</v>
      </c>
      <c r="F219" s="333">
        <f t="shared" si="48"/>
        <v>1695</v>
      </c>
      <c r="G219" s="333">
        <f>'PENDATAAN PERUMAHAN'!Q229</f>
        <v>4625</v>
      </c>
      <c r="H219" s="330">
        <f t="shared" si="50"/>
        <v>0.1095971564</v>
      </c>
      <c r="I219" s="331"/>
      <c r="S219" s="311"/>
    </row>
    <row r="220">
      <c r="A220" s="27"/>
      <c r="B220" s="337" t="s">
        <v>615</v>
      </c>
      <c r="C220" s="320" t="s">
        <v>22</v>
      </c>
      <c r="D220" s="402">
        <v>600.0</v>
      </c>
      <c r="E220" s="329">
        <v>1825.0</v>
      </c>
      <c r="F220" s="333">
        <f t="shared" si="48"/>
        <v>27</v>
      </c>
      <c r="G220" s="413">
        <v>1852.0</v>
      </c>
      <c r="H220" s="330">
        <f t="shared" si="50"/>
        <v>3.086666667</v>
      </c>
      <c r="I220" s="331"/>
      <c r="S220" s="311"/>
    </row>
    <row r="221">
      <c r="A221" s="27"/>
      <c r="B221" s="27"/>
      <c r="C221" s="320" t="s">
        <v>519</v>
      </c>
      <c r="D221" s="402">
        <v>200.0</v>
      </c>
      <c r="E221" s="329">
        <v>169.0</v>
      </c>
      <c r="F221" s="333">
        <f t="shared" si="48"/>
        <v>0</v>
      </c>
      <c r="G221" s="329">
        <v>169.0</v>
      </c>
      <c r="H221" s="330">
        <f t="shared" si="50"/>
        <v>0.845</v>
      </c>
      <c r="I221" s="331"/>
      <c r="S221" s="311"/>
    </row>
    <row r="222">
      <c r="A222" s="27"/>
      <c r="B222" s="40"/>
      <c r="C222" s="320" t="s">
        <v>617</v>
      </c>
      <c r="D222" s="402">
        <v>0.0</v>
      </c>
      <c r="E222" s="329">
        <v>0.0</v>
      </c>
      <c r="F222" s="333">
        <f t="shared" si="48"/>
        <v>0</v>
      </c>
      <c r="G222" s="329">
        <v>0.0</v>
      </c>
      <c r="H222" s="330">
        <v>0.0</v>
      </c>
      <c r="I222" s="331"/>
      <c r="S222" s="311"/>
    </row>
    <row r="223">
      <c r="A223" s="40"/>
      <c r="B223" s="338" t="s">
        <v>618</v>
      </c>
      <c r="C223" s="20"/>
      <c r="D223" s="402">
        <v>486897.0</v>
      </c>
      <c r="E223" s="329">
        <v>1726.0</v>
      </c>
      <c r="F223" s="333">
        <f t="shared" si="48"/>
        <v>108606</v>
      </c>
      <c r="G223" s="333">
        <f>'PENDATAAN PERUMAHAN'!U229</f>
        <v>110332</v>
      </c>
      <c r="H223" s="330">
        <f t="shared" ref="H223:H224" si="51">G223/D223</f>
        <v>0.2266023409</v>
      </c>
      <c r="I223" s="331"/>
      <c r="J223" s="169">
        <f>SUM(G215:G223)</f>
        <v>145752</v>
      </c>
      <c r="S223" s="311"/>
    </row>
    <row r="224">
      <c r="A224" s="351" t="s">
        <v>628</v>
      </c>
      <c r="B224" s="19"/>
      <c r="C224" s="20"/>
      <c r="D224" s="410">
        <v>1518200.0</v>
      </c>
      <c r="E224" s="410">
        <f>SUM(E200:E223)</f>
        <v>167838</v>
      </c>
      <c r="F224" s="411">
        <f t="shared" si="48"/>
        <v>155598</v>
      </c>
      <c r="G224" s="411">
        <f>SUM(G200:G223)</f>
        <v>323436</v>
      </c>
      <c r="H224" s="354">
        <f t="shared" si="51"/>
        <v>0.2130391253</v>
      </c>
      <c r="I224" s="355"/>
      <c r="S224" s="311"/>
    </row>
    <row r="225">
      <c r="I225" s="310"/>
      <c r="S225" s="311"/>
    </row>
    <row r="226">
      <c r="I226" s="310"/>
      <c r="S226" s="311"/>
    </row>
    <row r="227">
      <c r="I227" s="310"/>
      <c r="S227" s="311"/>
    </row>
    <row r="228">
      <c r="I228" s="310"/>
      <c r="S228" s="311"/>
    </row>
    <row r="229">
      <c r="I229" s="310"/>
      <c r="S229" s="311"/>
    </row>
    <row r="230">
      <c r="I230" s="310"/>
      <c r="S230" s="311"/>
    </row>
    <row r="231">
      <c r="I231" s="310"/>
      <c r="S231" s="311"/>
    </row>
    <row r="232">
      <c r="I232" s="310"/>
      <c r="S232" s="311"/>
    </row>
    <row r="233">
      <c r="I233" s="310"/>
      <c r="S233" s="311"/>
    </row>
    <row r="234">
      <c r="I234" s="310"/>
      <c r="S234" s="311"/>
    </row>
    <row r="235">
      <c r="I235" s="310"/>
      <c r="S235" s="311"/>
    </row>
    <row r="236">
      <c r="I236" s="310"/>
      <c r="S236" s="311"/>
    </row>
    <row r="237">
      <c r="I237" s="310"/>
      <c r="S237" s="311"/>
    </row>
    <row r="238">
      <c r="I238" s="310"/>
      <c r="S238" s="311"/>
    </row>
    <row r="239">
      <c r="I239" s="310"/>
      <c r="S239" s="311"/>
    </row>
    <row r="240">
      <c r="I240" s="310"/>
      <c r="S240" s="311"/>
    </row>
    <row r="241">
      <c r="I241" s="310"/>
      <c r="S241" s="311"/>
    </row>
    <row r="242">
      <c r="I242" s="310"/>
      <c r="S242" s="311"/>
    </row>
    <row r="243">
      <c r="I243" s="310"/>
      <c r="S243" s="311"/>
    </row>
    <row r="244">
      <c r="I244" s="310"/>
      <c r="S244" s="311"/>
    </row>
    <row r="245">
      <c r="I245" s="310"/>
      <c r="S245" s="311"/>
    </row>
    <row r="246">
      <c r="I246" s="310"/>
      <c r="S246" s="311"/>
    </row>
    <row r="247">
      <c r="I247" s="310"/>
      <c r="S247" s="311"/>
    </row>
    <row r="248">
      <c r="I248" s="310"/>
      <c r="S248" s="311"/>
    </row>
    <row r="249">
      <c r="I249" s="310"/>
      <c r="S249" s="311"/>
    </row>
    <row r="250">
      <c r="I250" s="310"/>
      <c r="S250" s="311"/>
    </row>
    <row r="251">
      <c r="I251" s="310"/>
      <c r="S251" s="311"/>
    </row>
    <row r="252">
      <c r="I252" s="310"/>
      <c r="S252" s="311"/>
    </row>
    <row r="253">
      <c r="I253" s="310"/>
      <c r="S253" s="311"/>
    </row>
    <row r="254">
      <c r="I254" s="310"/>
      <c r="S254" s="311"/>
    </row>
    <row r="255">
      <c r="I255" s="310"/>
      <c r="S255" s="311"/>
    </row>
    <row r="256">
      <c r="I256" s="310"/>
      <c r="S256" s="311"/>
    </row>
    <row r="257">
      <c r="I257" s="310"/>
      <c r="S257" s="311"/>
    </row>
    <row r="258">
      <c r="I258" s="310"/>
      <c r="S258" s="311"/>
    </row>
    <row r="259">
      <c r="I259" s="310"/>
      <c r="S259" s="311"/>
    </row>
    <row r="260">
      <c r="I260" s="310"/>
      <c r="S260" s="311"/>
    </row>
    <row r="261">
      <c r="I261" s="310"/>
      <c r="S261" s="311"/>
    </row>
    <row r="262">
      <c r="I262" s="310"/>
      <c r="S262" s="311"/>
    </row>
    <row r="263">
      <c r="I263" s="310"/>
      <c r="S263" s="311"/>
    </row>
    <row r="264">
      <c r="I264" s="310"/>
      <c r="S264" s="311"/>
    </row>
    <row r="265">
      <c r="I265" s="310"/>
      <c r="S265" s="311"/>
    </row>
    <row r="266">
      <c r="I266" s="310"/>
      <c r="S266" s="311"/>
    </row>
    <row r="267">
      <c r="I267" s="310"/>
      <c r="S267" s="311"/>
    </row>
    <row r="268">
      <c r="I268" s="310"/>
      <c r="S268" s="311"/>
    </row>
    <row r="269">
      <c r="I269" s="310"/>
      <c r="S269" s="311"/>
    </row>
    <row r="270">
      <c r="I270" s="310"/>
      <c r="S270" s="311"/>
    </row>
    <row r="271">
      <c r="I271" s="310"/>
      <c r="S271" s="311"/>
    </row>
    <row r="272">
      <c r="I272" s="310"/>
      <c r="S272" s="311"/>
    </row>
    <row r="273">
      <c r="I273" s="310"/>
      <c r="S273" s="311"/>
    </row>
    <row r="274">
      <c r="I274" s="310"/>
      <c r="S274" s="311"/>
    </row>
    <row r="275">
      <c r="I275" s="310"/>
      <c r="S275" s="311"/>
    </row>
    <row r="276">
      <c r="I276" s="310"/>
      <c r="S276" s="311"/>
    </row>
    <row r="277">
      <c r="I277" s="310"/>
      <c r="S277" s="311"/>
    </row>
    <row r="278">
      <c r="I278" s="310"/>
      <c r="S278" s="311"/>
    </row>
    <row r="279">
      <c r="I279" s="310"/>
      <c r="S279" s="311"/>
    </row>
    <row r="280">
      <c r="I280" s="310"/>
      <c r="S280" s="311"/>
    </row>
    <row r="281">
      <c r="I281" s="310"/>
      <c r="S281" s="311"/>
    </row>
    <row r="282">
      <c r="I282" s="310"/>
      <c r="S282" s="311"/>
    </row>
    <row r="283">
      <c r="I283" s="310"/>
      <c r="S283" s="311"/>
    </row>
    <row r="284">
      <c r="I284" s="310"/>
      <c r="S284" s="311"/>
    </row>
    <row r="285">
      <c r="I285" s="310"/>
      <c r="S285" s="311"/>
    </row>
    <row r="286">
      <c r="I286" s="310"/>
      <c r="S286" s="311"/>
    </row>
    <row r="287">
      <c r="I287" s="310"/>
      <c r="S287" s="311"/>
    </row>
    <row r="288">
      <c r="I288" s="310"/>
      <c r="S288" s="311"/>
    </row>
    <row r="289">
      <c r="I289" s="310"/>
      <c r="S289" s="311"/>
    </row>
    <row r="290">
      <c r="I290" s="310"/>
      <c r="S290" s="311"/>
    </row>
    <row r="291">
      <c r="I291" s="310"/>
      <c r="S291" s="311"/>
    </row>
    <row r="292">
      <c r="I292" s="310"/>
      <c r="S292" s="311"/>
    </row>
    <row r="293">
      <c r="I293" s="310"/>
      <c r="S293" s="311"/>
    </row>
    <row r="294">
      <c r="I294" s="310"/>
      <c r="S294" s="311"/>
    </row>
    <row r="295">
      <c r="I295" s="310"/>
      <c r="S295" s="311"/>
    </row>
    <row r="296">
      <c r="I296" s="310"/>
      <c r="S296" s="311"/>
    </row>
    <row r="297">
      <c r="I297" s="310"/>
      <c r="S297" s="311"/>
    </row>
    <row r="298">
      <c r="I298" s="310"/>
      <c r="S298" s="311"/>
    </row>
    <row r="299">
      <c r="I299" s="310"/>
      <c r="S299" s="311"/>
    </row>
    <row r="300">
      <c r="I300" s="310"/>
      <c r="S300" s="311"/>
    </row>
    <row r="301">
      <c r="I301" s="310"/>
      <c r="S301" s="311"/>
    </row>
    <row r="302">
      <c r="I302" s="310"/>
      <c r="S302" s="311"/>
    </row>
    <row r="303">
      <c r="I303" s="310"/>
      <c r="S303" s="311"/>
    </row>
    <row r="304">
      <c r="I304" s="310"/>
      <c r="S304" s="311"/>
    </row>
    <row r="305">
      <c r="I305" s="310"/>
      <c r="S305" s="311"/>
    </row>
    <row r="306">
      <c r="I306" s="310"/>
      <c r="S306" s="311"/>
    </row>
    <row r="307">
      <c r="I307" s="310"/>
      <c r="S307" s="311"/>
    </row>
    <row r="308">
      <c r="I308" s="310"/>
      <c r="S308" s="311"/>
    </row>
    <row r="309">
      <c r="I309" s="310"/>
      <c r="S309" s="311"/>
    </row>
    <row r="310">
      <c r="I310" s="310"/>
      <c r="S310" s="311"/>
    </row>
    <row r="311">
      <c r="I311" s="310"/>
      <c r="S311" s="311"/>
    </row>
    <row r="312">
      <c r="I312" s="310"/>
      <c r="S312" s="311"/>
    </row>
    <row r="313">
      <c r="I313" s="310"/>
      <c r="S313" s="311"/>
    </row>
    <row r="314">
      <c r="I314" s="310"/>
      <c r="S314" s="311"/>
    </row>
    <row r="315">
      <c r="I315" s="310"/>
      <c r="S315" s="311"/>
    </row>
    <row r="316">
      <c r="I316" s="310"/>
      <c r="S316" s="311"/>
    </row>
    <row r="317">
      <c r="I317" s="310"/>
      <c r="S317" s="311"/>
    </row>
    <row r="318">
      <c r="I318" s="310"/>
      <c r="S318" s="311"/>
    </row>
    <row r="319">
      <c r="I319" s="310"/>
      <c r="S319" s="311"/>
    </row>
    <row r="320">
      <c r="I320" s="310"/>
      <c r="S320" s="311"/>
    </row>
    <row r="321">
      <c r="I321" s="310"/>
      <c r="S321" s="311"/>
    </row>
    <row r="322">
      <c r="I322" s="310"/>
      <c r="S322" s="311"/>
    </row>
    <row r="323">
      <c r="I323" s="310"/>
      <c r="S323" s="311"/>
    </row>
    <row r="324">
      <c r="I324" s="310"/>
      <c r="S324" s="311"/>
    </row>
    <row r="325">
      <c r="I325" s="310"/>
      <c r="S325" s="311"/>
    </row>
    <row r="326">
      <c r="I326" s="310"/>
      <c r="S326" s="311"/>
    </row>
    <row r="327">
      <c r="I327" s="310"/>
      <c r="S327" s="311"/>
    </row>
    <row r="328">
      <c r="I328" s="310"/>
      <c r="S328" s="311"/>
    </row>
    <row r="329">
      <c r="I329" s="310"/>
      <c r="S329" s="311"/>
    </row>
    <row r="330">
      <c r="I330" s="310"/>
      <c r="S330" s="311"/>
    </row>
    <row r="331">
      <c r="I331" s="310"/>
      <c r="S331" s="311"/>
    </row>
    <row r="332">
      <c r="I332" s="310"/>
      <c r="S332" s="311"/>
    </row>
    <row r="333">
      <c r="I333" s="310"/>
      <c r="S333" s="311"/>
    </row>
    <row r="334">
      <c r="I334" s="310"/>
      <c r="S334" s="311"/>
    </row>
    <row r="335">
      <c r="I335" s="310"/>
      <c r="S335" s="311"/>
    </row>
    <row r="336">
      <c r="I336" s="310"/>
      <c r="S336" s="311"/>
    </row>
    <row r="337">
      <c r="I337" s="310"/>
      <c r="S337" s="311"/>
    </row>
    <row r="338">
      <c r="I338" s="310"/>
      <c r="S338" s="311"/>
    </row>
    <row r="339">
      <c r="I339" s="310"/>
      <c r="S339" s="311"/>
    </row>
    <row r="340">
      <c r="I340" s="310"/>
      <c r="S340" s="311"/>
    </row>
    <row r="341">
      <c r="I341" s="310"/>
      <c r="S341" s="311"/>
    </row>
    <row r="342">
      <c r="I342" s="310"/>
      <c r="S342" s="311"/>
    </row>
    <row r="343">
      <c r="I343" s="310"/>
      <c r="S343" s="311"/>
    </row>
    <row r="344">
      <c r="I344" s="310"/>
      <c r="S344" s="311"/>
    </row>
    <row r="345">
      <c r="I345" s="310"/>
      <c r="S345" s="311"/>
    </row>
    <row r="346">
      <c r="I346" s="310"/>
      <c r="S346" s="311"/>
    </row>
    <row r="347">
      <c r="I347" s="310"/>
      <c r="S347" s="311"/>
    </row>
    <row r="348">
      <c r="I348" s="310"/>
      <c r="S348" s="311"/>
    </row>
    <row r="349">
      <c r="I349" s="310"/>
      <c r="S349" s="311"/>
    </row>
    <row r="350">
      <c r="I350" s="310"/>
      <c r="S350" s="311"/>
    </row>
    <row r="351">
      <c r="I351" s="310"/>
      <c r="S351" s="311"/>
    </row>
    <row r="352">
      <c r="I352" s="310"/>
      <c r="S352" s="311"/>
    </row>
    <row r="353">
      <c r="I353" s="310"/>
      <c r="S353" s="311"/>
    </row>
    <row r="354">
      <c r="I354" s="310"/>
      <c r="S354" s="311"/>
    </row>
    <row r="355">
      <c r="I355" s="310"/>
      <c r="S355" s="311"/>
    </row>
    <row r="356">
      <c r="I356" s="310"/>
      <c r="S356" s="311"/>
    </row>
    <row r="357">
      <c r="I357" s="310"/>
      <c r="S357" s="311"/>
    </row>
    <row r="358">
      <c r="I358" s="310"/>
      <c r="S358" s="311"/>
    </row>
    <row r="359">
      <c r="I359" s="310"/>
      <c r="S359" s="311"/>
    </row>
    <row r="360">
      <c r="I360" s="310"/>
      <c r="S360" s="311"/>
    </row>
    <row r="361">
      <c r="I361" s="310"/>
      <c r="S361" s="311"/>
    </row>
    <row r="362">
      <c r="I362" s="310"/>
      <c r="S362" s="311"/>
    </row>
    <row r="363">
      <c r="I363" s="310"/>
      <c r="S363" s="311"/>
    </row>
    <row r="364">
      <c r="I364" s="310"/>
      <c r="S364" s="311"/>
    </row>
    <row r="365">
      <c r="I365" s="310"/>
      <c r="S365" s="311"/>
    </row>
    <row r="366">
      <c r="I366" s="310"/>
      <c r="S366" s="311"/>
    </row>
    <row r="367">
      <c r="I367" s="310"/>
      <c r="S367" s="311"/>
    </row>
    <row r="368">
      <c r="I368" s="310"/>
      <c r="S368" s="311"/>
    </row>
    <row r="369">
      <c r="I369" s="310"/>
      <c r="S369" s="311"/>
    </row>
    <row r="370">
      <c r="I370" s="310"/>
      <c r="S370" s="311"/>
    </row>
    <row r="371">
      <c r="I371" s="310"/>
      <c r="S371" s="311"/>
    </row>
    <row r="372">
      <c r="I372" s="310"/>
      <c r="S372" s="311"/>
    </row>
    <row r="373">
      <c r="I373" s="310"/>
      <c r="S373" s="311"/>
    </row>
    <row r="374">
      <c r="I374" s="310"/>
      <c r="S374" s="311"/>
    </row>
    <row r="375">
      <c r="I375" s="310"/>
      <c r="S375" s="311"/>
    </row>
    <row r="376">
      <c r="I376" s="310"/>
      <c r="S376" s="311"/>
    </row>
    <row r="377">
      <c r="I377" s="310"/>
      <c r="S377" s="311"/>
    </row>
    <row r="378">
      <c r="I378" s="310"/>
      <c r="S378" s="311"/>
    </row>
    <row r="379">
      <c r="I379" s="310"/>
      <c r="S379" s="311"/>
    </row>
    <row r="380">
      <c r="I380" s="310"/>
      <c r="S380" s="311"/>
    </row>
    <row r="381">
      <c r="I381" s="310"/>
      <c r="S381" s="311"/>
    </row>
    <row r="382">
      <c r="I382" s="310"/>
      <c r="S382" s="311"/>
    </row>
    <row r="383">
      <c r="I383" s="310"/>
      <c r="S383" s="311"/>
    </row>
    <row r="384">
      <c r="I384" s="310"/>
      <c r="S384" s="311"/>
    </row>
    <row r="385">
      <c r="I385" s="310"/>
      <c r="S385" s="311"/>
    </row>
    <row r="386">
      <c r="I386" s="310"/>
      <c r="S386" s="311"/>
    </row>
    <row r="387">
      <c r="I387" s="310"/>
      <c r="S387" s="311"/>
    </row>
    <row r="388">
      <c r="I388" s="310"/>
      <c r="S388" s="311"/>
    </row>
    <row r="389">
      <c r="I389" s="310"/>
      <c r="S389" s="311"/>
    </row>
    <row r="390">
      <c r="I390" s="310"/>
      <c r="S390" s="311"/>
    </row>
    <row r="391">
      <c r="I391" s="310"/>
      <c r="S391" s="311"/>
    </row>
    <row r="392">
      <c r="I392" s="310"/>
      <c r="S392" s="311"/>
    </row>
    <row r="393">
      <c r="I393" s="310"/>
      <c r="S393" s="311"/>
    </row>
    <row r="394">
      <c r="I394" s="310"/>
      <c r="S394" s="311"/>
    </row>
    <row r="395">
      <c r="I395" s="310"/>
      <c r="S395" s="311"/>
    </row>
    <row r="396">
      <c r="I396" s="310"/>
      <c r="S396" s="311"/>
    </row>
    <row r="397">
      <c r="I397" s="310"/>
      <c r="S397" s="311"/>
    </row>
    <row r="398">
      <c r="I398" s="310"/>
      <c r="S398" s="311"/>
    </row>
    <row r="399">
      <c r="I399" s="310"/>
      <c r="S399" s="311"/>
    </row>
    <row r="400">
      <c r="I400" s="310"/>
      <c r="S400" s="311"/>
    </row>
    <row r="401">
      <c r="I401" s="310"/>
      <c r="S401" s="311"/>
    </row>
    <row r="402">
      <c r="I402" s="310"/>
      <c r="S402" s="311"/>
    </row>
    <row r="403">
      <c r="I403" s="310"/>
      <c r="S403" s="311"/>
    </row>
    <row r="404">
      <c r="I404" s="310"/>
      <c r="S404" s="311"/>
    </row>
    <row r="405">
      <c r="I405" s="310"/>
      <c r="S405" s="311"/>
    </row>
    <row r="406">
      <c r="I406" s="310"/>
      <c r="S406" s="311"/>
    </row>
    <row r="407">
      <c r="I407" s="310"/>
      <c r="S407" s="311"/>
    </row>
    <row r="408">
      <c r="I408" s="310"/>
      <c r="S408" s="311"/>
    </row>
    <row r="409">
      <c r="I409" s="310"/>
      <c r="S409" s="311"/>
    </row>
    <row r="410">
      <c r="I410" s="310"/>
      <c r="S410" s="311"/>
    </row>
    <row r="411">
      <c r="I411" s="310"/>
      <c r="S411" s="311"/>
    </row>
    <row r="412">
      <c r="I412" s="310"/>
      <c r="S412" s="311"/>
    </row>
    <row r="413">
      <c r="I413" s="310"/>
      <c r="S413" s="311"/>
    </row>
    <row r="414">
      <c r="I414" s="310"/>
      <c r="S414" s="311"/>
    </row>
    <row r="415">
      <c r="I415" s="310"/>
      <c r="S415" s="311"/>
    </row>
    <row r="416">
      <c r="I416" s="310"/>
      <c r="S416" s="311"/>
    </row>
    <row r="417">
      <c r="I417" s="310"/>
      <c r="S417" s="311"/>
    </row>
    <row r="418">
      <c r="I418" s="310"/>
      <c r="S418" s="311"/>
    </row>
    <row r="419">
      <c r="I419" s="310"/>
      <c r="S419" s="311"/>
    </row>
    <row r="420">
      <c r="I420" s="310"/>
      <c r="S420" s="311"/>
    </row>
    <row r="421">
      <c r="I421" s="310"/>
      <c r="S421" s="311"/>
    </row>
    <row r="422">
      <c r="I422" s="310"/>
      <c r="S422" s="311"/>
    </row>
    <row r="423">
      <c r="I423" s="310"/>
      <c r="S423" s="311"/>
    </row>
    <row r="424">
      <c r="I424" s="310"/>
      <c r="S424" s="311"/>
    </row>
    <row r="425">
      <c r="I425" s="310"/>
      <c r="S425" s="311"/>
    </row>
    <row r="426">
      <c r="I426" s="310"/>
      <c r="S426" s="311"/>
    </row>
    <row r="427">
      <c r="I427" s="310"/>
      <c r="S427" s="311"/>
    </row>
    <row r="428">
      <c r="I428" s="310"/>
      <c r="S428" s="311"/>
    </row>
    <row r="429">
      <c r="I429" s="310"/>
      <c r="S429" s="311"/>
    </row>
    <row r="430">
      <c r="I430" s="310"/>
      <c r="S430" s="311"/>
    </row>
    <row r="431">
      <c r="I431" s="310"/>
      <c r="S431" s="311"/>
    </row>
    <row r="432">
      <c r="I432" s="310"/>
      <c r="S432" s="311"/>
    </row>
    <row r="433">
      <c r="I433" s="310"/>
      <c r="S433" s="311"/>
    </row>
    <row r="434">
      <c r="I434" s="310"/>
      <c r="S434" s="311"/>
    </row>
    <row r="435">
      <c r="I435" s="310"/>
      <c r="S435" s="311"/>
    </row>
    <row r="436">
      <c r="I436" s="310"/>
      <c r="S436" s="311"/>
    </row>
    <row r="437">
      <c r="I437" s="310"/>
      <c r="S437" s="311"/>
    </row>
    <row r="438">
      <c r="I438" s="310"/>
      <c r="S438" s="311"/>
    </row>
    <row r="439">
      <c r="I439" s="310"/>
      <c r="S439" s="311"/>
    </row>
    <row r="440">
      <c r="I440" s="310"/>
      <c r="S440" s="311"/>
    </row>
    <row r="441">
      <c r="I441" s="310"/>
      <c r="S441" s="311"/>
    </row>
    <row r="442">
      <c r="I442" s="310"/>
      <c r="S442" s="311"/>
    </row>
    <row r="443">
      <c r="I443" s="310"/>
      <c r="S443" s="311"/>
    </row>
    <row r="444">
      <c r="I444" s="310"/>
      <c r="S444" s="311"/>
    </row>
    <row r="445">
      <c r="I445" s="310"/>
      <c r="S445" s="311"/>
    </row>
    <row r="446">
      <c r="I446" s="310"/>
      <c r="S446" s="311"/>
    </row>
    <row r="447">
      <c r="I447" s="310"/>
      <c r="S447" s="311"/>
    </row>
    <row r="448">
      <c r="I448" s="310"/>
      <c r="S448" s="311"/>
    </row>
    <row r="449">
      <c r="I449" s="310"/>
      <c r="S449" s="311"/>
    </row>
    <row r="450">
      <c r="I450" s="310"/>
      <c r="S450" s="311"/>
    </row>
    <row r="451">
      <c r="I451" s="310"/>
      <c r="S451" s="311"/>
    </row>
    <row r="452">
      <c r="I452" s="310"/>
      <c r="S452" s="311"/>
    </row>
    <row r="453">
      <c r="I453" s="310"/>
      <c r="S453" s="311"/>
    </row>
    <row r="454">
      <c r="I454" s="310"/>
      <c r="S454" s="311"/>
    </row>
    <row r="455">
      <c r="I455" s="310"/>
      <c r="S455" s="311"/>
    </row>
    <row r="456">
      <c r="I456" s="310"/>
      <c r="S456" s="311"/>
    </row>
    <row r="457">
      <c r="I457" s="310"/>
      <c r="S457" s="311"/>
    </row>
    <row r="458">
      <c r="I458" s="310"/>
      <c r="S458" s="311"/>
    </row>
    <row r="459">
      <c r="I459" s="310"/>
      <c r="S459" s="311"/>
    </row>
    <row r="460">
      <c r="I460" s="310"/>
      <c r="S460" s="311"/>
    </row>
    <row r="461">
      <c r="I461" s="310"/>
      <c r="S461" s="311"/>
    </row>
    <row r="462">
      <c r="I462" s="310"/>
      <c r="S462" s="311"/>
    </row>
    <row r="463">
      <c r="I463" s="310"/>
      <c r="S463" s="311"/>
    </row>
    <row r="464">
      <c r="I464" s="310"/>
      <c r="S464" s="311"/>
    </row>
    <row r="465">
      <c r="I465" s="310"/>
      <c r="S465" s="311"/>
    </row>
    <row r="466">
      <c r="I466" s="310"/>
      <c r="S466" s="311"/>
    </row>
    <row r="467">
      <c r="I467" s="310"/>
      <c r="S467" s="311"/>
    </row>
    <row r="468">
      <c r="I468" s="310"/>
      <c r="S468" s="311"/>
    </row>
    <row r="469">
      <c r="I469" s="310"/>
      <c r="S469" s="311"/>
    </row>
    <row r="470">
      <c r="I470" s="310"/>
      <c r="S470" s="311"/>
    </row>
    <row r="471">
      <c r="I471" s="310"/>
      <c r="S471" s="311"/>
    </row>
    <row r="472">
      <c r="I472" s="310"/>
      <c r="S472" s="311"/>
    </row>
    <row r="473">
      <c r="I473" s="310"/>
      <c r="S473" s="311"/>
    </row>
    <row r="474">
      <c r="I474" s="310"/>
      <c r="S474" s="311"/>
    </row>
    <row r="475">
      <c r="I475" s="310"/>
      <c r="S475" s="311"/>
    </row>
    <row r="476">
      <c r="I476" s="310"/>
      <c r="S476" s="311"/>
    </row>
    <row r="477">
      <c r="I477" s="310"/>
      <c r="S477" s="311"/>
    </row>
    <row r="478">
      <c r="I478" s="310"/>
      <c r="S478" s="311"/>
    </row>
    <row r="479">
      <c r="I479" s="310"/>
      <c r="S479" s="311"/>
    </row>
    <row r="480">
      <c r="I480" s="310"/>
      <c r="S480" s="311"/>
    </row>
    <row r="481">
      <c r="I481" s="310"/>
      <c r="S481" s="311"/>
    </row>
    <row r="482">
      <c r="I482" s="310"/>
      <c r="S482" s="311"/>
    </row>
    <row r="483">
      <c r="I483" s="310"/>
      <c r="S483" s="311"/>
    </row>
    <row r="484">
      <c r="I484" s="310"/>
      <c r="S484" s="311"/>
    </row>
    <row r="485">
      <c r="I485" s="310"/>
      <c r="S485" s="311"/>
    </row>
    <row r="486">
      <c r="I486" s="310"/>
      <c r="S486" s="311"/>
    </row>
    <row r="487">
      <c r="I487" s="310"/>
      <c r="S487" s="311"/>
    </row>
    <row r="488">
      <c r="I488" s="310"/>
      <c r="S488" s="311"/>
    </row>
    <row r="489">
      <c r="I489" s="310"/>
      <c r="S489" s="311"/>
    </row>
    <row r="490">
      <c r="I490" s="310"/>
      <c r="S490" s="311"/>
    </row>
    <row r="491">
      <c r="I491" s="310"/>
      <c r="S491" s="311"/>
    </row>
    <row r="492">
      <c r="I492" s="310"/>
      <c r="S492" s="311"/>
    </row>
    <row r="493">
      <c r="I493" s="310"/>
      <c r="S493" s="311"/>
    </row>
    <row r="494">
      <c r="I494" s="310"/>
      <c r="S494" s="311"/>
    </row>
    <row r="495">
      <c r="I495" s="310"/>
      <c r="S495" s="311"/>
    </row>
    <row r="496">
      <c r="I496" s="310"/>
      <c r="S496" s="311"/>
    </row>
    <row r="497">
      <c r="I497" s="310"/>
      <c r="S497" s="311"/>
    </row>
    <row r="498">
      <c r="I498" s="310"/>
      <c r="S498" s="311"/>
    </row>
    <row r="499">
      <c r="I499" s="310"/>
      <c r="S499" s="311"/>
    </row>
    <row r="500">
      <c r="I500" s="310"/>
      <c r="S500" s="311"/>
    </row>
    <row r="501">
      <c r="I501" s="310"/>
      <c r="S501" s="311"/>
    </row>
    <row r="502">
      <c r="I502" s="310"/>
      <c r="S502" s="311"/>
    </row>
    <row r="503">
      <c r="I503" s="310"/>
      <c r="S503" s="311"/>
    </row>
    <row r="504">
      <c r="I504" s="310"/>
      <c r="S504" s="311"/>
    </row>
    <row r="505">
      <c r="I505" s="310"/>
      <c r="S505" s="311"/>
    </row>
    <row r="506">
      <c r="I506" s="310"/>
      <c r="S506" s="311"/>
    </row>
    <row r="507">
      <c r="I507" s="310"/>
      <c r="S507" s="311"/>
    </row>
    <row r="508">
      <c r="I508" s="310"/>
      <c r="S508" s="311"/>
    </row>
    <row r="509">
      <c r="I509" s="310"/>
      <c r="S509" s="311"/>
    </row>
    <row r="510">
      <c r="I510" s="310"/>
      <c r="S510" s="311"/>
    </row>
    <row r="511">
      <c r="I511" s="310"/>
      <c r="S511" s="311"/>
    </row>
    <row r="512">
      <c r="I512" s="310"/>
      <c r="S512" s="311"/>
    </row>
    <row r="513">
      <c r="I513" s="310"/>
      <c r="S513" s="311"/>
    </row>
    <row r="514">
      <c r="I514" s="310"/>
      <c r="S514" s="311"/>
    </row>
    <row r="515">
      <c r="I515" s="310"/>
      <c r="S515" s="311"/>
    </row>
    <row r="516">
      <c r="I516" s="310"/>
      <c r="S516" s="311"/>
    </row>
    <row r="517">
      <c r="I517" s="310"/>
      <c r="S517" s="311"/>
    </row>
    <row r="518">
      <c r="I518" s="310"/>
      <c r="S518" s="311"/>
    </row>
    <row r="519">
      <c r="I519" s="310"/>
      <c r="S519" s="311"/>
    </row>
    <row r="520">
      <c r="I520" s="310"/>
      <c r="S520" s="311"/>
    </row>
    <row r="521">
      <c r="I521" s="310"/>
      <c r="S521" s="311"/>
    </row>
    <row r="522">
      <c r="I522" s="310"/>
      <c r="S522" s="311"/>
    </row>
    <row r="523">
      <c r="I523" s="310"/>
      <c r="S523" s="311"/>
    </row>
    <row r="524">
      <c r="I524" s="310"/>
      <c r="S524" s="311"/>
    </row>
    <row r="525">
      <c r="I525" s="310"/>
      <c r="S525" s="311"/>
    </row>
    <row r="526">
      <c r="I526" s="310"/>
      <c r="S526" s="311"/>
    </row>
    <row r="527">
      <c r="I527" s="310"/>
      <c r="S527" s="311"/>
    </row>
    <row r="528">
      <c r="I528" s="310"/>
      <c r="S528" s="311"/>
    </row>
    <row r="529">
      <c r="I529" s="310"/>
      <c r="S529" s="311"/>
    </row>
    <row r="530">
      <c r="I530" s="310"/>
      <c r="S530" s="311"/>
    </row>
    <row r="531">
      <c r="I531" s="310"/>
      <c r="S531" s="311"/>
    </row>
    <row r="532">
      <c r="I532" s="310"/>
      <c r="S532" s="311"/>
    </row>
    <row r="533">
      <c r="I533" s="310"/>
      <c r="S533" s="311"/>
    </row>
    <row r="534">
      <c r="I534" s="310"/>
      <c r="S534" s="311"/>
    </row>
    <row r="535">
      <c r="I535" s="310"/>
      <c r="S535" s="311"/>
    </row>
    <row r="536">
      <c r="I536" s="310"/>
      <c r="S536" s="311"/>
    </row>
    <row r="537">
      <c r="I537" s="310"/>
      <c r="S537" s="311"/>
    </row>
    <row r="538">
      <c r="I538" s="310"/>
      <c r="S538" s="311"/>
    </row>
    <row r="539">
      <c r="I539" s="310"/>
      <c r="S539" s="311"/>
    </row>
    <row r="540">
      <c r="I540" s="310"/>
      <c r="S540" s="311"/>
    </row>
    <row r="541">
      <c r="I541" s="310"/>
      <c r="S541" s="311"/>
    </row>
    <row r="542">
      <c r="I542" s="310"/>
      <c r="S542" s="311"/>
    </row>
    <row r="543">
      <c r="I543" s="310"/>
      <c r="S543" s="311"/>
    </row>
    <row r="544">
      <c r="I544" s="310"/>
      <c r="S544" s="311"/>
    </row>
    <row r="545">
      <c r="I545" s="310"/>
      <c r="S545" s="311"/>
    </row>
    <row r="546">
      <c r="I546" s="310"/>
      <c r="S546" s="311"/>
    </row>
    <row r="547">
      <c r="I547" s="310"/>
      <c r="S547" s="311"/>
    </row>
    <row r="548">
      <c r="I548" s="310"/>
      <c r="S548" s="311"/>
    </row>
    <row r="549">
      <c r="I549" s="310"/>
      <c r="S549" s="311"/>
    </row>
    <row r="550">
      <c r="I550" s="310"/>
      <c r="S550" s="311"/>
    </row>
    <row r="551">
      <c r="I551" s="310"/>
      <c r="S551" s="311"/>
    </row>
    <row r="552">
      <c r="I552" s="310"/>
      <c r="S552" s="311"/>
    </row>
    <row r="553">
      <c r="I553" s="310"/>
      <c r="S553" s="311"/>
    </row>
    <row r="554">
      <c r="I554" s="310"/>
      <c r="S554" s="311"/>
    </row>
    <row r="555">
      <c r="I555" s="310"/>
      <c r="S555" s="311"/>
    </row>
    <row r="556">
      <c r="I556" s="310"/>
      <c r="S556" s="311"/>
    </row>
    <row r="557">
      <c r="I557" s="310"/>
      <c r="S557" s="311"/>
    </row>
    <row r="558">
      <c r="I558" s="310"/>
      <c r="S558" s="311"/>
    </row>
    <row r="559">
      <c r="I559" s="310"/>
      <c r="S559" s="311"/>
    </row>
    <row r="560">
      <c r="I560" s="310"/>
      <c r="S560" s="311"/>
    </row>
    <row r="561">
      <c r="I561" s="310"/>
      <c r="S561" s="311"/>
    </row>
    <row r="562">
      <c r="I562" s="310"/>
      <c r="S562" s="311"/>
    </row>
    <row r="563">
      <c r="I563" s="310"/>
      <c r="S563" s="311"/>
    </row>
    <row r="564">
      <c r="I564" s="310"/>
      <c r="S564" s="311"/>
    </row>
    <row r="565">
      <c r="I565" s="310"/>
      <c r="S565" s="311"/>
    </row>
    <row r="566">
      <c r="I566" s="310"/>
      <c r="S566" s="311"/>
    </row>
    <row r="567">
      <c r="I567" s="310"/>
      <c r="S567" s="311"/>
    </row>
    <row r="568">
      <c r="I568" s="310"/>
      <c r="S568" s="311"/>
    </row>
    <row r="569">
      <c r="I569" s="310"/>
      <c r="S569" s="311"/>
    </row>
    <row r="570">
      <c r="I570" s="310"/>
      <c r="S570" s="311"/>
    </row>
    <row r="571">
      <c r="I571" s="310"/>
      <c r="S571" s="311"/>
    </row>
    <row r="572">
      <c r="I572" s="310"/>
      <c r="S572" s="311"/>
    </row>
    <row r="573">
      <c r="I573" s="310"/>
      <c r="S573" s="311"/>
    </row>
    <row r="574">
      <c r="I574" s="310"/>
      <c r="S574" s="311"/>
    </row>
    <row r="575">
      <c r="I575" s="310"/>
      <c r="S575" s="311"/>
    </row>
    <row r="576">
      <c r="I576" s="310"/>
      <c r="S576" s="311"/>
    </row>
    <row r="577">
      <c r="I577" s="310"/>
      <c r="S577" s="311"/>
    </row>
    <row r="578">
      <c r="I578" s="310"/>
      <c r="S578" s="311"/>
    </row>
    <row r="579">
      <c r="I579" s="310"/>
      <c r="S579" s="311"/>
    </row>
    <row r="580">
      <c r="I580" s="310"/>
      <c r="S580" s="311"/>
    </row>
    <row r="581">
      <c r="I581" s="310"/>
      <c r="S581" s="311"/>
    </row>
    <row r="582">
      <c r="I582" s="310"/>
      <c r="S582" s="311"/>
    </row>
    <row r="583">
      <c r="I583" s="310"/>
      <c r="S583" s="311"/>
    </row>
    <row r="584">
      <c r="I584" s="310"/>
      <c r="S584" s="311"/>
    </row>
    <row r="585">
      <c r="I585" s="310"/>
      <c r="S585" s="311"/>
    </row>
    <row r="586">
      <c r="I586" s="310"/>
      <c r="S586" s="311"/>
    </row>
    <row r="587">
      <c r="I587" s="310"/>
      <c r="S587" s="311"/>
    </row>
    <row r="588">
      <c r="I588" s="310"/>
      <c r="S588" s="311"/>
    </row>
    <row r="589">
      <c r="I589" s="310"/>
      <c r="S589" s="311"/>
    </row>
    <row r="590">
      <c r="I590" s="310"/>
      <c r="S590" s="311"/>
    </row>
    <row r="591">
      <c r="I591" s="310"/>
      <c r="S591" s="311"/>
    </row>
    <row r="592">
      <c r="I592" s="310"/>
      <c r="S592" s="311"/>
    </row>
    <row r="593">
      <c r="I593" s="310"/>
      <c r="S593" s="311"/>
    </row>
    <row r="594">
      <c r="I594" s="310"/>
      <c r="S594" s="311"/>
    </row>
    <row r="595">
      <c r="I595" s="310"/>
      <c r="S595" s="311"/>
    </row>
    <row r="596">
      <c r="I596" s="310"/>
      <c r="S596" s="311"/>
    </row>
    <row r="597">
      <c r="I597" s="310"/>
      <c r="S597" s="311"/>
    </row>
    <row r="598">
      <c r="I598" s="310"/>
      <c r="S598" s="311"/>
    </row>
    <row r="599">
      <c r="I599" s="310"/>
      <c r="S599" s="311"/>
    </row>
    <row r="600">
      <c r="I600" s="310"/>
      <c r="S600" s="311"/>
    </row>
    <row r="601">
      <c r="I601" s="310"/>
      <c r="S601" s="311"/>
    </row>
    <row r="602">
      <c r="I602" s="310"/>
      <c r="S602" s="311"/>
    </row>
    <row r="603">
      <c r="I603" s="310"/>
      <c r="S603" s="311"/>
    </row>
    <row r="604">
      <c r="I604" s="310"/>
      <c r="S604" s="311"/>
    </row>
    <row r="605">
      <c r="I605" s="310"/>
      <c r="S605" s="311"/>
    </row>
    <row r="606">
      <c r="I606" s="310"/>
      <c r="S606" s="311"/>
    </row>
    <row r="607">
      <c r="I607" s="310"/>
      <c r="S607" s="311"/>
    </row>
    <row r="608">
      <c r="I608" s="310"/>
      <c r="S608" s="311"/>
    </row>
    <row r="609">
      <c r="I609" s="310"/>
      <c r="S609" s="311"/>
    </row>
    <row r="610">
      <c r="I610" s="310"/>
      <c r="S610" s="311"/>
    </row>
    <row r="611">
      <c r="I611" s="310"/>
      <c r="S611" s="311"/>
    </row>
    <row r="612">
      <c r="I612" s="310"/>
      <c r="S612" s="311"/>
    </row>
    <row r="613">
      <c r="I613" s="310"/>
      <c r="S613" s="311"/>
    </row>
    <row r="614">
      <c r="I614" s="310"/>
      <c r="S614" s="311"/>
    </row>
    <row r="615">
      <c r="I615" s="310"/>
      <c r="S615" s="311"/>
    </row>
    <row r="616">
      <c r="I616" s="310"/>
      <c r="S616" s="311"/>
    </row>
    <row r="617">
      <c r="I617" s="310"/>
      <c r="S617" s="311"/>
    </row>
    <row r="618">
      <c r="I618" s="310"/>
      <c r="S618" s="311"/>
    </row>
    <row r="619">
      <c r="I619" s="310"/>
      <c r="S619" s="311"/>
    </row>
    <row r="620">
      <c r="I620" s="310"/>
      <c r="S620" s="311"/>
    </row>
    <row r="621">
      <c r="I621" s="310"/>
      <c r="S621" s="311"/>
    </row>
    <row r="622">
      <c r="I622" s="310"/>
      <c r="S622" s="311"/>
    </row>
    <row r="623">
      <c r="I623" s="310"/>
      <c r="S623" s="311"/>
    </row>
    <row r="624">
      <c r="I624" s="310"/>
      <c r="S624" s="311"/>
    </row>
    <row r="625">
      <c r="I625" s="310"/>
      <c r="S625" s="311"/>
    </row>
    <row r="626">
      <c r="I626" s="310"/>
      <c r="S626" s="311"/>
    </row>
    <row r="627">
      <c r="I627" s="310"/>
      <c r="S627" s="311"/>
    </row>
    <row r="628">
      <c r="I628" s="310"/>
      <c r="S628" s="311"/>
    </row>
    <row r="629">
      <c r="I629" s="310"/>
      <c r="S629" s="311"/>
    </row>
    <row r="630">
      <c r="I630" s="310"/>
      <c r="S630" s="311"/>
    </row>
    <row r="631">
      <c r="I631" s="310"/>
      <c r="S631" s="311"/>
    </row>
    <row r="632">
      <c r="I632" s="310"/>
      <c r="S632" s="311"/>
    </row>
    <row r="633">
      <c r="I633" s="310"/>
      <c r="S633" s="311"/>
    </row>
    <row r="634">
      <c r="I634" s="310"/>
      <c r="S634" s="311"/>
    </row>
    <row r="635">
      <c r="I635" s="310"/>
      <c r="S635" s="311"/>
    </row>
    <row r="636">
      <c r="I636" s="310"/>
      <c r="S636" s="311"/>
    </row>
    <row r="637">
      <c r="I637" s="310"/>
      <c r="S637" s="311"/>
    </row>
    <row r="638">
      <c r="I638" s="310"/>
      <c r="S638" s="311"/>
    </row>
    <row r="639">
      <c r="I639" s="310"/>
      <c r="S639" s="311"/>
    </row>
    <row r="640">
      <c r="I640" s="310"/>
      <c r="S640" s="311"/>
    </row>
    <row r="641">
      <c r="I641" s="310"/>
      <c r="S641" s="311"/>
    </row>
    <row r="642">
      <c r="I642" s="310"/>
      <c r="S642" s="311"/>
    </row>
    <row r="643">
      <c r="I643" s="310"/>
      <c r="S643" s="311"/>
    </row>
    <row r="644">
      <c r="I644" s="310"/>
      <c r="S644" s="311"/>
    </row>
    <row r="645">
      <c r="I645" s="310"/>
      <c r="S645" s="311"/>
    </row>
    <row r="646">
      <c r="I646" s="310"/>
      <c r="S646" s="311"/>
    </row>
    <row r="647">
      <c r="I647" s="310"/>
      <c r="S647" s="311"/>
    </row>
    <row r="648">
      <c r="I648" s="310"/>
      <c r="S648" s="311"/>
    </row>
    <row r="649">
      <c r="I649" s="310"/>
      <c r="S649" s="311"/>
    </row>
    <row r="650">
      <c r="I650" s="310"/>
      <c r="S650" s="311"/>
    </row>
    <row r="651">
      <c r="I651" s="310"/>
      <c r="S651" s="311"/>
    </row>
    <row r="652">
      <c r="I652" s="310"/>
      <c r="S652" s="311"/>
    </row>
    <row r="653">
      <c r="I653" s="310"/>
      <c r="S653" s="311"/>
    </row>
    <row r="654">
      <c r="I654" s="310"/>
      <c r="S654" s="311"/>
    </row>
    <row r="655">
      <c r="I655" s="310"/>
      <c r="S655" s="311"/>
    </row>
    <row r="656">
      <c r="I656" s="310"/>
      <c r="S656" s="311"/>
    </row>
    <row r="657">
      <c r="I657" s="310"/>
      <c r="S657" s="311"/>
    </row>
    <row r="658">
      <c r="I658" s="310"/>
      <c r="S658" s="311"/>
    </row>
    <row r="659">
      <c r="I659" s="310"/>
      <c r="S659" s="311"/>
    </row>
    <row r="660">
      <c r="I660" s="310"/>
      <c r="S660" s="311"/>
    </row>
    <row r="661">
      <c r="I661" s="310"/>
      <c r="S661" s="311"/>
    </row>
    <row r="662">
      <c r="I662" s="310"/>
      <c r="S662" s="311"/>
    </row>
    <row r="663">
      <c r="I663" s="310"/>
      <c r="S663" s="311"/>
    </row>
    <row r="664">
      <c r="I664" s="310"/>
      <c r="S664" s="311"/>
    </row>
    <row r="665">
      <c r="I665" s="310"/>
      <c r="S665" s="311"/>
    </row>
    <row r="666">
      <c r="I666" s="310"/>
      <c r="S666" s="311"/>
    </row>
    <row r="667">
      <c r="I667" s="310"/>
      <c r="S667" s="311"/>
    </row>
    <row r="668">
      <c r="I668" s="310"/>
      <c r="S668" s="311"/>
    </row>
    <row r="669">
      <c r="I669" s="310"/>
      <c r="S669" s="311"/>
    </row>
    <row r="670">
      <c r="I670" s="310"/>
      <c r="S670" s="311"/>
    </row>
    <row r="671">
      <c r="I671" s="310"/>
      <c r="S671" s="311"/>
    </row>
    <row r="672">
      <c r="I672" s="310"/>
      <c r="S672" s="311"/>
    </row>
    <row r="673">
      <c r="I673" s="310"/>
      <c r="S673" s="311"/>
    </row>
    <row r="674">
      <c r="I674" s="310"/>
      <c r="S674" s="311"/>
    </row>
    <row r="675">
      <c r="I675" s="310"/>
      <c r="S675" s="311"/>
    </row>
    <row r="676">
      <c r="I676" s="310"/>
      <c r="S676" s="311"/>
    </row>
    <row r="677">
      <c r="I677" s="310"/>
      <c r="S677" s="311"/>
    </row>
    <row r="678">
      <c r="I678" s="310"/>
      <c r="S678" s="311"/>
    </row>
    <row r="679">
      <c r="I679" s="310"/>
      <c r="S679" s="311"/>
    </row>
    <row r="680">
      <c r="I680" s="310"/>
      <c r="S680" s="311"/>
    </row>
    <row r="681">
      <c r="I681" s="310"/>
      <c r="S681" s="311"/>
    </row>
    <row r="682">
      <c r="I682" s="310"/>
      <c r="S682" s="311"/>
    </row>
    <row r="683">
      <c r="I683" s="310"/>
      <c r="S683" s="311"/>
    </row>
    <row r="684">
      <c r="I684" s="310"/>
      <c r="S684" s="311"/>
    </row>
    <row r="685">
      <c r="I685" s="310"/>
      <c r="S685" s="311"/>
    </row>
    <row r="686">
      <c r="I686" s="310"/>
      <c r="S686" s="311"/>
    </row>
    <row r="687">
      <c r="I687" s="310"/>
      <c r="S687" s="311"/>
    </row>
    <row r="688">
      <c r="I688" s="310"/>
      <c r="S688" s="311"/>
    </row>
    <row r="689">
      <c r="I689" s="310"/>
      <c r="S689" s="311"/>
    </row>
    <row r="690">
      <c r="I690" s="310"/>
      <c r="S690" s="311"/>
    </row>
    <row r="691">
      <c r="I691" s="310"/>
      <c r="S691" s="311"/>
    </row>
    <row r="692">
      <c r="I692" s="310"/>
      <c r="S692" s="311"/>
    </row>
    <row r="693">
      <c r="I693" s="310"/>
      <c r="S693" s="311"/>
    </row>
    <row r="694">
      <c r="I694" s="310"/>
      <c r="S694" s="311"/>
    </row>
    <row r="695">
      <c r="I695" s="310"/>
      <c r="S695" s="311"/>
    </row>
    <row r="696">
      <c r="I696" s="310"/>
      <c r="S696" s="311"/>
    </row>
    <row r="697">
      <c r="I697" s="310"/>
      <c r="S697" s="311"/>
    </row>
    <row r="698">
      <c r="I698" s="310"/>
      <c r="S698" s="311"/>
    </row>
    <row r="699">
      <c r="I699" s="310"/>
      <c r="S699" s="311"/>
    </row>
    <row r="700">
      <c r="I700" s="310"/>
      <c r="S700" s="311"/>
    </row>
    <row r="701">
      <c r="I701" s="310"/>
      <c r="S701" s="311"/>
    </row>
    <row r="702">
      <c r="I702" s="310"/>
      <c r="S702" s="311"/>
    </row>
    <row r="703">
      <c r="I703" s="310"/>
      <c r="S703" s="311"/>
    </row>
    <row r="704">
      <c r="I704" s="310"/>
      <c r="S704" s="311"/>
    </row>
    <row r="705">
      <c r="I705" s="310"/>
      <c r="S705" s="311"/>
    </row>
    <row r="706">
      <c r="I706" s="310"/>
      <c r="S706" s="311"/>
    </row>
    <row r="707">
      <c r="I707" s="310"/>
      <c r="S707" s="311"/>
    </row>
    <row r="708">
      <c r="I708" s="310"/>
      <c r="S708" s="311"/>
    </row>
    <row r="709">
      <c r="I709" s="310"/>
      <c r="S709" s="311"/>
    </row>
    <row r="710">
      <c r="I710" s="310"/>
      <c r="S710" s="311"/>
    </row>
    <row r="711">
      <c r="I711" s="310"/>
      <c r="S711" s="311"/>
    </row>
    <row r="712">
      <c r="I712" s="310"/>
      <c r="S712" s="311"/>
    </row>
    <row r="713">
      <c r="I713" s="310"/>
      <c r="S713" s="311"/>
    </row>
    <row r="714">
      <c r="I714" s="310"/>
      <c r="S714" s="311"/>
    </row>
    <row r="715">
      <c r="I715" s="310"/>
      <c r="S715" s="311"/>
    </row>
    <row r="716">
      <c r="I716" s="310"/>
      <c r="S716" s="311"/>
    </row>
    <row r="717">
      <c r="I717" s="310"/>
      <c r="S717" s="311"/>
    </row>
    <row r="718">
      <c r="I718" s="310"/>
      <c r="S718" s="311"/>
    </row>
    <row r="719">
      <c r="I719" s="310"/>
      <c r="S719" s="311"/>
    </row>
    <row r="720">
      <c r="I720" s="310"/>
      <c r="S720" s="311"/>
    </row>
    <row r="721">
      <c r="I721" s="310"/>
      <c r="S721" s="311"/>
    </row>
    <row r="722">
      <c r="I722" s="310"/>
      <c r="S722" s="311"/>
    </row>
    <row r="723">
      <c r="I723" s="310"/>
      <c r="S723" s="311"/>
    </row>
    <row r="724">
      <c r="I724" s="310"/>
      <c r="S724" s="311"/>
    </row>
    <row r="725">
      <c r="I725" s="310"/>
      <c r="S725" s="311"/>
    </row>
    <row r="726">
      <c r="I726" s="310"/>
      <c r="S726" s="311"/>
    </row>
    <row r="727">
      <c r="I727" s="310"/>
      <c r="S727" s="311"/>
    </row>
    <row r="728">
      <c r="I728" s="310"/>
      <c r="S728" s="311"/>
    </row>
    <row r="729">
      <c r="I729" s="310"/>
      <c r="S729" s="311"/>
    </row>
    <row r="730">
      <c r="I730" s="310"/>
      <c r="S730" s="311"/>
    </row>
    <row r="731">
      <c r="I731" s="310"/>
      <c r="S731" s="311"/>
    </row>
    <row r="732">
      <c r="I732" s="310"/>
      <c r="S732" s="311"/>
    </row>
    <row r="733">
      <c r="I733" s="310"/>
      <c r="S733" s="311"/>
    </row>
    <row r="734">
      <c r="I734" s="310"/>
      <c r="S734" s="311"/>
    </row>
    <row r="735">
      <c r="I735" s="310"/>
      <c r="S735" s="311"/>
    </row>
    <row r="736">
      <c r="I736" s="310"/>
      <c r="S736" s="311"/>
    </row>
    <row r="737">
      <c r="I737" s="310"/>
      <c r="S737" s="311"/>
    </row>
    <row r="738">
      <c r="I738" s="310"/>
      <c r="S738" s="311"/>
    </row>
    <row r="739">
      <c r="I739" s="310"/>
      <c r="S739" s="311"/>
    </row>
    <row r="740">
      <c r="I740" s="310"/>
      <c r="S740" s="311"/>
    </row>
    <row r="741">
      <c r="I741" s="310"/>
      <c r="S741" s="311"/>
    </row>
    <row r="742">
      <c r="I742" s="310"/>
      <c r="S742" s="311"/>
    </row>
    <row r="743">
      <c r="I743" s="310"/>
      <c r="S743" s="311"/>
    </row>
    <row r="744">
      <c r="I744" s="310"/>
      <c r="S744" s="311"/>
    </row>
    <row r="745">
      <c r="I745" s="310"/>
      <c r="S745" s="311"/>
    </row>
    <row r="746">
      <c r="I746" s="310"/>
      <c r="S746" s="311"/>
    </row>
    <row r="747">
      <c r="I747" s="310"/>
      <c r="S747" s="311"/>
    </row>
    <row r="748">
      <c r="I748" s="310"/>
      <c r="S748" s="311"/>
    </row>
    <row r="749">
      <c r="I749" s="310"/>
      <c r="S749" s="311"/>
    </row>
    <row r="750">
      <c r="I750" s="310"/>
      <c r="S750" s="311"/>
    </row>
    <row r="751">
      <c r="I751" s="310"/>
      <c r="S751" s="311"/>
    </row>
    <row r="752">
      <c r="I752" s="310"/>
      <c r="S752" s="311"/>
    </row>
    <row r="753">
      <c r="I753" s="310"/>
      <c r="S753" s="311"/>
    </row>
    <row r="754">
      <c r="I754" s="310"/>
      <c r="S754" s="311"/>
    </row>
    <row r="755">
      <c r="I755" s="310"/>
      <c r="S755" s="311"/>
    </row>
    <row r="756">
      <c r="I756" s="310"/>
      <c r="S756" s="311"/>
    </row>
    <row r="757">
      <c r="I757" s="310"/>
      <c r="S757" s="311"/>
    </row>
    <row r="758">
      <c r="I758" s="310"/>
      <c r="S758" s="311"/>
    </row>
    <row r="759">
      <c r="I759" s="310"/>
      <c r="S759" s="311"/>
    </row>
    <row r="760">
      <c r="I760" s="310"/>
      <c r="S760" s="311"/>
    </row>
    <row r="761">
      <c r="I761" s="310"/>
      <c r="S761" s="311"/>
    </row>
    <row r="762">
      <c r="I762" s="310"/>
      <c r="S762" s="311"/>
    </row>
    <row r="763">
      <c r="I763" s="310"/>
      <c r="S763" s="311"/>
    </row>
    <row r="764">
      <c r="I764" s="310"/>
      <c r="S764" s="311"/>
    </row>
    <row r="765">
      <c r="I765" s="310"/>
      <c r="S765" s="311"/>
    </row>
    <row r="766">
      <c r="I766" s="310"/>
      <c r="S766" s="311"/>
    </row>
    <row r="767">
      <c r="I767" s="310"/>
      <c r="S767" s="311"/>
    </row>
    <row r="768">
      <c r="I768" s="310"/>
      <c r="S768" s="311"/>
    </row>
    <row r="769">
      <c r="I769" s="310"/>
      <c r="S769" s="311"/>
    </row>
    <row r="770">
      <c r="I770" s="310"/>
      <c r="S770" s="311"/>
    </row>
    <row r="771">
      <c r="I771" s="310"/>
      <c r="S771" s="311"/>
    </row>
    <row r="772">
      <c r="I772" s="310"/>
      <c r="S772" s="311"/>
    </row>
    <row r="773">
      <c r="I773" s="310"/>
      <c r="S773" s="311"/>
    </row>
    <row r="774">
      <c r="I774" s="310"/>
      <c r="S774" s="311"/>
    </row>
    <row r="775">
      <c r="I775" s="310"/>
      <c r="S775" s="311"/>
    </row>
    <row r="776">
      <c r="I776" s="310"/>
      <c r="S776" s="311"/>
    </row>
    <row r="777">
      <c r="I777" s="310"/>
      <c r="S777" s="311"/>
    </row>
    <row r="778">
      <c r="I778" s="310"/>
      <c r="S778" s="311"/>
    </row>
    <row r="779">
      <c r="I779" s="310"/>
      <c r="S779" s="311"/>
    </row>
    <row r="780">
      <c r="I780" s="310"/>
      <c r="S780" s="311"/>
    </row>
    <row r="781">
      <c r="I781" s="310"/>
      <c r="S781" s="311"/>
    </row>
    <row r="782">
      <c r="I782" s="310"/>
      <c r="S782" s="311"/>
    </row>
    <row r="783">
      <c r="I783" s="310"/>
      <c r="S783" s="311"/>
    </row>
    <row r="784">
      <c r="I784" s="310"/>
      <c r="S784" s="311"/>
    </row>
    <row r="785">
      <c r="I785" s="310"/>
      <c r="S785" s="311"/>
    </row>
    <row r="786">
      <c r="I786" s="310"/>
      <c r="S786" s="311"/>
    </row>
    <row r="787">
      <c r="I787" s="310"/>
      <c r="S787" s="311"/>
    </row>
    <row r="788">
      <c r="I788" s="310"/>
      <c r="S788" s="311"/>
    </row>
    <row r="789">
      <c r="I789" s="310"/>
      <c r="S789" s="311"/>
    </row>
    <row r="790">
      <c r="I790" s="310"/>
      <c r="S790" s="311"/>
    </row>
    <row r="791">
      <c r="I791" s="310"/>
      <c r="S791" s="311"/>
    </row>
    <row r="792">
      <c r="I792" s="310"/>
      <c r="S792" s="311"/>
    </row>
    <row r="793">
      <c r="I793" s="310"/>
      <c r="S793" s="311"/>
    </row>
    <row r="794">
      <c r="I794" s="310"/>
      <c r="S794" s="311"/>
    </row>
    <row r="795">
      <c r="I795" s="310"/>
      <c r="S795" s="311"/>
    </row>
    <row r="796">
      <c r="I796" s="310"/>
      <c r="S796" s="311"/>
    </row>
    <row r="797">
      <c r="I797" s="310"/>
      <c r="S797" s="311"/>
    </row>
    <row r="798">
      <c r="I798" s="310"/>
      <c r="S798" s="311"/>
    </row>
    <row r="799">
      <c r="I799" s="310"/>
      <c r="S799" s="311"/>
    </row>
    <row r="800">
      <c r="I800" s="310"/>
      <c r="S800" s="311"/>
    </row>
    <row r="801">
      <c r="I801" s="310"/>
      <c r="S801" s="311"/>
    </row>
    <row r="802">
      <c r="I802" s="310"/>
      <c r="S802" s="311"/>
    </row>
    <row r="803">
      <c r="I803" s="310"/>
      <c r="S803" s="311"/>
    </row>
    <row r="804">
      <c r="I804" s="310"/>
      <c r="S804" s="311"/>
    </row>
    <row r="805">
      <c r="I805" s="310"/>
      <c r="S805" s="311"/>
    </row>
    <row r="806">
      <c r="I806" s="310"/>
      <c r="S806" s="311"/>
    </row>
    <row r="807">
      <c r="I807" s="310"/>
      <c r="S807" s="311"/>
    </row>
    <row r="808">
      <c r="I808" s="310"/>
      <c r="S808" s="311"/>
    </row>
    <row r="809">
      <c r="I809" s="310"/>
      <c r="S809" s="311"/>
    </row>
    <row r="810">
      <c r="I810" s="310"/>
      <c r="S810" s="311"/>
    </row>
    <row r="811">
      <c r="I811" s="310"/>
      <c r="S811" s="311"/>
    </row>
    <row r="812">
      <c r="I812" s="310"/>
      <c r="S812" s="311"/>
    </row>
    <row r="813">
      <c r="I813" s="310"/>
      <c r="S813" s="311"/>
    </row>
    <row r="814">
      <c r="I814" s="310"/>
      <c r="S814" s="311"/>
    </row>
    <row r="815">
      <c r="I815" s="310"/>
      <c r="S815" s="311"/>
    </row>
    <row r="816">
      <c r="I816" s="310"/>
      <c r="S816" s="311"/>
    </row>
    <row r="817">
      <c r="I817" s="310"/>
      <c r="S817" s="311"/>
    </row>
    <row r="818">
      <c r="I818" s="310"/>
      <c r="S818" s="311"/>
    </row>
    <row r="819">
      <c r="I819" s="310"/>
      <c r="S819" s="311"/>
    </row>
    <row r="820">
      <c r="I820" s="310"/>
      <c r="S820" s="311"/>
    </row>
    <row r="821">
      <c r="I821" s="310"/>
      <c r="S821" s="311"/>
    </row>
    <row r="822">
      <c r="I822" s="310"/>
      <c r="S822" s="311"/>
    </row>
    <row r="823">
      <c r="I823" s="310"/>
      <c r="S823" s="311"/>
    </row>
    <row r="824">
      <c r="I824" s="310"/>
      <c r="S824" s="311"/>
    </row>
    <row r="825">
      <c r="I825" s="310"/>
      <c r="S825" s="311"/>
    </row>
    <row r="826">
      <c r="I826" s="310"/>
      <c r="S826" s="311"/>
    </row>
    <row r="827">
      <c r="I827" s="310"/>
      <c r="S827" s="311"/>
    </row>
    <row r="828">
      <c r="I828" s="310"/>
      <c r="S828" s="311"/>
    </row>
    <row r="829">
      <c r="I829" s="310"/>
      <c r="S829" s="311"/>
    </row>
    <row r="830">
      <c r="I830" s="310"/>
      <c r="S830" s="311"/>
    </row>
    <row r="831">
      <c r="I831" s="310"/>
      <c r="S831" s="311"/>
    </row>
    <row r="832">
      <c r="I832" s="310"/>
      <c r="S832" s="311"/>
    </row>
    <row r="833">
      <c r="I833" s="310"/>
      <c r="S833" s="311"/>
    </row>
    <row r="834">
      <c r="I834" s="310"/>
      <c r="S834" s="311"/>
    </row>
    <row r="835">
      <c r="I835" s="310"/>
      <c r="S835" s="311"/>
    </row>
    <row r="836">
      <c r="I836" s="310"/>
      <c r="S836" s="311"/>
    </row>
    <row r="837">
      <c r="I837" s="310"/>
      <c r="S837" s="311"/>
    </row>
    <row r="838">
      <c r="I838" s="310"/>
      <c r="S838" s="311"/>
    </row>
    <row r="839">
      <c r="I839" s="310"/>
      <c r="S839" s="311"/>
    </row>
    <row r="840">
      <c r="I840" s="310"/>
      <c r="S840" s="311"/>
    </row>
    <row r="841">
      <c r="I841" s="310"/>
      <c r="S841" s="311"/>
    </row>
    <row r="842">
      <c r="I842" s="310"/>
      <c r="S842" s="311"/>
    </row>
    <row r="843">
      <c r="I843" s="310"/>
      <c r="S843" s="311"/>
    </row>
    <row r="844">
      <c r="I844" s="310"/>
      <c r="S844" s="311"/>
    </row>
    <row r="845">
      <c r="I845" s="310"/>
      <c r="S845" s="311"/>
    </row>
    <row r="846">
      <c r="I846" s="310"/>
      <c r="S846" s="311"/>
    </row>
    <row r="847">
      <c r="I847" s="310"/>
      <c r="S847" s="311"/>
    </row>
    <row r="848">
      <c r="I848" s="310"/>
      <c r="S848" s="311"/>
    </row>
    <row r="849">
      <c r="I849" s="310"/>
      <c r="S849" s="311"/>
    </row>
    <row r="850">
      <c r="I850" s="310"/>
      <c r="S850" s="311"/>
    </row>
    <row r="851">
      <c r="I851" s="310"/>
      <c r="S851" s="311"/>
    </row>
    <row r="852">
      <c r="I852" s="310"/>
      <c r="S852" s="311"/>
    </row>
    <row r="853">
      <c r="I853" s="310"/>
      <c r="S853" s="311"/>
    </row>
    <row r="854">
      <c r="I854" s="310"/>
      <c r="S854" s="311"/>
    </row>
    <row r="855">
      <c r="I855" s="310"/>
      <c r="S855" s="311"/>
    </row>
    <row r="856">
      <c r="I856" s="310"/>
      <c r="S856" s="311"/>
    </row>
    <row r="857">
      <c r="I857" s="310"/>
      <c r="S857" s="311"/>
    </row>
    <row r="858">
      <c r="I858" s="310"/>
      <c r="S858" s="311"/>
    </row>
    <row r="859">
      <c r="I859" s="310"/>
      <c r="S859" s="311"/>
    </row>
    <row r="860">
      <c r="I860" s="310"/>
      <c r="S860" s="311"/>
    </row>
    <row r="861">
      <c r="I861" s="310"/>
      <c r="S861" s="311"/>
    </row>
    <row r="862">
      <c r="I862" s="310"/>
      <c r="S862" s="311"/>
    </row>
    <row r="863">
      <c r="I863" s="310"/>
      <c r="S863" s="311"/>
    </row>
    <row r="864">
      <c r="I864" s="310"/>
      <c r="S864" s="311"/>
    </row>
    <row r="865">
      <c r="I865" s="310"/>
      <c r="S865" s="311"/>
    </row>
    <row r="866">
      <c r="I866" s="310"/>
      <c r="S866" s="311"/>
    </row>
    <row r="867">
      <c r="I867" s="310"/>
      <c r="S867" s="311"/>
    </row>
    <row r="868">
      <c r="I868" s="310"/>
      <c r="S868" s="311"/>
    </row>
    <row r="869">
      <c r="I869" s="310"/>
      <c r="S869" s="311"/>
    </row>
    <row r="870">
      <c r="I870" s="310"/>
      <c r="S870" s="311"/>
    </row>
    <row r="871">
      <c r="I871" s="310"/>
      <c r="S871" s="311"/>
    </row>
    <row r="872">
      <c r="I872" s="310"/>
      <c r="S872" s="311"/>
    </row>
    <row r="873">
      <c r="I873" s="310"/>
      <c r="S873" s="311"/>
    </row>
    <row r="874">
      <c r="I874" s="310"/>
      <c r="S874" s="311"/>
    </row>
    <row r="875">
      <c r="I875" s="310"/>
      <c r="S875" s="311"/>
    </row>
    <row r="876">
      <c r="I876" s="310"/>
      <c r="S876" s="311"/>
    </row>
    <row r="877">
      <c r="I877" s="310"/>
      <c r="S877" s="311"/>
    </row>
    <row r="878">
      <c r="I878" s="310"/>
      <c r="S878" s="311"/>
    </row>
    <row r="879">
      <c r="I879" s="310"/>
      <c r="S879" s="311"/>
    </row>
    <row r="880">
      <c r="I880" s="310"/>
      <c r="S880" s="311"/>
    </row>
    <row r="881">
      <c r="I881" s="310"/>
      <c r="S881" s="311"/>
    </row>
    <row r="882">
      <c r="I882" s="310"/>
      <c r="S882" s="311"/>
    </row>
    <row r="883">
      <c r="I883" s="310"/>
      <c r="S883" s="311"/>
    </row>
    <row r="884">
      <c r="I884" s="310"/>
      <c r="S884" s="311"/>
    </row>
    <row r="885">
      <c r="I885" s="310"/>
      <c r="S885" s="311"/>
    </row>
    <row r="886">
      <c r="I886" s="310"/>
      <c r="S886" s="311"/>
    </row>
    <row r="887">
      <c r="I887" s="310"/>
      <c r="S887" s="311"/>
    </row>
    <row r="888">
      <c r="I888" s="310"/>
      <c r="S888" s="311"/>
    </row>
    <row r="889">
      <c r="I889" s="310"/>
      <c r="S889" s="311"/>
    </row>
    <row r="890">
      <c r="I890" s="310"/>
      <c r="S890" s="311"/>
    </row>
    <row r="891">
      <c r="I891" s="310"/>
      <c r="S891" s="311"/>
    </row>
    <row r="892">
      <c r="I892" s="310"/>
      <c r="S892" s="311"/>
    </row>
    <row r="893">
      <c r="I893" s="310"/>
      <c r="S893" s="311"/>
    </row>
    <row r="894">
      <c r="I894" s="310"/>
      <c r="S894" s="311"/>
    </row>
    <row r="895">
      <c r="I895" s="310"/>
      <c r="S895" s="311"/>
    </row>
    <row r="896">
      <c r="I896" s="310"/>
      <c r="S896" s="311"/>
    </row>
    <row r="897">
      <c r="I897" s="310"/>
      <c r="S897" s="311"/>
    </row>
    <row r="898">
      <c r="I898" s="310"/>
      <c r="S898" s="311"/>
    </row>
    <row r="899">
      <c r="I899" s="310"/>
      <c r="S899" s="311"/>
    </row>
    <row r="900">
      <c r="I900" s="310"/>
      <c r="S900" s="311"/>
    </row>
    <row r="901">
      <c r="I901" s="310"/>
      <c r="S901" s="311"/>
    </row>
    <row r="902">
      <c r="I902" s="310"/>
      <c r="S902" s="311"/>
    </row>
    <row r="903">
      <c r="I903" s="310"/>
      <c r="S903" s="311"/>
    </row>
    <row r="904">
      <c r="I904" s="310"/>
      <c r="S904" s="311"/>
    </row>
    <row r="905">
      <c r="I905" s="310"/>
      <c r="S905" s="311"/>
    </row>
    <row r="906">
      <c r="I906" s="310"/>
      <c r="S906" s="311"/>
    </row>
    <row r="907">
      <c r="I907" s="310"/>
      <c r="S907" s="311"/>
    </row>
    <row r="908">
      <c r="I908" s="310"/>
      <c r="S908" s="311"/>
    </row>
    <row r="909">
      <c r="I909" s="310"/>
      <c r="S909" s="311"/>
    </row>
    <row r="910">
      <c r="I910" s="310"/>
      <c r="S910" s="311"/>
    </row>
    <row r="911">
      <c r="I911" s="310"/>
      <c r="S911" s="311"/>
    </row>
    <row r="912">
      <c r="I912" s="310"/>
      <c r="S912" s="311"/>
    </row>
    <row r="913">
      <c r="I913" s="310"/>
      <c r="S913" s="311"/>
    </row>
    <row r="914">
      <c r="I914" s="310"/>
      <c r="S914" s="311"/>
    </row>
    <row r="915">
      <c r="I915" s="310"/>
      <c r="S915" s="311"/>
    </row>
    <row r="916">
      <c r="I916" s="310"/>
      <c r="S916" s="311"/>
    </row>
    <row r="917">
      <c r="I917" s="310"/>
      <c r="S917" s="311"/>
    </row>
    <row r="918">
      <c r="I918" s="310"/>
      <c r="S918" s="311"/>
    </row>
    <row r="919">
      <c r="I919" s="310"/>
      <c r="S919" s="311"/>
    </row>
    <row r="920">
      <c r="I920" s="310"/>
      <c r="S920" s="311"/>
    </row>
    <row r="921">
      <c r="I921" s="310"/>
      <c r="S921" s="311"/>
    </row>
    <row r="922">
      <c r="I922" s="310"/>
      <c r="S922" s="311"/>
    </row>
    <row r="923">
      <c r="I923" s="310"/>
      <c r="S923" s="311"/>
    </row>
    <row r="924">
      <c r="I924" s="310"/>
      <c r="S924" s="311"/>
    </row>
    <row r="925">
      <c r="I925" s="310"/>
      <c r="S925" s="311"/>
    </row>
    <row r="926">
      <c r="I926" s="310"/>
      <c r="S926" s="311"/>
    </row>
    <row r="927">
      <c r="I927" s="310"/>
      <c r="S927" s="311"/>
    </row>
    <row r="928">
      <c r="I928" s="310"/>
      <c r="S928" s="311"/>
    </row>
    <row r="929">
      <c r="I929" s="310"/>
      <c r="S929" s="311"/>
    </row>
    <row r="930">
      <c r="I930" s="310"/>
      <c r="S930" s="311"/>
    </row>
    <row r="931">
      <c r="I931" s="310"/>
      <c r="S931" s="311"/>
    </row>
    <row r="932">
      <c r="I932" s="310"/>
      <c r="S932" s="311"/>
    </row>
    <row r="933">
      <c r="I933" s="310"/>
      <c r="S933" s="311"/>
    </row>
    <row r="934">
      <c r="I934" s="310"/>
      <c r="S934" s="311"/>
    </row>
    <row r="935">
      <c r="I935" s="310"/>
      <c r="S935" s="311"/>
    </row>
    <row r="936">
      <c r="I936" s="310"/>
      <c r="S936" s="311"/>
    </row>
    <row r="937">
      <c r="I937" s="310"/>
      <c r="S937" s="311"/>
    </row>
    <row r="938">
      <c r="I938" s="310"/>
      <c r="S938" s="311"/>
    </row>
    <row r="939">
      <c r="I939" s="310"/>
      <c r="S939" s="311"/>
    </row>
    <row r="940">
      <c r="I940" s="310"/>
      <c r="S940" s="311"/>
    </row>
    <row r="941">
      <c r="I941" s="310"/>
      <c r="S941" s="311"/>
    </row>
    <row r="942">
      <c r="I942" s="310"/>
      <c r="S942" s="311"/>
    </row>
    <row r="943">
      <c r="I943" s="310"/>
      <c r="S943" s="311"/>
    </row>
    <row r="944">
      <c r="I944" s="310"/>
      <c r="S944" s="311"/>
    </row>
    <row r="945">
      <c r="I945" s="310"/>
      <c r="S945" s="311"/>
    </row>
    <row r="946">
      <c r="I946" s="310"/>
      <c r="S946" s="311"/>
    </row>
    <row r="947">
      <c r="I947" s="310"/>
      <c r="S947" s="311"/>
    </row>
    <row r="948">
      <c r="I948" s="310"/>
      <c r="S948" s="311"/>
    </row>
    <row r="949">
      <c r="I949" s="310"/>
      <c r="S949" s="311"/>
    </row>
    <row r="950">
      <c r="I950" s="310"/>
      <c r="S950" s="311"/>
    </row>
    <row r="951">
      <c r="I951" s="310"/>
      <c r="S951" s="311"/>
    </row>
    <row r="952">
      <c r="I952" s="310"/>
      <c r="S952" s="311"/>
    </row>
    <row r="953">
      <c r="I953" s="310"/>
      <c r="S953" s="311"/>
    </row>
    <row r="954">
      <c r="I954" s="310"/>
      <c r="S954" s="311"/>
    </row>
    <row r="955">
      <c r="I955" s="310"/>
      <c r="S955" s="311"/>
    </row>
    <row r="956">
      <c r="I956" s="310"/>
      <c r="S956" s="311"/>
    </row>
    <row r="957">
      <c r="I957" s="310"/>
      <c r="S957" s="311"/>
    </row>
    <row r="958">
      <c r="I958" s="310"/>
      <c r="S958" s="311"/>
    </row>
    <row r="959">
      <c r="I959" s="310"/>
      <c r="S959" s="311"/>
    </row>
    <row r="960">
      <c r="I960" s="310"/>
      <c r="S960" s="311"/>
    </row>
    <row r="961">
      <c r="I961" s="310"/>
      <c r="S961" s="311"/>
    </row>
    <row r="962">
      <c r="I962" s="310"/>
      <c r="S962" s="311"/>
    </row>
    <row r="963">
      <c r="I963" s="310"/>
      <c r="S963" s="311"/>
    </row>
    <row r="964">
      <c r="I964" s="310"/>
      <c r="S964" s="311"/>
    </row>
    <row r="965">
      <c r="I965" s="310"/>
      <c r="S965" s="311"/>
    </row>
    <row r="966">
      <c r="I966" s="310"/>
      <c r="S966" s="311"/>
    </row>
    <row r="967">
      <c r="I967" s="310"/>
      <c r="S967" s="311"/>
    </row>
    <row r="968">
      <c r="I968" s="310"/>
      <c r="S968" s="311"/>
    </row>
    <row r="969">
      <c r="I969" s="310"/>
      <c r="S969" s="311"/>
    </row>
    <row r="970">
      <c r="I970" s="310"/>
      <c r="S970" s="311"/>
    </row>
    <row r="971">
      <c r="I971" s="310"/>
      <c r="S971" s="311"/>
    </row>
    <row r="972">
      <c r="I972" s="310"/>
      <c r="S972" s="311"/>
    </row>
    <row r="973">
      <c r="I973" s="310"/>
      <c r="S973" s="311"/>
    </row>
    <row r="974">
      <c r="I974" s="310"/>
      <c r="S974" s="311"/>
    </row>
    <row r="975">
      <c r="I975" s="310"/>
      <c r="S975" s="311"/>
    </row>
    <row r="976">
      <c r="I976" s="310"/>
      <c r="S976" s="311"/>
    </row>
    <row r="977">
      <c r="I977" s="310"/>
      <c r="S977" s="311"/>
    </row>
    <row r="978">
      <c r="I978" s="310"/>
      <c r="S978" s="311"/>
    </row>
    <row r="979">
      <c r="I979" s="310"/>
      <c r="S979" s="311"/>
    </row>
    <row r="980">
      <c r="I980" s="310"/>
      <c r="S980" s="311"/>
    </row>
    <row r="981">
      <c r="I981" s="310"/>
      <c r="S981" s="311"/>
    </row>
    <row r="982">
      <c r="I982" s="310"/>
      <c r="S982" s="311"/>
    </row>
    <row r="983">
      <c r="I983" s="310"/>
      <c r="S983" s="311"/>
    </row>
    <row r="984">
      <c r="I984" s="310"/>
      <c r="S984" s="311"/>
    </row>
    <row r="985">
      <c r="I985" s="310"/>
      <c r="S985" s="311"/>
    </row>
    <row r="986">
      <c r="I986" s="310"/>
      <c r="S986" s="311"/>
    </row>
    <row r="987">
      <c r="I987" s="310"/>
      <c r="S987" s="311"/>
    </row>
    <row r="988">
      <c r="I988" s="310"/>
      <c r="S988" s="311"/>
    </row>
    <row r="989">
      <c r="I989" s="310"/>
      <c r="S989" s="311"/>
    </row>
    <row r="990">
      <c r="I990" s="310"/>
      <c r="S990" s="311"/>
    </row>
    <row r="991">
      <c r="I991" s="310"/>
      <c r="S991" s="311"/>
    </row>
    <row r="992">
      <c r="I992" s="310"/>
      <c r="S992" s="311"/>
    </row>
    <row r="993">
      <c r="I993" s="310"/>
      <c r="S993" s="311"/>
    </row>
    <row r="994">
      <c r="I994" s="310"/>
      <c r="S994" s="311"/>
    </row>
    <row r="995">
      <c r="I995" s="310"/>
      <c r="S995" s="311"/>
    </row>
    <row r="996">
      <c r="I996" s="310"/>
      <c r="S996" s="311"/>
    </row>
    <row r="997">
      <c r="I997" s="310"/>
      <c r="S997" s="311"/>
    </row>
    <row r="998">
      <c r="I998" s="310"/>
      <c r="S998" s="311"/>
    </row>
    <row r="999">
      <c r="I999" s="310"/>
      <c r="S999" s="311"/>
    </row>
    <row r="1000">
      <c r="I1000" s="310"/>
      <c r="S1000" s="311"/>
    </row>
  </sheetData>
  <mergeCells count="117">
    <mergeCell ref="A4:C4"/>
    <mergeCell ref="A5:A17"/>
    <mergeCell ref="B5:B10"/>
    <mergeCell ref="N5:N17"/>
    <mergeCell ref="O5:O10"/>
    <mergeCell ref="B11:B12"/>
    <mergeCell ref="B13:B15"/>
    <mergeCell ref="A18:I18"/>
    <mergeCell ref="O28:P28"/>
    <mergeCell ref="N29:P29"/>
    <mergeCell ref="N30:P30"/>
    <mergeCell ref="N31:P31"/>
    <mergeCell ref="O11:O12"/>
    <mergeCell ref="O13:O15"/>
    <mergeCell ref="O16:P16"/>
    <mergeCell ref="O17:P17"/>
    <mergeCell ref="N19:N28"/>
    <mergeCell ref="O19:O24"/>
    <mergeCell ref="O25:O27"/>
    <mergeCell ref="A19:A28"/>
    <mergeCell ref="A34:A46"/>
    <mergeCell ref="A48:A57"/>
    <mergeCell ref="A61:A73"/>
    <mergeCell ref="A75:A84"/>
    <mergeCell ref="A88:A100"/>
    <mergeCell ref="B16:C16"/>
    <mergeCell ref="B17:C17"/>
    <mergeCell ref="B19:B24"/>
    <mergeCell ref="B25:B27"/>
    <mergeCell ref="B28:C28"/>
    <mergeCell ref="A29:C29"/>
    <mergeCell ref="A33:C33"/>
    <mergeCell ref="B34:B39"/>
    <mergeCell ref="B40:B41"/>
    <mergeCell ref="B42:B44"/>
    <mergeCell ref="B45:C45"/>
    <mergeCell ref="B46:C46"/>
    <mergeCell ref="A47:D47"/>
    <mergeCell ref="B48:B53"/>
    <mergeCell ref="B94:B95"/>
    <mergeCell ref="B96:B98"/>
    <mergeCell ref="B99:C99"/>
    <mergeCell ref="B100:C100"/>
    <mergeCell ref="A101:I101"/>
    <mergeCell ref="B54:B56"/>
    <mergeCell ref="B57:C57"/>
    <mergeCell ref="A58:C58"/>
    <mergeCell ref="A60:C60"/>
    <mergeCell ref="B61:B66"/>
    <mergeCell ref="B67:B68"/>
    <mergeCell ref="B69:B71"/>
    <mergeCell ref="A129:A138"/>
    <mergeCell ref="A144:A156"/>
    <mergeCell ref="B158:B163"/>
    <mergeCell ref="B164:B166"/>
    <mergeCell ref="B167:C167"/>
    <mergeCell ref="A168:C168"/>
    <mergeCell ref="A171:C171"/>
    <mergeCell ref="A214:A223"/>
    <mergeCell ref="B214:B219"/>
    <mergeCell ref="B220:B222"/>
    <mergeCell ref="B223:C223"/>
    <mergeCell ref="A224:C224"/>
    <mergeCell ref="A158:A167"/>
    <mergeCell ref="A172:A184"/>
    <mergeCell ref="B186:B191"/>
    <mergeCell ref="B192:B194"/>
    <mergeCell ref="B195:C195"/>
    <mergeCell ref="A196:C196"/>
    <mergeCell ref="A199:C199"/>
    <mergeCell ref="B72:C72"/>
    <mergeCell ref="B73:C73"/>
    <mergeCell ref="A74:D74"/>
    <mergeCell ref="B75:B80"/>
    <mergeCell ref="B84:C84"/>
    <mergeCell ref="A85:C85"/>
    <mergeCell ref="A87:C87"/>
    <mergeCell ref="B115:B120"/>
    <mergeCell ref="B121:B122"/>
    <mergeCell ref="B123:B125"/>
    <mergeCell ref="B126:C126"/>
    <mergeCell ref="B127:C127"/>
    <mergeCell ref="A128:I128"/>
    <mergeCell ref="B81:B83"/>
    <mergeCell ref="B88:B93"/>
    <mergeCell ref="B102:B107"/>
    <mergeCell ref="B108:B110"/>
    <mergeCell ref="B111:C111"/>
    <mergeCell ref="A112:C112"/>
    <mergeCell ref="A114:C114"/>
    <mergeCell ref="B144:B149"/>
    <mergeCell ref="B150:B151"/>
    <mergeCell ref="B152:B154"/>
    <mergeCell ref="B155:C155"/>
    <mergeCell ref="B156:C156"/>
    <mergeCell ref="A157:I157"/>
    <mergeCell ref="A102:A111"/>
    <mergeCell ref="A115:A127"/>
    <mergeCell ref="B129:B134"/>
    <mergeCell ref="B135:B137"/>
    <mergeCell ref="B138:C138"/>
    <mergeCell ref="A139:C139"/>
    <mergeCell ref="A143:C143"/>
    <mergeCell ref="B172:B177"/>
    <mergeCell ref="B178:B179"/>
    <mergeCell ref="B180:B182"/>
    <mergeCell ref="B183:C183"/>
    <mergeCell ref="B184:C184"/>
    <mergeCell ref="A185:I185"/>
    <mergeCell ref="A186:A195"/>
    <mergeCell ref="A200:A212"/>
    <mergeCell ref="B200:B205"/>
    <mergeCell ref="B206:B207"/>
    <mergeCell ref="B208:B210"/>
    <mergeCell ref="B211:C211"/>
    <mergeCell ref="B212:C212"/>
    <mergeCell ref="A213:I2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4" t="s">
        <v>648</v>
      </c>
    </row>
    <row r="2">
      <c r="A2" s="262"/>
      <c r="B2" s="294"/>
      <c r="C2" s="294"/>
      <c r="D2" s="294"/>
      <c r="E2" s="294"/>
      <c r="F2" s="294"/>
      <c r="G2" s="294"/>
      <c r="H2" s="294"/>
      <c r="I2" s="294"/>
    </row>
    <row r="3">
      <c r="A3" s="415"/>
      <c r="B3" s="416" t="s">
        <v>649</v>
      </c>
      <c r="C3" s="417"/>
      <c r="D3" s="418" t="s">
        <v>6</v>
      </c>
      <c r="E3" s="419"/>
      <c r="F3" s="417"/>
      <c r="G3" s="420" t="s">
        <v>650</v>
      </c>
      <c r="H3" s="419"/>
      <c r="I3" s="417"/>
    </row>
    <row r="4">
      <c r="A4" s="421"/>
      <c r="B4" s="422"/>
      <c r="C4" s="423"/>
      <c r="D4" s="424"/>
      <c r="E4" s="425"/>
      <c r="F4" s="426"/>
      <c r="G4" s="424"/>
      <c r="H4" s="425"/>
      <c r="I4" s="426"/>
    </row>
    <row r="5">
      <c r="A5" s="427"/>
      <c r="B5" s="424"/>
      <c r="C5" s="426"/>
      <c r="D5" s="428" t="s">
        <v>651</v>
      </c>
      <c r="E5" s="428" t="s">
        <v>652</v>
      </c>
      <c r="F5" s="428" t="s">
        <v>653</v>
      </c>
      <c r="G5" s="429" t="s">
        <v>651</v>
      </c>
      <c r="H5" s="429" t="s">
        <v>652</v>
      </c>
      <c r="I5" s="429" t="s">
        <v>653</v>
      </c>
    </row>
    <row r="6">
      <c r="A6" s="430" t="s">
        <v>654</v>
      </c>
      <c r="B6" s="431" t="s">
        <v>23</v>
      </c>
      <c r="C6" s="432"/>
      <c r="D6" s="433">
        <f t="shared" ref="D6:E6" si="1">SUM(D7:D8)</f>
        <v>518</v>
      </c>
      <c r="E6" s="433">
        <f t="shared" si="1"/>
        <v>73</v>
      </c>
      <c r="F6" s="434">
        <f>E6/D6</f>
        <v>0.1409266409</v>
      </c>
      <c r="G6" s="435">
        <f t="shared" ref="G6:H6" si="2">SUM(G7:G8)</f>
        <v>15885</v>
      </c>
      <c r="H6" s="435">
        <f t="shared" si="2"/>
        <v>658</v>
      </c>
      <c r="I6" s="436">
        <f>H6/G6</f>
        <v>0.04142272584</v>
      </c>
    </row>
    <row r="7">
      <c r="A7" s="437" t="s">
        <v>655</v>
      </c>
      <c r="B7" s="438" t="s">
        <v>656</v>
      </c>
      <c r="C7" s="432"/>
      <c r="D7" s="439">
        <v>518.0</v>
      </c>
      <c r="E7" s="440">
        <v>0.0</v>
      </c>
      <c r="F7" s="441">
        <f>'REKAP DATA'!J2</f>
        <v>0.04826254826</v>
      </c>
      <c r="G7" s="442">
        <v>15110.0</v>
      </c>
      <c r="H7" s="442">
        <f>'REKAP DATA'!H222</f>
        <v>0</v>
      </c>
      <c r="I7" s="441">
        <f>'REKAP DATA'!J11</f>
        <v>0</v>
      </c>
    </row>
    <row r="8">
      <c r="A8" s="437" t="s">
        <v>657</v>
      </c>
      <c r="B8" s="438" t="s">
        <v>33</v>
      </c>
      <c r="C8" s="432"/>
      <c r="D8" s="443">
        <v>0.0</v>
      </c>
      <c r="E8" s="444">
        <f>'REKAP DATA'!H214</f>
        <v>73</v>
      </c>
      <c r="F8" s="441">
        <f>'REKAP DATA'!J3</f>
        <v>0.1409266409</v>
      </c>
      <c r="G8" s="442">
        <f>100+675</f>
        <v>775</v>
      </c>
      <c r="H8" s="442">
        <f>'REKAP DATA'!H223+'REKAP DATA'!H224</f>
        <v>658</v>
      </c>
      <c r="I8" s="441">
        <f t="shared" ref="I8:I9" si="5">H8/G8</f>
        <v>0.8490322581</v>
      </c>
    </row>
    <row r="9">
      <c r="A9" s="430" t="s">
        <v>658</v>
      </c>
      <c r="B9" s="431" t="s">
        <v>25</v>
      </c>
      <c r="C9" s="432"/>
      <c r="D9" s="433">
        <f t="shared" ref="D9:E9" si="3">SUM(D10:D11)</f>
        <v>2500</v>
      </c>
      <c r="E9" s="433">
        <f t="shared" si="3"/>
        <v>5027</v>
      </c>
      <c r="F9" s="434">
        <f>E9/D9</f>
        <v>2.0108</v>
      </c>
      <c r="G9" s="435">
        <f t="shared" ref="G9:H9" si="4">SUM(G10:G11)</f>
        <v>13500</v>
      </c>
      <c r="H9" s="435">
        <f t="shared" si="4"/>
        <v>28116</v>
      </c>
      <c r="I9" s="436">
        <f t="shared" si="5"/>
        <v>2.082666667</v>
      </c>
    </row>
    <row r="10">
      <c r="A10" s="437" t="s">
        <v>655</v>
      </c>
      <c r="B10" s="438" t="s">
        <v>4</v>
      </c>
      <c r="C10" s="432"/>
      <c r="D10" s="439">
        <v>0.0</v>
      </c>
      <c r="E10" s="439">
        <v>0.0</v>
      </c>
      <c r="F10" s="445">
        <v>0.0</v>
      </c>
      <c r="G10" s="446">
        <v>0.0</v>
      </c>
      <c r="H10" s="446">
        <v>0.0</v>
      </c>
      <c r="I10" s="445">
        <v>0.0</v>
      </c>
    </row>
    <row r="11">
      <c r="A11" s="437" t="s">
        <v>657</v>
      </c>
      <c r="B11" s="438" t="s">
        <v>659</v>
      </c>
      <c r="C11" s="432"/>
      <c r="D11" s="439">
        <v>2500.0</v>
      </c>
      <c r="E11" s="439">
        <f>'REKAP DATA'!H215</f>
        <v>5027</v>
      </c>
      <c r="F11" s="441">
        <f>'REKAP DATA'!J215</f>
        <v>2.0108</v>
      </c>
      <c r="G11" s="442">
        <v>13500.0</v>
      </c>
      <c r="H11" s="442">
        <f>'REKAP DATA'!H225</f>
        <v>28116</v>
      </c>
      <c r="I11" s="441">
        <f>'REKAP DATA'!J225</f>
        <v>2.082666667</v>
      </c>
    </row>
    <row r="12">
      <c r="A12" s="430" t="s">
        <v>660</v>
      </c>
      <c r="B12" s="431" t="s">
        <v>661</v>
      </c>
      <c r="C12" s="432"/>
      <c r="D12" s="433">
        <v>0.0</v>
      </c>
      <c r="E12" s="433">
        <f>'REKAP DATA'!H216</f>
        <v>996</v>
      </c>
      <c r="F12" s="434">
        <f>'REKAP DATA'!J370</f>
        <v>1.922779923</v>
      </c>
      <c r="G12" s="435">
        <v>42200.0</v>
      </c>
      <c r="H12" s="435">
        <f>'REKAP DATA'!H226</f>
        <v>4625</v>
      </c>
      <c r="I12" s="436">
        <f>'REKAP DATA'!J226</f>
        <v>0.1095971564</v>
      </c>
    </row>
    <row r="13">
      <c r="A13" s="430" t="s">
        <v>662</v>
      </c>
      <c r="B13" s="431" t="s">
        <v>663</v>
      </c>
      <c r="C13" s="432"/>
      <c r="D13" s="433">
        <v>197500.0</v>
      </c>
      <c r="E13" s="433">
        <f>'REKAP DATA'!H219</f>
        <v>9444</v>
      </c>
      <c r="F13" s="434">
        <f>'REKAP DATA'!J219</f>
        <v>0.04781772152</v>
      </c>
      <c r="G13" s="435">
        <v>486897.0</v>
      </c>
      <c r="H13" s="435">
        <f>'REKAP DATA'!H229</f>
        <v>110332</v>
      </c>
      <c r="I13" s="436">
        <f>'REKAP DATA'!J229</f>
        <v>0.2266023409</v>
      </c>
    </row>
    <row r="14">
      <c r="A14" s="430" t="s">
        <v>664</v>
      </c>
      <c r="B14" s="431" t="s">
        <v>665</v>
      </c>
      <c r="C14" s="432"/>
      <c r="D14" s="433">
        <f t="shared" ref="D14:E14" si="6">SUM(D15:D17)</f>
        <v>900</v>
      </c>
      <c r="E14" s="433">
        <f t="shared" si="6"/>
        <v>580</v>
      </c>
      <c r="F14" s="434">
        <f t="shared" ref="F14:F15" si="8">E14/D14</f>
        <v>0.6444444444</v>
      </c>
      <c r="G14" s="435">
        <f t="shared" ref="G14:H14" si="7">SUM(G15:G17)</f>
        <v>800</v>
      </c>
      <c r="H14" s="435">
        <f t="shared" si="7"/>
        <v>2622</v>
      </c>
      <c r="I14" s="436">
        <f>H14/G14</f>
        <v>3.2775</v>
      </c>
    </row>
    <row r="15">
      <c r="A15" s="437" t="s">
        <v>655</v>
      </c>
      <c r="B15" s="438" t="s">
        <v>666</v>
      </c>
      <c r="C15" s="432"/>
      <c r="D15" s="439">
        <f>150+700</f>
        <v>850</v>
      </c>
      <c r="E15" s="443">
        <v>564.0</v>
      </c>
      <c r="F15" s="441">
        <f t="shared" si="8"/>
        <v>0.6635294118</v>
      </c>
      <c r="G15" s="442">
        <v>600.0</v>
      </c>
      <c r="H15" s="446">
        <v>2453.0</v>
      </c>
      <c r="I15" s="447">
        <f>'REKAP DATA'!J228</f>
        <v>3.086666667</v>
      </c>
      <c r="J15" s="248" t="s">
        <v>667</v>
      </c>
    </row>
    <row r="16">
      <c r="A16" s="437" t="s">
        <v>657</v>
      </c>
      <c r="B16" s="438" t="s">
        <v>668</v>
      </c>
      <c r="C16" s="432"/>
      <c r="D16" s="439">
        <v>50.0</v>
      </c>
      <c r="E16" s="439">
        <f>'REKAP DATA'!H221</f>
        <v>16</v>
      </c>
      <c r="F16" s="441">
        <f>'REKAP DATA'!J221</f>
        <v>0.32</v>
      </c>
      <c r="G16" s="442">
        <v>200.0</v>
      </c>
      <c r="H16" s="442">
        <f>'REKAP DATA'!H230</f>
        <v>169</v>
      </c>
      <c r="I16" s="447">
        <f>'REKAP DATA'!J230</f>
        <v>0.845</v>
      </c>
    </row>
    <row r="17">
      <c r="A17" s="437" t="s">
        <v>669</v>
      </c>
      <c r="B17" s="438" t="s">
        <v>670</v>
      </c>
      <c r="C17" s="432"/>
      <c r="D17" s="448"/>
      <c r="E17" s="439"/>
      <c r="F17" s="447"/>
      <c r="G17" s="442"/>
      <c r="H17" s="442"/>
      <c r="I17" s="447"/>
    </row>
    <row r="18">
      <c r="A18" s="430" t="s">
        <v>671</v>
      </c>
      <c r="B18" s="431" t="s">
        <v>672</v>
      </c>
      <c r="C18" s="432"/>
      <c r="D18" s="433">
        <f t="shared" ref="D18:E18" si="9">SUM(D19:D23)</f>
        <v>757500</v>
      </c>
      <c r="E18" s="433">
        <f t="shared" si="9"/>
        <v>161802</v>
      </c>
      <c r="F18" s="434">
        <f>E18/D18</f>
        <v>0.2136</v>
      </c>
      <c r="G18" s="435">
        <f t="shared" ref="G18:I18" si="10">SUM(G19:G23)</f>
        <v>0</v>
      </c>
      <c r="H18" s="435">
        <f t="shared" si="10"/>
        <v>0</v>
      </c>
      <c r="I18" s="436">
        <f t="shared" si="10"/>
        <v>0</v>
      </c>
    </row>
    <row r="19">
      <c r="A19" s="437" t="s">
        <v>655</v>
      </c>
      <c r="B19" s="438" t="s">
        <v>604</v>
      </c>
      <c r="C19" s="432"/>
      <c r="D19" s="439">
        <v>217500.0</v>
      </c>
      <c r="E19" s="439">
        <f>'REKAP DATA'!H233</f>
        <v>145586</v>
      </c>
      <c r="F19" s="441">
        <f>'REKAP DATA'!J233</f>
        <v>0.6693609195</v>
      </c>
      <c r="G19" s="442"/>
      <c r="H19" s="442"/>
      <c r="I19" s="447"/>
    </row>
    <row r="20">
      <c r="A20" s="449" t="s">
        <v>657</v>
      </c>
      <c r="B20" s="438" t="s">
        <v>673</v>
      </c>
      <c r="C20" s="432"/>
      <c r="D20" s="448"/>
      <c r="E20" s="439"/>
      <c r="F20" s="441"/>
      <c r="G20" s="442"/>
      <c r="H20" s="442"/>
      <c r="I20" s="447"/>
    </row>
    <row r="21">
      <c r="A21" s="421"/>
      <c r="B21" s="450">
        <v>45659.0</v>
      </c>
      <c r="C21" s="451" t="s">
        <v>674</v>
      </c>
      <c r="D21" s="439">
        <v>80000.0</v>
      </c>
      <c r="E21" s="439">
        <f>'REKAP DATA'!H218</f>
        <v>177</v>
      </c>
      <c r="F21" s="441">
        <f>'REKAP DATA'!J218</f>
        <v>0.0022125</v>
      </c>
      <c r="G21" s="442"/>
      <c r="H21" s="442"/>
      <c r="I21" s="447"/>
    </row>
    <row r="22">
      <c r="A22" s="421"/>
      <c r="B22" s="450">
        <v>45690.0</v>
      </c>
      <c r="C22" s="451" t="s">
        <v>675</v>
      </c>
      <c r="D22" s="439">
        <v>300000.0</v>
      </c>
      <c r="E22" s="439">
        <f>'REKAP DATA'!H234</f>
        <v>0</v>
      </c>
      <c r="F22" s="441">
        <f>E22/D22</f>
        <v>0</v>
      </c>
      <c r="G22" s="442"/>
      <c r="H22" s="442"/>
      <c r="I22" s="447"/>
    </row>
    <row r="23">
      <c r="A23" s="427"/>
      <c r="B23" s="452">
        <v>45718.0</v>
      </c>
      <c r="C23" s="453" t="s">
        <v>676</v>
      </c>
      <c r="D23" s="454">
        <v>160000.0</v>
      </c>
      <c r="E23" s="454">
        <f>'REKAP DATA'!H217</f>
        <v>16039</v>
      </c>
      <c r="F23" s="441">
        <f>'REKAP DATA'!J217</f>
        <v>0.10024375</v>
      </c>
      <c r="G23" s="455"/>
      <c r="H23" s="442"/>
      <c r="I23" s="447"/>
    </row>
    <row r="24">
      <c r="A24" s="456" t="s">
        <v>677</v>
      </c>
      <c r="B24" s="19"/>
      <c r="C24" s="20"/>
      <c r="D24" s="457">
        <f t="shared" ref="D24:E24" si="11">D6+D9+D12+D13+D14+D18</f>
        <v>958918</v>
      </c>
      <c r="E24" s="457">
        <f t="shared" si="11"/>
        <v>177922</v>
      </c>
      <c r="F24" s="434">
        <f>E24/D24</f>
        <v>0.1855445408</v>
      </c>
      <c r="G24" s="458">
        <f t="shared" ref="G24:H24" si="12">G6+G9+G12+G13+G14</f>
        <v>559282</v>
      </c>
      <c r="H24" s="458">
        <f t="shared" si="12"/>
        <v>146353</v>
      </c>
      <c r="I24" s="436">
        <f>H24/G24</f>
        <v>0.2616801542</v>
      </c>
    </row>
    <row r="25">
      <c r="A25" s="459" t="s">
        <v>678</v>
      </c>
      <c r="B25" s="19"/>
      <c r="C25" s="20"/>
      <c r="D25" s="460">
        <f>D24+G24</f>
        <v>1518200</v>
      </c>
      <c r="E25" s="19"/>
      <c r="F25" s="19"/>
      <c r="G25" s="19"/>
      <c r="H25" s="19"/>
      <c r="I25" s="20"/>
      <c r="K25" s="169">
        <f t="shared" ref="K25:L25" si="13">D24+G24</f>
        <v>1518200</v>
      </c>
      <c r="L25" s="169">
        <f t="shared" si="13"/>
        <v>324275</v>
      </c>
      <c r="M25" s="311">
        <f>L25/K25</f>
        <v>0.2135917534</v>
      </c>
      <c r="N25" s="248" t="s">
        <v>491</v>
      </c>
    </row>
    <row r="26">
      <c r="A26" s="459" t="s">
        <v>679</v>
      </c>
      <c r="B26" s="19"/>
      <c r="C26" s="20"/>
      <c r="D26" s="460">
        <f>E24+H24</f>
        <v>324275</v>
      </c>
      <c r="E26" s="19"/>
      <c r="F26" s="19"/>
      <c r="G26" s="19"/>
      <c r="H26" s="19"/>
      <c r="I26" s="20"/>
    </row>
    <row r="27">
      <c r="A27" s="459" t="s">
        <v>680</v>
      </c>
      <c r="B27" s="19"/>
      <c r="C27" s="20"/>
      <c r="D27" s="461">
        <f>D26/D25</f>
        <v>0.2135917534</v>
      </c>
      <c r="E27" s="19"/>
      <c r="F27" s="19"/>
      <c r="G27" s="19"/>
      <c r="H27" s="19"/>
      <c r="I27" s="20"/>
    </row>
  </sheetData>
  <mergeCells count="28">
    <mergeCell ref="A1:I1"/>
    <mergeCell ref="A3:A5"/>
    <mergeCell ref="B3:C5"/>
    <mergeCell ref="D3:F4"/>
    <mergeCell ref="G3:I4"/>
    <mergeCell ref="B6:C6"/>
    <mergeCell ref="B7:C7"/>
    <mergeCell ref="B8:C8"/>
    <mergeCell ref="B9:C9"/>
    <mergeCell ref="B10:C10"/>
    <mergeCell ref="B11:C11"/>
    <mergeCell ref="B12:C12"/>
    <mergeCell ref="B13:C13"/>
    <mergeCell ref="B14:C14"/>
    <mergeCell ref="A24:C24"/>
    <mergeCell ref="A25:C25"/>
    <mergeCell ref="D25:I25"/>
    <mergeCell ref="D26:I26"/>
    <mergeCell ref="D27:I27"/>
    <mergeCell ref="A26:C26"/>
    <mergeCell ref="A27:C27"/>
    <mergeCell ref="B15:C15"/>
    <mergeCell ref="B16:C16"/>
    <mergeCell ref="B17:C17"/>
    <mergeCell ref="B18:C18"/>
    <mergeCell ref="B19:C19"/>
    <mergeCell ref="A20:A23"/>
    <mergeCell ref="B20:C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33.13"/>
    <col customWidth="1" min="5" max="5" width="18.88"/>
    <col customWidth="1" min="8" max="8" width="19.13"/>
  </cols>
  <sheetData>
    <row r="1">
      <c r="A1" s="462" t="s">
        <v>681</v>
      </c>
    </row>
    <row r="2">
      <c r="A2" s="262"/>
      <c r="B2" s="294"/>
      <c r="C2" s="294"/>
      <c r="D2" s="294"/>
      <c r="E2" s="463"/>
      <c r="F2" s="294"/>
      <c r="G2" s="294"/>
      <c r="H2" s="463"/>
    </row>
    <row r="3">
      <c r="A3" s="464" t="s">
        <v>3</v>
      </c>
      <c r="B3" s="465" t="s">
        <v>4</v>
      </c>
      <c r="C3" s="466" t="s">
        <v>6</v>
      </c>
      <c r="D3" s="419"/>
      <c r="E3" s="417"/>
      <c r="F3" s="467" t="s">
        <v>650</v>
      </c>
      <c r="G3" s="419"/>
      <c r="H3" s="417"/>
    </row>
    <row r="4">
      <c r="A4" s="427"/>
      <c r="B4" s="421"/>
      <c r="C4" s="468" t="s">
        <v>651</v>
      </c>
      <c r="D4" s="469" t="s">
        <v>652</v>
      </c>
      <c r="E4" s="470" t="s">
        <v>682</v>
      </c>
      <c r="F4" s="471" t="s">
        <v>651</v>
      </c>
      <c r="G4" s="472" t="s">
        <v>652</v>
      </c>
      <c r="H4" s="473" t="s">
        <v>682</v>
      </c>
    </row>
    <row r="5">
      <c r="A5" s="474">
        <v>1.0</v>
      </c>
      <c r="B5" s="475" t="s">
        <v>683</v>
      </c>
      <c r="C5" s="476">
        <f>'KPI Format Baru'!D24</f>
        <v>958918</v>
      </c>
      <c r="D5" s="477">
        <f>SUM('PENDATAAN PERUMAHAN'!$E$8:$H$15)+SUM('PENDATAAN PERUMAHAN'!$J$8:$M$15)+33</f>
        <v>1178</v>
      </c>
      <c r="E5" s="478">
        <f>D5/'KPI Format Baru'!$D$24</f>
        <v>0.001228467919</v>
      </c>
      <c r="F5" s="476">
        <f>'KPI Format Baru'!G24</f>
        <v>559282</v>
      </c>
      <c r="G5" s="477">
        <f>SUM('PENDATAAN PERUMAHAN'!$N$8:$R$15)+SUM('PENDATAAN PERUMAHAN'!$T$8:$U$15)</f>
        <v>676</v>
      </c>
      <c r="H5" s="479">
        <f>G5/'KPI Format Baru'!$G$24</f>
        <v>0.001208692574</v>
      </c>
      <c r="I5" s="480"/>
      <c r="J5" s="169">
        <f t="shared" ref="J5:J34" si="1">D5+G5</f>
        <v>1854</v>
      </c>
    </row>
    <row r="6">
      <c r="A6" s="474">
        <v>2.0</v>
      </c>
      <c r="B6" s="481" t="s">
        <v>684</v>
      </c>
      <c r="C6" s="27"/>
      <c r="D6" s="477">
        <f>SUM('PENDATAAN PERUMAHAN'!$E$16:$H$32)+(SUM('PENDATAAN PERUMAHAN'!$J$16:$M$32)+33)</f>
        <v>10713</v>
      </c>
      <c r="E6" s="478">
        <f>D6/'KPI Format Baru'!$D$24</f>
        <v>0.01117196674</v>
      </c>
      <c r="F6" s="27"/>
      <c r="G6" s="477">
        <f>SUM('PENDATAAN PERUMAHAN'!$N$16:$R$32)+(SUM('PENDATAAN PERUMAHAN'!$T$16:$U$32))</f>
        <v>1156</v>
      </c>
      <c r="H6" s="479">
        <f>G6/'KPI Format Baru'!$G$24</f>
        <v>0.002066935821</v>
      </c>
      <c r="J6" s="169">
        <f t="shared" si="1"/>
        <v>11869</v>
      </c>
    </row>
    <row r="7">
      <c r="A7" s="474">
        <v>3.0</v>
      </c>
      <c r="B7" s="481" t="s">
        <v>685</v>
      </c>
      <c r="C7" s="27"/>
      <c r="D7" s="477">
        <f>SUM('PENDATAAN PERUMAHAN'!$E$33:$H$40)+SUM('PENDATAAN PERUMAHAN'!$J$33:$M$40)</f>
        <v>2398</v>
      </c>
      <c r="E7" s="478">
        <f>D7/'KPI Format Baru'!$D$24</f>
        <v>0.002500735204</v>
      </c>
      <c r="F7" s="27"/>
      <c r="G7" s="477">
        <f>SUM('PENDATAAN PERUMAHAN'!$N$33:$R$40)+SUM('PENDATAAN PERUMAHAN'!$T$33:$U$40)</f>
        <v>514</v>
      </c>
      <c r="H7" s="479">
        <f>G7/'KPI Format Baru'!$G$24</f>
        <v>0.0009190354776</v>
      </c>
      <c r="J7" s="169">
        <f t="shared" si="1"/>
        <v>2912</v>
      </c>
    </row>
    <row r="8">
      <c r="A8" s="474">
        <v>4.0</v>
      </c>
      <c r="B8" s="481" t="s">
        <v>686</v>
      </c>
      <c r="C8" s="27"/>
      <c r="D8" s="477">
        <f>SUM('PENDATAAN PERUMAHAN'!$E$41:$H$49)+SUM('PENDATAAN PERUMAHAN'!$J$41:$M$49)</f>
        <v>6714</v>
      </c>
      <c r="E8" s="478">
        <f>D8/'KPI Format Baru'!$D$24</f>
        <v>0.007001641433</v>
      </c>
      <c r="F8" s="27"/>
      <c r="G8" s="477">
        <f>SUM('PENDATAAN PERUMAHAN'!$N$41:$R$49)+SUM('PENDATAAN PERUMAHAN'!$T$41:$U$49)</f>
        <v>569</v>
      </c>
      <c r="H8" s="479">
        <f>G8/'KPI Format Baru'!$G$24</f>
        <v>0.00101737585</v>
      </c>
      <c r="J8" s="169">
        <f t="shared" si="1"/>
        <v>7283</v>
      </c>
    </row>
    <row r="9">
      <c r="A9" s="474">
        <v>5.0</v>
      </c>
      <c r="B9" s="481" t="s">
        <v>687</v>
      </c>
      <c r="C9" s="27"/>
      <c r="D9" s="477">
        <f>SUM('PENDATAAN PERUMAHAN'!$E$50:$H$57)+SUM('PENDATAAN PERUMAHAN'!$J$50:$M$57)</f>
        <v>2002</v>
      </c>
      <c r="E9" s="478">
        <f>D9/'KPI Format Baru'!$D$24</f>
        <v>0.002087769757</v>
      </c>
      <c r="F9" s="27"/>
      <c r="G9" s="477">
        <f>SUM('PENDATAAN PERUMAHAN'!$N$50:$R$57)+SUM('PENDATAAN PERUMAHAN'!$T$50:$U$57)+16</f>
        <v>761</v>
      </c>
      <c r="H9" s="479">
        <f>G9/'KPI Format Baru'!$G$24</f>
        <v>0.001360673149</v>
      </c>
      <c r="J9" s="169">
        <f t="shared" si="1"/>
        <v>2763</v>
      </c>
    </row>
    <row r="10">
      <c r="A10" s="474">
        <v>6.0</v>
      </c>
      <c r="B10" s="482" t="s">
        <v>688</v>
      </c>
      <c r="C10" s="27"/>
      <c r="D10" s="483">
        <f>SUM('PENDATAAN PERUMAHAN'!$E$58:$H$70)+SUM('PENDATAAN PERUMAHAN'!$J$58:$M$70)</f>
        <v>8489</v>
      </c>
      <c r="E10" s="478">
        <f>D10/'KPI Format Baru'!$D$24</f>
        <v>0.008852686048</v>
      </c>
      <c r="F10" s="27"/>
      <c r="G10" s="483">
        <f>SUM('PENDATAAN PERUMAHAN'!$N$58:$R$70)+SUM('PENDATAAN PERUMAHAN'!$T$58:$U$70)+5</f>
        <v>3589</v>
      </c>
      <c r="H10" s="479">
        <f>G10/'KPI Format Baru'!$G$24</f>
        <v>0.006417156283</v>
      </c>
      <c r="I10" s="484"/>
      <c r="J10" s="169">
        <f t="shared" si="1"/>
        <v>12078</v>
      </c>
      <c r="K10" s="485"/>
      <c r="L10" s="485"/>
      <c r="M10" s="485"/>
      <c r="N10" s="485"/>
      <c r="O10" s="485"/>
      <c r="P10" s="485"/>
      <c r="Q10" s="485"/>
      <c r="R10" s="485"/>
      <c r="S10" s="485"/>
      <c r="T10" s="485"/>
      <c r="U10" s="485"/>
      <c r="V10" s="485"/>
      <c r="W10" s="485"/>
      <c r="X10" s="485"/>
      <c r="Y10" s="485"/>
    </row>
    <row r="11">
      <c r="A11" s="474">
        <v>7.0</v>
      </c>
      <c r="B11" s="481" t="s">
        <v>689</v>
      </c>
      <c r="C11" s="27"/>
      <c r="D11" s="477">
        <f>SUM('PENDATAAN PERUMAHAN'!$E$71:$H$74)+SUM('PENDATAAN PERUMAHAN'!$J$71:$M$74)</f>
        <v>570</v>
      </c>
      <c r="E11" s="478">
        <f>D11/'KPI Format Baru'!$D$24</f>
        <v>0.0005944199608</v>
      </c>
      <c r="F11" s="27"/>
      <c r="G11" s="477">
        <f>SUM('PENDATAAN PERUMAHAN'!$N$71:$R$74)+SUM('PENDATAAN PERUMAHAN'!$T$71:$U$74)</f>
        <v>622</v>
      </c>
      <c r="H11" s="479">
        <f>G11/'KPI Format Baru'!$G$24</f>
        <v>0.001112140208</v>
      </c>
      <c r="J11" s="169">
        <f t="shared" si="1"/>
        <v>1192</v>
      </c>
    </row>
    <row r="12">
      <c r="A12" s="474">
        <v>8.0</v>
      </c>
      <c r="B12" s="481" t="s">
        <v>690</v>
      </c>
      <c r="C12" s="27"/>
      <c r="D12" s="477">
        <f>SUM('PENDATAAN PERUMAHAN'!$E$75:$H$83)+SUM('PENDATAAN PERUMAHAN'!$J$75:$M$83)+7</f>
        <v>1965</v>
      </c>
      <c r="E12" s="478">
        <f>D12/'KPI Format Baru'!$D$24</f>
        <v>0.002049184602</v>
      </c>
      <c r="F12" s="27"/>
      <c r="G12" s="477">
        <f>SUM('PENDATAAN PERUMAHAN'!$N$75:$R$83)+SUM('PENDATAAN PERUMAHAN'!$T$75:$U$83)+270</f>
        <v>2150</v>
      </c>
      <c r="H12" s="479">
        <f>G12/'KPI Format Baru'!$G$24</f>
        <v>0.003844214547</v>
      </c>
      <c r="J12" s="169">
        <f t="shared" si="1"/>
        <v>4115</v>
      </c>
    </row>
    <row r="13">
      <c r="A13" s="474">
        <v>9.0</v>
      </c>
      <c r="B13" s="486" t="s">
        <v>691</v>
      </c>
      <c r="C13" s="27"/>
      <c r="D13" s="477">
        <f>SUM('PENDATAAN PERUMAHAN'!$E$84:$H$98)+SUM('PENDATAAN PERUMAHAN'!$J$84:$M$98)</f>
        <v>64739</v>
      </c>
      <c r="E13" s="478">
        <f>D13/'KPI Format Baru'!$D$24</f>
        <v>0.0675125506</v>
      </c>
      <c r="F13" s="27"/>
      <c r="G13" s="477">
        <f>SUM('PENDATAAN PERUMAHAN'!$N$84:$R$98)+SUM('PENDATAAN PERUMAHAN'!$T$84:$U$98)+105</f>
        <v>5713</v>
      </c>
      <c r="H13" s="479">
        <f>G13/'KPI Format Baru'!$G$24</f>
        <v>0.01021488265</v>
      </c>
      <c r="J13" s="169">
        <f t="shared" si="1"/>
        <v>70452</v>
      </c>
    </row>
    <row r="14">
      <c r="A14" s="474">
        <v>10.0</v>
      </c>
      <c r="B14" s="481" t="s">
        <v>213</v>
      </c>
      <c r="C14" s="27"/>
      <c r="D14" s="477">
        <f>SUM('PENDATAAN PERUMAHAN'!$E$99:$H$124)+SUM('PENDATAAN PERUMAHAN'!$J$99:$M$124)+6</f>
        <v>23357</v>
      </c>
      <c r="E14" s="478">
        <f>D14/'KPI Format Baru'!$D$24</f>
        <v>0.02435766145</v>
      </c>
      <c r="F14" s="27"/>
      <c r="G14" s="477">
        <f>SUM('PENDATAAN PERUMAHAN'!$N$99:$R$124)+SUM('PENDATAAN PERUMAHAN'!$T$99:$U$124)+1235</f>
        <v>114595</v>
      </c>
      <c r="H14" s="479">
        <f>G14/'KPI Format Baru'!$G$24</f>
        <v>0.2048966353</v>
      </c>
      <c r="J14" s="169">
        <f t="shared" si="1"/>
        <v>137952</v>
      </c>
    </row>
    <row r="15">
      <c r="A15" s="474">
        <v>11.0</v>
      </c>
      <c r="B15" s="481" t="s">
        <v>692</v>
      </c>
      <c r="C15" s="27"/>
      <c r="D15" s="477">
        <f>SUM('PENDATAAN PERUMAHAN'!$E$125:$H$128)+SUM('PENDATAAN PERUMAHAN'!$J$125:$M$128)+137</f>
        <v>1224</v>
      </c>
      <c r="E15" s="478">
        <f>D15/'KPI Format Baru'!$D$24</f>
        <v>0.001276438653</v>
      </c>
      <c r="F15" s="27"/>
      <c r="G15" s="477">
        <f>SUM('PENDATAAN PERUMAHAN'!$N$125:$R$128)+SUM('PENDATAAN PERUMAHAN'!$T$125:$U$128)+61</f>
        <v>1053</v>
      </c>
      <c r="H15" s="479">
        <f>G15/'KPI Format Baru'!$G$24</f>
        <v>0.001882771124</v>
      </c>
      <c r="J15" s="169">
        <f t="shared" si="1"/>
        <v>2277</v>
      </c>
    </row>
    <row r="16">
      <c r="A16" s="474">
        <v>12.0</v>
      </c>
      <c r="B16" s="481" t="s">
        <v>693</v>
      </c>
      <c r="C16" s="27"/>
      <c r="D16" s="477">
        <f>SUM('PENDATAAN PERUMAHAN'!$E$129:$H$149)+SUM('PENDATAAN PERUMAHAN'!$J$129:$M$149)+8</f>
        <v>17415</v>
      </c>
      <c r="E16" s="478">
        <f>D16/'KPI Format Baru'!$D$24</f>
        <v>0.01816109407</v>
      </c>
      <c r="F16" s="27"/>
      <c r="G16" s="477">
        <f>SUM('PENDATAAN PERUMAHAN'!$N$129:$R$149)+SUM('PENDATAAN PERUMAHAN'!$T$129:$U$149)+473</f>
        <v>7509</v>
      </c>
      <c r="H16" s="479">
        <f>G16/'KPI Format Baru'!$G$24</f>
        <v>0.0134261428</v>
      </c>
      <c r="J16" s="169">
        <f t="shared" si="1"/>
        <v>24924</v>
      </c>
    </row>
    <row r="17">
      <c r="A17" s="474">
        <v>13.0</v>
      </c>
      <c r="B17" s="481" t="s">
        <v>694</v>
      </c>
      <c r="C17" s="27"/>
      <c r="D17" s="477">
        <f>SUM('PENDATAAN PERUMAHAN'!$E$150:$H$152)+SUM('PENDATAAN PERUMAHAN'!$J$150:$M$152)+150</f>
        <v>12659</v>
      </c>
      <c r="E17" s="478">
        <f>D17/'KPI Format Baru'!$D$24</f>
        <v>0.01320133734</v>
      </c>
      <c r="F17" s="27"/>
      <c r="G17" s="477">
        <f>SUM('PENDATAAN PERUMAHAN'!$N$150:$R$152)+SUM('PENDATAAN PERUMAHAN'!$T$150:$U$152)+250</f>
        <v>1701</v>
      </c>
      <c r="H17" s="479">
        <f>G17/'KPI Format Baru'!$G$24</f>
        <v>0.003041399509</v>
      </c>
      <c r="J17" s="169">
        <f t="shared" si="1"/>
        <v>14360</v>
      </c>
    </row>
    <row r="18">
      <c r="A18" s="474">
        <v>14.0</v>
      </c>
      <c r="B18" s="481" t="s">
        <v>695</v>
      </c>
      <c r="C18" s="27"/>
      <c r="D18" s="477">
        <f>SUM('PENDATAAN PERUMAHAN'!$E$153:$H$156)+SUM('PENDATAAN PERUMAHAN'!$J$153:$M$156)+37</f>
        <v>485</v>
      </c>
      <c r="E18" s="478">
        <f>D18/'KPI Format Baru'!$D$24</f>
        <v>0.0005057783877</v>
      </c>
      <c r="F18" s="27"/>
      <c r="G18" s="477">
        <f>SUM('PENDATAAN PERUMAHAN'!$N$153:$R$156)+SUM('PENDATAAN PERUMAHAN'!$T$153:$U$156)+71</f>
        <v>133</v>
      </c>
      <c r="H18" s="479">
        <f>G18/'KPI Format Baru'!$G$24</f>
        <v>0.0002378048999</v>
      </c>
      <c r="J18" s="169">
        <f t="shared" si="1"/>
        <v>618</v>
      </c>
    </row>
    <row r="19">
      <c r="A19" s="474">
        <v>15.0</v>
      </c>
      <c r="B19" s="486" t="s">
        <v>696</v>
      </c>
      <c r="C19" s="27"/>
      <c r="D19" s="477">
        <f>SUM('PENDATAAN PERUMAHAN'!$E$157:$H$164)+SUM('PENDATAAN PERUMAHAN'!$J$157:$M$164)+15</f>
        <v>4563</v>
      </c>
      <c r="E19" s="478">
        <f>D19/'KPI Format Baru'!$D$24</f>
        <v>0.004758488213</v>
      </c>
      <c r="F19" s="27"/>
      <c r="G19" s="477">
        <f>SUM('PENDATAAN PERUMAHAN'!$N$157:$R$164)+SUM('PENDATAAN PERUMAHAN'!$T$157:$U$164)+11</f>
        <v>229</v>
      </c>
      <c r="H19" s="479">
        <f>G19/'KPI Format Baru'!$G$24</f>
        <v>0.0004094535494</v>
      </c>
      <c r="J19" s="169">
        <f t="shared" si="1"/>
        <v>4792</v>
      </c>
    </row>
    <row r="20">
      <c r="A20" s="474">
        <v>16.0</v>
      </c>
      <c r="B20" s="481" t="s">
        <v>697</v>
      </c>
      <c r="C20" s="27"/>
      <c r="D20" s="477">
        <f>SUM('PENDATAAN PERUMAHAN'!$E$165:$H$177)+SUM('PENDATAAN PERUMAHAN'!$J$165:$M$177)</f>
        <v>4443</v>
      </c>
      <c r="E20" s="478">
        <f>D20/'KPI Format Baru'!$D$24</f>
        <v>0.004633347168</v>
      </c>
      <c r="F20" s="27"/>
      <c r="G20" s="477">
        <f>SUM('PENDATAAN PERUMAHAN'!$N$165:$R$177)+SUM('PENDATAAN PERUMAHAN'!$T$165:$U$177)+31</f>
        <v>948</v>
      </c>
      <c r="H20" s="479">
        <f>G20/'KPI Format Baru'!$G$24</f>
        <v>0.001695030414</v>
      </c>
      <c r="J20" s="169">
        <f t="shared" si="1"/>
        <v>5391</v>
      </c>
    </row>
    <row r="21">
      <c r="A21" s="474">
        <v>17.0</v>
      </c>
      <c r="B21" s="487" t="s">
        <v>698</v>
      </c>
      <c r="C21" s="27"/>
      <c r="D21" s="477">
        <f>sum('PENDATAAN PERUMAHAN'!$E$178:$H$186)+sum('PENDATAAN PERUMAHAN'!$J$178:$M$186)</f>
        <v>6616</v>
      </c>
      <c r="E21" s="478">
        <f>D21/'KPI Format Baru'!$D$24</f>
        <v>0.006899442914</v>
      </c>
      <c r="F21" s="27"/>
      <c r="G21" s="477">
        <f>sum('PENDATAAN PERUMAHAN'!$N$178:$R$186)+sum('PENDATAAN PERUMAHAN'!$T$178:$U$186)</f>
        <v>2826</v>
      </c>
      <c r="H21" s="479">
        <f>G21/'KPI Format Baru'!$G$24</f>
        <v>0.00505290712</v>
      </c>
      <c r="J21" s="169">
        <f t="shared" si="1"/>
        <v>9442</v>
      </c>
    </row>
    <row r="22">
      <c r="A22" s="474">
        <v>18.0</v>
      </c>
      <c r="B22" s="481" t="s">
        <v>699</v>
      </c>
      <c r="C22" s="27"/>
      <c r="D22" s="477">
        <f>sum('PENDATAAN PERUMAHAN'!$E$187:$H$192)+sum('PENDATAAN PERUMAHAN'!$J$178:$M$186)+17</f>
        <v>868</v>
      </c>
      <c r="E22" s="478">
        <f>D22/'KPI Format Baru'!$D$24</f>
        <v>0.0009051868877</v>
      </c>
      <c r="F22" s="27"/>
      <c r="G22" s="477">
        <f>sum('PENDATAAN PERUMAHAN'!$N$187:$R$192)+sum('PENDATAAN PERUMAHAN'!$T$178:$U$186)</f>
        <v>830</v>
      </c>
      <c r="H22" s="479">
        <f>G22/'KPI Format Baru'!$G$24</f>
        <v>0.001484045616</v>
      </c>
      <c r="J22" s="169">
        <f t="shared" si="1"/>
        <v>1698</v>
      </c>
    </row>
    <row r="23">
      <c r="A23" s="474">
        <v>19.0</v>
      </c>
      <c r="B23" s="481" t="s">
        <v>700</v>
      </c>
      <c r="C23" s="27"/>
      <c r="D23" s="477">
        <f>sum('PENDATAAN PERUMAHAN'!$E$193:$H$195)+sum('PENDATAAN PERUMAHAN'!$J$193:$M$195)</f>
        <v>270</v>
      </c>
      <c r="E23" s="478">
        <f>D23/'KPI Format Baru'!$D$24</f>
        <v>0.0002815673499</v>
      </c>
      <c r="F23" s="27"/>
      <c r="G23" s="477">
        <f>sum('PENDATAAN PERUMAHAN'!$N$193:$R$195)+sum('PENDATAAN PERUMAHAN'!$T$193:$U$195)</f>
        <v>158</v>
      </c>
      <c r="H23" s="479">
        <f>G23/'KPI Format Baru'!$G$24</f>
        <v>0.000282505069</v>
      </c>
      <c r="J23" s="169">
        <f t="shared" si="1"/>
        <v>428</v>
      </c>
    </row>
    <row r="24">
      <c r="A24" s="474">
        <v>20.0</v>
      </c>
      <c r="B24" s="482" t="s">
        <v>701</v>
      </c>
      <c r="C24" s="27"/>
      <c r="D24" s="483">
        <f>sum('PENDATAAN PERUMAHAN'!$E$196:$H$196)+sum('PENDATAAN PERUMAHAN'!$J$196:$M$196)</f>
        <v>2753</v>
      </c>
      <c r="E24" s="478">
        <f>D24/'KPI Format Baru'!$D$24</f>
        <v>0.002870944127</v>
      </c>
      <c r="F24" s="27"/>
      <c r="G24" s="483">
        <f>sum('PENDATAAN PERUMAHAN'!$N$196:$R$196)+sum('PENDATAAN PERUMAHAN'!$T$196:$U$196)</f>
        <v>53</v>
      </c>
      <c r="H24" s="479">
        <f>G24/'KPI Format Baru'!$G$24</f>
        <v>0.00009476435859</v>
      </c>
      <c r="I24" s="485"/>
      <c r="J24" s="169">
        <f t="shared" si="1"/>
        <v>2806</v>
      </c>
      <c r="K24" s="485"/>
      <c r="L24" s="485"/>
      <c r="M24" s="485"/>
      <c r="N24" s="485"/>
      <c r="O24" s="485"/>
      <c r="P24" s="485"/>
      <c r="Q24" s="485"/>
      <c r="R24" s="485"/>
      <c r="S24" s="485"/>
      <c r="T24" s="485"/>
      <c r="U24" s="485"/>
      <c r="V24" s="485"/>
      <c r="W24" s="485"/>
      <c r="X24" s="485"/>
      <c r="Y24" s="485"/>
    </row>
    <row r="25">
      <c r="A25" s="474">
        <v>21.0</v>
      </c>
      <c r="B25" s="481" t="s">
        <v>702</v>
      </c>
      <c r="C25" s="27"/>
      <c r="D25" s="477">
        <f>sum('PENDATAAN PERUMAHAN'!$E$197:$H$201)+sum('PENDATAAN PERUMAHAN'!$J$197:$M$201)+24</f>
        <v>1575</v>
      </c>
      <c r="E25" s="478">
        <f>D25/'KPI Format Baru'!$D$24</f>
        <v>0.001642476208</v>
      </c>
      <c r="F25" s="27"/>
      <c r="G25" s="477">
        <f>sum('PENDATAAN PERUMAHAN'!$N$197:$R$201)+sum('PENDATAAN PERUMAHAN'!$T$197:$U$201)+30</f>
        <v>101</v>
      </c>
      <c r="H25" s="479">
        <f>G25/'KPI Format Baru'!$G$24</f>
        <v>0.0001805886833</v>
      </c>
      <c r="J25" s="169">
        <f t="shared" si="1"/>
        <v>1676</v>
      </c>
    </row>
    <row r="26">
      <c r="A26" s="474">
        <v>22.0</v>
      </c>
      <c r="B26" s="481" t="s">
        <v>703</v>
      </c>
      <c r="C26" s="27"/>
      <c r="D26" s="477">
        <f>sum('PENDATAAN PERUMAHAN'!$E$202:$H$203)+sum('PENDATAAN PERUMAHAN'!$J$202:$M$203)</f>
        <v>141</v>
      </c>
      <c r="E26" s="478">
        <f>D26/'KPI Format Baru'!$D$24</f>
        <v>0.0001470407272</v>
      </c>
      <c r="F26" s="27"/>
      <c r="G26" s="477">
        <f>sum('PENDATAAN PERUMAHAN'!$N$202:$R$203)+sum('PENDATAAN PERUMAHAN'!$T$202:$U$203)</f>
        <v>28</v>
      </c>
      <c r="H26" s="479">
        <f>G26/'KPI Format Baru'!$G$24</f>
        <v>0.00005006418944</v>
      </c>
      <c r="J26" s="169">
        <f t="shared" si="1"/>
        <v>169</v>
      </c>
    </row>
    <row r="27">
      <c r="A27" s="474">
        <v>23.0</v>
      </c>
      <c r="B27" s="481" t="s">
        <v>704</v>
      </c>
      <c r="C27" s="27"/>
      <c r="D27" s="477">
        <f>sum('PENDATAAN PERUMAHAN'!$E$204:$H$204)+sum('PENDATAAN PERUMAHAN'!$J$204:$M$204)</f>
        <v>649</v>
      </c>
      <c r="E27" s="478">
        <f>D27/'KPI Format Baru'!$D$24</f>
        <v>0.0006768044817</v>
      </c>
      <c r="F27" s="27"/>
      <c r="G27" s="477">
        <f>sum('PENDATAAN PERUMAHAN'!$N$204:$R$204)+sum('PENDATAAN PERUMAHAN'!$T$204:$U$204)</f>
        <v>347</v>
      </c>
      <c r="H27" s="479">
        <f>G27/'KPI Format Baru'!$G$24</f>
        <v>0.0006204383477</v>
      </c>
      <c r="J27" s="169">
        <f t="shared" si="1"/>
        <v>996</v>
      </c>
    </row>
    <row r="28">
      <c r="A28" s="474">
        <v>24.0</v>
      </c>
      <c r="B28" s="481" t="s">
        <v>705</v>
      </c>
      <c r="C28" s="27"/>
      <c r="D28" s="477">
        <f>sum('PENDATAAN PERUMAHAN'!$E$205:$H$206)+sum('PENDATAAN PERUMAHAN'!$J$205:$M$206)+15</f>
        <v>522</v>
      </c>
      <c r="E28" s="478">
        <f>D28/'KPI Format Baru'!$D$24</f>
        <v>0.0005443635431</v>
      </c>
      <c r="F28" s="27"/>
      <c r="G28" s="477">
        <f>sum('PENDATAAN PERUMAHAN'!$N$205:$R$206)+sum('PENDATAAN PERUMAHAN'!$T$205:$U$206)+1</f>
        <v>17</v>
      </c>
      <c r="H28" s="479">
        <f>G28/'KPI Format Baru'!$G$24</f>
        <v>0.00003039611502</v>
      </c>
      <c r="J28" s="169">
        <f t="shared" si="1"/>
        <v>539</v>
      </c>
    </row>
    <row r="29">
      <c r="A29" s="474">
        <v>25.0</v>
      </c>
      <c r="B29" s="481" t="s">
        <v>706</v>
      </c>
      <c r="C29" s="27"/>
      <c r="D29" s="477">
        <f>sum('PENDATAAN PERUMAHAN'!$E$207:$H$208)+sum('PENDATAAN PERUMAHAN'!$J$207:$M$208)</f>
        <v>395</v>
      </c>
      <c r="E29" s="478">
        <f>D29/'KPI Format Baru'!$D$24</f>
        <v>0.0004119226044</v>
      </c>
      <c r="F29" s="27"/>
      <c r="G29" s="477">
        <f>sum('PENDATAAN PERUMAHAN'!$N$207:$R$208)+sum('PENDATAAN PERUMAHAN'!$T$207:$U$208)</f>
        <v>1</v>
      </c>
      <c r="H29" s="479">
        <f>G29/'KPI Format Baru'!$G$24</f>
        <v>0.000001788006766</v>
      </c>
      <c r="J29" s="169">
        <f t="shared" si="1"/>
        <v>396</v>
      </c>
    </row>
    <row r="30">
      <c r="A30" s="474">
        <v>26.0</v>
      </c>
      <c r="B30" s="481" t="s">
        <v>707</v>
      </c>
      <c r="C30" s="27"/>
      <c r="D30" s="444">
        <f>SUM('PENDATAAN PERUMAHAN'!$E$209:$H$209)+SUM('PENDATAAN PERUMAHAN'!$J$209:$M$209)</f>
        <v>4</v>
      </c>
      <c r="E30" s="478">
        <f>D30/'KPI Format Baru'!$D$24</f>
        <v>0.000004171368146</v>
      </c>
      <c r="F30" s="27"/>
      <c r="G30" s="444">
        <f>SUM('PENDATAAN PERUMAHAN'!$N$209:$R$209)+SUM('PENDATAAN PERUMAHAN'!$T$209:$U$209)</f>
        <v>0</v>
      </c>
      <c r="H30" s="479">
        <f>G30/'KPI Format Baru'!$G$24</f>
        <v>0</v>
      </c>
      <c r="J30" s="169">
        <f t="shared" si="1"/>
        <v>4</v>
      </c>
    </row>
    <row r="31">
      <c r="A31" s="474">
        <v>27.0</v>
      </c>
      <c r="B31" s="481" t="s">
        <v>708</v>
      </c>
      <c r="C31" s="27"/>
      <c r="D31" s="444">
        <f>SUM('PENDATAAN PERUMAHAN'!$E$210:$H$211)+SUM('PENDATAAN PERUMAHAN'!$J$210:$M$211)</f>
        <v>185</v>
      </c>
      <c r="E31" s="478">
        <f>D31/'KPI Format Baru'!$D$24</f>
        <v>0.0001929257768</v>
      </c>
      <c r="F31" s="27"/>
      <c r="G31" s="444">
        <f>SUM('PENDATAAN PERUMAHAN'!$N$210:$R$211)+SUM('PENDATAAN PERUMAHAN'!$T$210:$U$211)</f>
        <v>55</v>
      </c>
      <c r="H31" s="479">
        <f>G31/'KPI Format Baru'!$G$24</f>
        <v>0.00009834037212</v>
      </c>
      <c r="J31" s="169">
        <f t="shared" si="1"/>
        <v>240</v>
      </c>
    </row>
    <row r="32">
      <c r="A32" s="474">
        <v>28.0</v>
      </c>
      <c r="B32" s="481" t="s">
        <v>709</v>
      </c>
      <c r="C32" s="27"/>
      <c r="D32" s="477">
        <f>SUM('PENDATAAN PERUMAHAN'!$E$212:$H$214)+SUM('PENDATAAN PERUMAHAN'!$J$212:$M$214)</f>
        <v>54</v>
      </c>
      <c r="E32" s="478">
        <f>D32/'KPI Format Baru'!$D$24</f>
        <v>0.00005631346997</v>
      </c>
      <c r="F32" s="27"/>
      <c r="G32" s="477">
        <f>SUM('PENDATAAN PERUMAHAN'!$N$212:$R$214)+SUM('PENDATAAN PERUMAHAN'!$T$212:$U$214)</f>
        <v>0</v>
      </c>
      <c r="H32" s="479">
        <f>G32/'KPI Format Baru'!$G$24</f>
        <v>0</v>
      </c>
      <c r="J32" s="169">
        <f t="shared" si="1"/>
        <v>54</v>
      </c>
    </row>
    <row r="33">
      <c r="A33" s="474">
        <v>29.0</v>
      </c>
      <c r="B33" s="481" t="s">
        <v>710</v>
      </c>
      <c r="C33" s="27"/>
      <c r="D33" s="477">
        <f>SUM('PENDATAAN PERUMAHAN'!$E$215:$H$221)+SUM('PENDATAAN PERUMAHAN'!$J$215:$M$221)</f>
        <v>848</v>
      </c>
      <c r="E33" s="478">
        <f>D33/'KPI Format Baru'!$D$24</f>
        <v>0.000884330047</v>
      </c>
      <c r="F33" s="27"/>
      <c r="G33" s="477">
        <f>SUM('PENDATAAN PERUMAHAN'!$N$215:$R$221)+SUM('PENDATAAN PERUMAHAN'!$T$215:$U$221)</f>
        <v>0</v>
      </c>
      <c r="H33" s="479">
        <f>G33/'KPI Format Baru'!$G$24</f>
        <v>0</v>
      </c>
      <c r="J33" s="169">
        <f t="shared" si="1"/>
        <v>848</v>
      </c>
    </row>
    <row r="34">
      <c r="A34" s="474">
        <v>30.0</v>
      </c>
      <c r="B34" s="481" t="s">
        <v>711</v>
      </c>
      <c r="C34" s="40"/>
      <c r="D34" s="477">
        <f>SUM('PENDATAAN PERUMAHAN'!$E$222:$H$228)+SUM('PENDATAAN PERUMAHAN'!$J$222:$M$228)</f>
        <v>121</v>
      </c>
      <c r="E34" s="478">
        <f>D34/'KPI Format Baru'!$D$24</f>
        <v>0.0001261838864</v>
      </c>
      <c r="F34" s="40"/>
      <c r="G34" s="477">
        <f>SUM('PENDATAAN PERUMAHAN'!$N$222:$R$228)+SUM('PENDATAAN PERUMAHAN'!$T$222:$U$228)</f>
        <v>22</v>
      </c>
      <c r="H34" s="479">
        <f>G34/'KPI Format Baru'!$G$24</f>
        <v>0.00003933614885</v>
      </c>
      <c r="J34" s="169">
        <f t="shared" si="1"/>
        <v>143</v>
      </c>
    </row>
    <row r="35">
      <c r="A35" s="456" t="s">
        <v>677</v>
      </c>
      <c r="B35" s="20"/>
      <c r="C35" s="457">
        <f>'KPI Format Baru'!D24</f>
        <v>958918</v>
      </c>
      <c r="D35" s="457">
        <f>SUM(D5:D34)-66</f>
        <v>177849</v>
      </c>
      <c r="E35" s="488">
        <f>D35/'KPI Format Baru'!D24</f>
        <v>0.1854684134</v>
      </c>
      <c r="F35" s="489">
        <f>'KPI Format Baru'!G24</f>
        <v>559282</v>
      </c>
      <c r="G35" s="458">
        <f>SUM(G5:G34)-66</f>
        <v>146290</v>
      </c>
      <c r="H35" s="490">
        <f>G35/'KPI Format Baru'!G24</f>
        <v>0.2615675098</v>
      </c>
      <c r="J35" s="169">
        <f>SUM(J5:J34)</f>
        <v>324271</v>
      </c>
    </row>
    <row r="36">
      <c r="A36" s="459" t="s">
        <v>678</v>
      </c>
      <c r="B36" s="20"/>
      <c r="C36" s="491"/>
      <c r="D36" s="460">
        <f>'KPI Format Baru'!D25</f>
        <v>1518200</v>
      </c>
      <c r="E36" s="19"/>
      <c r="F36" s="19"/>
      <c r="G36" s="19"/>
      <c r="H36" s="20"/>
      <c r="L36" s="311"/>
    </row>
    <row r="37">
      <c r="A37" s="459" t="s">
        <v>679</v>
      </c>
      <c r="B37" s="20"/>
      <c r="C37" s="491"/>
      <c r="D37" s="460">
        <f>'KPI Format Baru'!D26</f>
        <v>324275</v>
      </c>
      <c r="E37" s="19"/>
      <c r="F37" s="19"/>
      <c r="G37" s="19"/>
      <c r="H37" s="20"/>
    </row>
    <row r="38">
      <c r="A38" s="459" t="s">
        <v>680</v>
      </c>
      <c r="B38" s="20"/>
      <c r="C38" s="492"/>
      <c r="D38" s="461">
        <f>'KPI Format Baru'!D27</f>
        <v>0.2135917534</v>
      </c>
      <c r="E38" s="19"/>
      <c r="F38" s="19"/>
      <c r="G38" s="19"/>
      <c r="H38" s="20"/>
    </row>
    <row r="39">
      <c r="E39" s="493"/>
      <c r="H39" s="493"/>
    </row>
    <row r="40">
      <c r="E40" s="493"/>
      <c r="H40" s="493"/>
    </row>
    <row r="41">
      <c r="E41" s="493"/>
      <c r="H41" s="493"/>
    </row>
    <row r="42">
      <c r="E42" s="493"/>
      <c r="H42" s="493"/>
    </row>
    <row r="43">
      <c r="E43" s="493">
        <f>sum('PENDATAAN PERUMAHAN'!E8:H228)+sum('PENDATAAN PERUMAHAN'!J8:M228)</f>
        <v>177367</v>
      </c>
      <c r="H43" s="493"/>
    </row>
    <row r="44">
      <c r="E44" s="493"/>
      <c r="H44" s="493"/>
    </row>
    <row r="45">
      <c r="E45" s="493"/>
      <c r="H45" s="493"/>
    </row>
    <row r="46">
      <c r="E46" s="493"/>
      <c r="H46" s="493"/>
    </row>
    <row r="47">
      <c r="E47" s="493"/>
      <c r="H47" s="493"/>
    </row>
    <row r="48">
      <c r="E48" s="493"/>
      <c r="H48" s="493"/>
    </row>
    <row r="49">
      <c r="E49" s="493"/>
      <c r="H49" s="493"/>
    </row>
    <row r="50">
      <c r="E50" s="493"/>
      <c r="H50" s="493"/>
    </row>
    <row r="51">
      <c r="E51" s="493"/>
      <c r="H51" s="493"/>
    </row>
    <row r="52">
      <c r="E52" s="493"/>
      <c r="H52" s="493"/>
    </row>
    <row r="53">
      <c r="E53" s="493"/>
      <c r="H53" s="493"/>
    </row>
    <row r="54">
      <c r="E54" s="493"/>
      <c r="H54" s="493"/>
    </row>
    <row r="55">
      <c r="E55" s="493"/>
      <c r="H55" s="493"/>
    </row>
    <row r="56">
      <c r="E56" s="493"/>
      <c r="H56" s="493"/>
    </row>
    <row r="57">
      <c r="E57" s="493"/>
      <c r="H57" s="493"/>
    </row>
    <row r="58">
      <c r="E58" s="493"/>
      <c r="H58" s="493"/>
    </row>
    <row r="59">
      <c r="E59" s="493"/>
      <c r="H59" s="493"/>
    </row>
    <row r="60">
      <c r="E60" s="493"/>
      <c r="H60" s="493"/>
    </row>
    <row r="61">
      <c r="E61" s="493"/>
      <c r="H61" s="493"/>
    </row>
    <row r="62">
      <c r="E62" s="493"/>
      <c r="H62" s="493"/>
    </row>
    <row r="63">
      <c r="E63" s="493"/>
      <c r="H63" s="493"/>
    </row>
    <row r="64">
      <c r="E64" s="493"/>
      <c r="H64" s="493"/>
    </row>
    <row r="65">
      <c r="E65" s="493"/>
      <c r="H65" s="493"/>
    </row>
    <row r="66">
      <c r="E66" s="493"/>
      <c r="H66" s="493"/>
    </row>
    <row r="67">
      <c r="E67" s="493"/>
      <c r="H67" s="493"/>
    </row>
    <row r="68">
      <c r="E68" s="493"/>
      <c r="H68" s="493"/>
    </row>
    <row r="69">
      <c r="E69" s="493"/>
      <c r="H69" s="493"/>
    </row>
    <row r="70">
      <c r="E70" s="493"/>
      <c r="H70" s="493"/>
    </row>
    <row r="71">
      <c r="E71" s="493"/>
      <c r="H71" s="493"/>
    </row>
    <row r="72">
      <c r="E72" s="493"/>
      <c r="H72" s="493"/>
    </row>
    <row r="73">
      <c r="E73" s="493"/>
      <c r="H73" s="493"/>
    </row>
    <row r="74">
      <c r="E74" s="493"/>
      <c r="H74" s="493"/>
    </row>
    <row r="75">
      <c r="E75" s="493"/>
      <c r="H75" s="493"/>
    </row>
    <row r="76">
      <c r="E76" s="493"/>
      <c r="H76" s="493"/>
    </row>
    <row r="77">
      <c r="E77" s="493"/>
      <c r="H77" s="493"/>
    </row>
    <row r="78">
      <c r="E78" s="493"/>
      <c r="H78" s="493"/>
    </row>
    <row r="79">
      <c r="E79" s="493"/>
      <c r="H79" s="493"/>
    </row>
    <row r="80">
      <c r="E80" s="493"/>
      <c r="H80" s="493"/>
    </row>
    <row r="81">
      <c r="E81" s="493"/>
      <c r="H81" s="493"/>
    </row>
    <row r="82">
      <c r="E82" s="493"/>
      <c r="H82" s="493"/>
    </row>
    <row r="83">
      <c r="E83" s="493"/>
      <c r="H83" s="493"/>
    </row>
    <row r="84">
      <c r="E84" s="493"/>
      <c r="H84" s="493"/>
    </row>
    <row r="85">
      <c r="E85" s="493"/>
      <c r="H85" s="493"/>
    </row>
    <row r="86">
      <c r="E86" s="493"/>
      <c r="H86" s="493"/>
    </row>
    <row r="87">
      <c r="E87" s="493"/>
      <c r="H87" s="493"/>
    </row>
    <row r="88">
      <c r="E88" s="493"/>
      <c r="H88" s="493"/>
    </row>
    <row r="89">
      <c r="E89" s="493"/>
      <c r="H89" s="493"/>
    </row>
    <row r="90">
      <c r="E90" s="493"/>
      <c r="H90" s="493"/>
    </row>
    <row r="91">
      <c r="E91" s="493"/>
      <c r="H91" s="493"/>
    </row>
    <row r="92">
      <c r="E92" s="493"/>
      <c r="H92" s="493"/>
    </row>
    <row r="93">
      <c r="E93" s="493"/>
      <c r="H93" s="493"/>
    </row>
    <row r="94">
      <c r="E94" s="493"/>
      <c r="H94" s="493"/>
    </row>
    <row r="95">
      <c r="E95" s="493"/>
      <c r="H95" s="493"/>
    </row>
    <row r="96">
      <c r="E96" s="493"/>
      <c r="H96" s="493"/>
    </row>
    <row r="97">
      <c r="E97" s="493"/>
      <c r="H97" s="493"/>
    </row>
    <row r="98">
      <c r="E98" s="493"/>
      <c r="H98" s="493"/>
    </row>
    <row r="99">
      <c r="E99" s="493"/>
      <c r="H99" s="493"/>
    </row>
    <row r="100">
      <c r="E100" s="493"/>
      <c r="H100" s="493"/>
    </row>
    <row r="101">
      <c r="E101" s="493"/>
      <c r="H101" s="493"/>
    </row>
    <row r="102">
      <c r="E102" s="493"/>
      <c r="H102" s="493"/>
    </row>
    <row r="103">
      <c r="E103" s="493"/>
      <c r="H103" s="493"/>
    </row>
    <row r="104">
      <c r="E104" s="493"/>
      <c r="H104" s="493"/>
    </row>
    <row r="105">
      <c r="E105" s="493"/>
      <c r="H105" s="493"/>
    </row>
    <row r="106">
      <c r="E106" s="493"/>
      <c r="H106" s="493"/>
    </row>
    <row r="107">
      <c r="E107" s="493"/>
      <c r="H107" s="493"/>
    </row>
    <row r="108">
      <c r="E108" s="493"/>
      <c r="H108" s="493"/>
    </row>
    <row r="109">
      <c r="E109" s="493"/>
      <c r="H109" s="493"/>
    </row>
    <row r="110">
      <c r="E110" s="493"/>
      <c r="H110" s="493"/>
    </row>
    <row r="111">
      <c r="E111" s="493"/>
      <c r="H111" s="493"/>
    </row>
    <row r="112">
      <c r="E112" s="493"/>
      <c r="H112" s="493"/>
    </row>
    <row r="113">
      <c r="E113" s="493"/>
      <c r="H113" s="493"/>
    </row>
    <row r="114">
      <c r="E114" s="493"/>
      <c r="H114" s="493"/>
    </row>
    <row r="115">
      <c r="E115" s="493"/>
      <c r="H115" s="493"/>
    </row>
    <row r="116">
      <c r="E116" s="493"/>
      <c r="H116" s="493"/>
    </row>
    <row r="117">
      <c r="E117" s="493"/>
      <c r="H117" s="493"/>
    </row>
    <row r="118">
      <c r="E118" s="493"/>
      <c r="H118" s="493"/>
    </row>
    <row r="119">
      <c r="E119" s="493"/>
      <c r="H119" s="493"/>
    </row>
    <row r="120">
      <c r="E120" s="493"/>
      <c r="H120" s="493"/>
    </row>
    <row r="121">
      <c r="E121" s="493"/>
      <c r="H121" s="493"/>
    </row>
    <row r="122">
      <c r="E122" s="493"/>
      <c r="H122" s="493"/>
    </row>
    <row r="123">
      <c r="E123" s="493"/>
      <c r="H123" s="493"/>
    </row>
    <row r="124">
      <c r="E124" s="493"/>
      <c r="H124" s="493"/>
    </row>
    <row r="125">
      <c r="E125" s="493"/>
      <c r="H125" s="493"/>
    </row>
    <row r="126">
      <c r="E126" s="493"/>
      <c r="H126" s="493"/>
    </row>
    <row r="127">
      <c r="E127" s="493"/>
      <c r="H127" s="493"/>
    </row>
    <row r="128">
      <c r="E128" s="493"/>
      <c r="H128" s="493"/>
    </row>
    <row r="129">
      <c r="E129" s="493"/>
      <c r="H129" s="493"/>
    </row>
    <row r="130">
      <c r="E130" s="493"/>
      <c r="H130" s="493"/>
    </row>
    <row r="131">
      <c r="E131" s="493"/>
      <c r="H131" s="493"/>
    </row>
    <row r="132">
      <c r="E132" s="493"/>
      <c r="H132" s="493"/>
    </row>
    <row r="133">
      <c r="E133" s="493"/>
      <c r="H133" s="493"/>
    </row>
    <row r="134">
      <c r="E134" s="493"/>
      <c r="H134" s="493"/>
    </row>
    <row r="135">
      <c r="E135" s="493"/>
      <c r="H135" s="493"/>
    </row>
    <row r="136">
      <c r="E136" s="493"/>
      <c r="H136" s="493"/>
    </row>
    <row r="137">
      <c r="E137" s="493"/>
      <c r="H137" s="493"/>
    </row>
    <row r="138">
      <c r="E138" s="493"/>
      <c r="H138" s="493"/>
    </row>
    <row r="139">
      <c r="E139" s="493"/>
      <c r="H139" s="493"/>
    </row>
    <row r="140">
      <c r="E140" s="493"/>
      <c r="H140" s="493"/>
    </row>
    <row r="141">
      <c r="E141" s="493"/>
      <c r="H141" s="493"/>
    </row>
    <row r="142">
      <c r="E142" s="493"/>
      <c r="H142" s="493"/>
    </row>
    <row r="143">
      <c r="E143" s="493"/>
      <c r="H143" s="493"/>
    </row>
    <row r="144">
      <c r="E144" s="493"/>
      <c r="H144" s="493"/>
    </row>
    <row r="145">
      <c r="E145" s="493"/>
      <c r="H145" s="493"/>
    </row>
    <row r="146">
      <c r="E146" s="493"/>
      <c r="H146" s="493"/>
    </row>
    <row r="147">
      <c r="E147" s="493"/>
      <c r="H147" s="493"/>
    </row>
    <row r="148">
      <c r="E148" s="493"/>
      <c r="H148" s="493"/>
    </row>
    <row r="149">
      <c r="E149" s="493"/>
      <c r="H149" s="493"/>
    </row>
    <row r="150">
      <c r="E150" s="493"/>
      <c r="H150" s="493"/>
    </row>
    <row r="151">
      <c r="E151" s="493"/>
      <c r="H151" s="493"/>
    </row>
    <row r="152">
      <c r="E152" s="493"/>
      <c r="H152" s="493"/>
    </row>
    <row r="153">
      <c r="E153" s="493"/>
      <c r="H153" s="493"/>
    </row>
    <row r="154">
      <c r="E154" s="493"/>
      <c r="H154" s="493"/>
    </row>
    <row r="155">
      <c r="E155" s="493"/>
      <c r="H155" s="493"/>
    </row>
    <row r="156">
      <c r="E156" s="493"/>
      <c r="H156" s="493"/>
    </row>
    <row r="157">
      <c r="E157" s="493"/>
      <c r="H157" s="493"/>
    </row>
    <row r="158">
      <c r="E158" s="493"/>
      <c r="H158" s="493"/>
    </row>
    <row r="159">
      <c r="E159" s="493"/>
      <c r="H159" s="493"/>
    </row>
    <row r="160">
      <c r="E160" s="493"/>
      <c r="H160" s="493"/>
    </row>
    <row r="161">
      <c r="E161" s="493"/>
      <c r="H161" s="493"/>
    </row>
    <row r="162">
      <c r="E162" s="493"/>
      <c r="H162" s="493"/>
    </row>
    <row r="163">
      <c r="E163" s="493"/>
      <c r="H163" s="493"/>
    </row>
    <row r="164">
      <c r="E164" s="493"/>
      <c r="H164" s="493"/>
    </row>
    <row r="165">
      <c r="E165" s="493"/>
      <c r="H165" s="493"/>
    </row>
    <row r="166">
      <c r="E166" s="493"/>
      <c r="H166" s="493"/>
    </row>
    <row r="167">
      <c r="E167" s="493"/>
      <c r="H167" s="493"/>
    </row>
    <row r="168">
      <c r="E168" s="493"/>
      <c r="H168" s="493"/>
    </row>
    <row r="169">
      <c r="E169" s="493"/>
      <c r="H169" s="493"/>
    </row>
    <row r="170">
      <c r="E170" s="493"/>
      <c r="H170" s="493"/>
    </row>
    <row r="171">
      <c r="E171" s="493"/>
      <c r="H171" s="493"/>
    </row>
    <row r="172">
      <c r="E172" s="493"/>
      <c r="H172" s="493"/>
    </row>
    <row r="173">
      <c r="E173" s="493"/>
      <c r="H173" s="493"/>
    </row>
    <row r="174">
      <c r="E174" s="493"/>
      <c r="H174" s="493"/>
    </row>
    <row r="175">
      <c r="E175" s="493"/>
      <c r="H175" s="493"/>
    </row>
    <row r="176">
      <c r="E176" s="493"/>
      <c r="H176" s="493"/>
    </row>
    <row r="177">
      <c r="E177" s="493"/>
      <c r="H177" s="493"/>
    </row>
    <row r="178">
      <c r="E178" s="493"/>
      <c r="H178" s="493"/>
    </row>
    <row r="179">
      <c r="E179" s="493"/>
      <c r="H179" s="493"/>
    </row>
    <row r="180">
      <c r="E180" s="493"/>
      <c r="H180" s="493"/>
    </row>
    <row r="181">
      <c r="E181" s="493"/>
      <c r="H181" s="493"/>
    </row>
    <row r="182">
      <c r="E182" s="493"/>
      <c r="H182" s="493"/>
    </row>
    <row r="183">
      <c r="E183" s="493"/>
      <c r="H183" s="493"/>
    </row>
    <row r="184">
      <c r="E184" s="493"/>
      <c r="H184" s="493"/>
    </row>
    <row r="185">
      <c r="E185" s="493"/>
      <c r="H185" s="493"/>
    </row>
    <row r="186">
      <c r="E186" s="493"/>
      <c r="H186" s="493"/>
    </row>
    <row r="187">
      <c r="E187" s="493"/>
      <c r="H187" s="493"/>
    </row>
    <row r="188">
      <c r="E188" s="493"/>
      <c r="H188" s="493"/>
    </row>
    <row r="189">
      <c r="E189" s="493"/>
      <c r="H189" s="493"/>
    </row>
    <row r="190">
      <c r="E190" s="493"/>
      <c r="H190" s="493"/>
    </row>
    <row r="191">
      <c r="E191" s="493"/>
      <c r="H191" s="493"/>
    </row>
    <row r="192">
      <c r="E192" s="493"/>
      <c r="H192" s="493"/>
    </row>
    <row r="193">
      <c r="E193" s="493"/>
      <c r="H193" s="493"/>
    </row>
    <row r="194">
      <c r="E194" s="493"/>
      <c r="H194" s="493"/>
    </row>
    <row r="195">
      <c r="E195" s="493"/>
      <c r="H195" s="493"/>
    </row>
    <row r="196">
      <c r="E196" s="493"/>
      <c r="H196" s="493"/>
    </row>
    <row r="197">
      <c r="E197" s="493"/>
      <c r="H197" s="493"/>
    </row>
    <row r="198">
      <c r="E198" s="493"/>
      <c r="H198" s="493"/>
    </row>
    <row r="199">
      <c r="E199" s="493"/>
      <c r="H199" s="493"/>
    </row>
    <row r="200">
      <c r="E200" s="493"/>
      <c r="H200" s="493"/>
    </row>
    <row r="201">
      <c r="E201" s="493"/>
      <c r="H201" s="493"/>
    </row>
    <row r="202">
      <c r="E202" s="493"/>
      <c r="H202" s="493"/>
    </row>
    <row r="203">
      <c r="E203" s="493"/>
      <c r="H203" s="493"/>
    </row>
    <row r="204">
      <c r="E204" s="493"/>
      <c r="H204" s="493"/>
    </row>
    <row r="205">
      <c r="E205" s="493"/>
      <c r="H205" s="493"/>
    </row>
    <row r="206">
      <c r="E206" s="493"/>
      <c r="H206" s="493"/>
    </row>
    <row r="207">
      <c r="E207" s="493"/>
      <c r="H207" s="493"/>
    </row>
    <row r="208">
      <c r="E208" s="493"/>
      <c r="H208" s="493"/>
    </row>
    <row r="209">
      <c r="E209" s="493"/>
      <c r="H209" s="493"/>
    </row>
    <row r="210">
      <c r="E210" s="493"/>
      <c r="H210" s="493"/>
    </row>
    <row r="211">
      <c r="E211" s="493"/>
      <c r="H211" s="493"/>
    </row>
    <row r="212">
      <c r="E212" s="493"/>
      <c r="H212" s="493"/>
    </row>
    <row r="213">
      <c r="E213" s="493"/>
      <c r="H213" s="493"/>
    </row>
    <row r="214">
      <c r="E214" s="493"/>
      <c r="H214" s="493"/>
    </row>
    <row r="215">
      <c r="E215" s="493"/>
      <c r="H215" s="493"/>
    </row>
    <row r="216">
      <c r="E216" s="493"/>
      <c r="H216" s="493"/>
    </row>
    <row r="217">
      <c r="E217" s="493"/>
      <c r="H217" s="493"/>
    </row>
    <row r="218">
      <c r="E218" s="493"/>
      <c r="H218" s="493"/>
    </row>
    <row r="219">
      <c r="E219" s="493"/>
      <c r="H219" s="493"/>
    </row>
    <row r="220">
      <c r="E220" s="493"/>
      <c r="H220" s="493"/>
    </row>
    <row r="221">
      <c r="E221" s="493"/>
      <c r="H221" s="493"/>
    </row>
    <row r="222">
      <c r="E222" s="493"/>
      <c r="H222" s="493"/>
    </row>
    <row r="223">
      <c r="E223" s="493"/>
      <c r="H223" s="493"/>
    </row>
    <row r="224">
      <c r="E224" s="493"/>
      <c r="H224" s="493"/>
    </row>
    <row r="225">
      <c r="E225" s="493"/>
      <c r="H225" s="493"/>
    </row>
    <row r="226">
      <c r="E226" s="493"/>
      <c r="H226" s="493"/>
    </row>
    <row r="227">
      <c r="E227" s="493"/>
      <c r="H227" s="493"/>
    </row>
    <row r="228">
      <c r="E228" s="493"/>
      <c r="H228" s="493"/>
    </row>
    <row r="229">
      <c r="E229" s="493"/>
      <c r="H229" s="493"/>
    </row>
    <row r="230">
      <c r="E230" s="493"/>
      <c r="H230" s="493"/>
    </row>
    <row r="231">
      <c r="E231" s="493"/>
      <c r="H231" s="493"/>
    </row>
    <row r="232">
      <c r="E232" s="493"/>
      <c r="H232" s="493"/>
    </row>
    <row r="233">
      <c r="E233" s="493"/>
      <c r="H233" s="493"/>
    </row>
    <row r="234">
      <c r="E234" s="493"/>
      <c r="H234" s="493"/>
    </row>
    <row r="235">
      <c r="E235" s="493"/>
      <c r="H235" s="493"/>
    </row>
    <row r="236">
      <c r="E236" s="493"/>
      <c r="H236" s="493"/>
    </row>
    <row r="237">
      <c r="E237" s="493"/>
      <c r="H237" s="493"/>
    </row>
    <row r="238">
      <c r="E238" s="493"/>
      <c r="H238" s="493"/>
    </row>
    <row r="239">
      <c r="E239" s="493"/>
      <c r="H239" s="493"/>
    </row>
    <row r="240">
      <c r="E240" s="493"/>
      <c r="H240" s="493"/>
    </row>
    <row r="241">
      <c r="E241" s="493"/>
      <c r="H241" s="493"/>
    </row>
    <row r="242">
      <c r="E242" s="493"/>
      <c r="H242" s="493"/>
    </row>
    <row r="243">
      <c r="E243" s="493"/>
      <c r="H243" s="493"/>
    </row>
    <row r="244">
      <c r="E244" s="493"/>
      <c r="H244" s="493"/>
    </row>
    <row r="245">
      <c r="E245" s="493"/>
      <c r="H245" s="493"/>
    </row>
    <row r="246">
      <c r="E246" s="493"/>
      <c r="H246" s="493"/>
    </row>
    <row r="247">
      <c r="E247" s="493"/>
      <c r="H247" s="493"/>
    </row>
    <row r="248">
      <c r="E248" s="493"/>
      <c r="H248" s="493"/>
    </row>
    <row r="249">
      <c r="E249" s="493"/>
      <c r="H249" s="493"/>
    </row>
    <row r="250">
      <c r="E250" s="493"/>
      <c r="H250" s="493"/>
    </row>
    <row r="251">
      <c r="E251" s="493"/>
      <c r="H251" s="493"/>
    </row>
    <row r="252">
      <c r="E252" s="493"/>
      <c r="H252" s="493"/>
    </row>
    <row r="253">
      <c r="E253" s="493"/>
      <c r="H253" s="493"/>
    </row>
    <row r="254">
      <c r="E254" s="493"/>
      <c r="H254" s="493"/>
    </row>
    <row r="255">
      <c r="E255" s="493"/>
      <c r="H255" s="493"/>
    </row>
    <row r="256">
      <c r="E256" s="493"/>
      <c r="H256" s="493"/>
    </row>
    <row r="257">
      <c r="E257" s="493"/>
      <c r="H257" s="493"/>
    </row>
    <row r="258">
      <c r="E258" s="493"/>
      <c r="H258" s="493"/>
    </row>
    <row r="259">
      <c r="E259" s="493"/>
      <c r="H259" s="493"/>
    </row>
    <row r="260">
      <c r="E260" s="493"/>
      <c r="H260" s="493"/>
    </row>
    <row r="261">
      <c r="E261" s="493"/>
      <c r="H261" s="493"/>
    </row>
    <row r="262">
      <c r="E262" s="493"/>
      <c r="H262" s="493"/>
    </row>
    <row r="263">
      <c r="E263" s="493"/>
      <c r="H263" s="493"/>
    </row>
    <row r="264">
      <c r="E264" s="493"/>
      <c r="H264" s="493"/>
    </row>
    <row r="265">
      <c r="E265" s="493"/>
      <c r="H265" s="493"/>
    </row>
    <row r="266">
      <c r="E266" s="493"/>
      <c r="H266" s="493"/>
    </row>
    <row r="267">
      <c r="E267" s="493"/>
      <c r="H267" s="493"/>
    </row>
    <row r="268">
      <c r="E268" s="493"/>
      <c r="H268" s="493"/>
    </row>
    <row r="269">
      <c r="E269" s="493"/>
      <c r="H269" s="493"/>
    </row>
    <row r="270">
      <c r="E270" s="493"/>
      <c r="H270" s="493"/>
    </row>
    <row r="271">
      <c r="E271" s="493"/>
      <c r="H271" s="493"/>
    </row>
    <row r="272">
      <c r="E272" s="493"/>
      <c r="H272" s="493"/>
    </row>
    <row r="273">
      <c r="E273" s="493"/>
      <c r="H273" s="493"/>
    </row>
    <row r="274">
      <c r="E274" s="493"/>
      <c r="H274" s="493"/>
    </row>
    <row r="275">
      <c r="E275" s="493"/>
      <c r="H275" s="493"/>
    </row>
    <row r="276">
      <c r="E276" s="493"/>
      <c r="H276" s="493"/>
    </row>
    <row r="277">
      <c r="E277" s="493"/>
      <c r="H277" s="493"/>
    </row>
    <row r="278">
      <c r="E278" s="493"/>
      <c r="H278" s="493"/>
    </row>
    <row r="279">
      <c r="E279" s="493"/>
      <c r="H279" s="493"/>
    </row>
    <row r="280">
      <c r="E280" s="493"/>
      <c r="H280" s="493"/>
    </row>
    <row r="281">
      <c r="E281" s="493"/>
      <c r="H281" s="493"/>
    </row>
    <row r="282">
      <c r="E282" s="493"/>
      <c r="H282" s="493"/>
    </row>
    <row r="283">
      <c r="E283" s="493"/>
      <c r="H283" s="493"/>
    </row>
    <row r="284">
      <c r="E284" s="493"/>
      <c r="H284" s="493"/>
    </row>
    <row r="285">
      <c r="E285" s="493"/>
      <c r="H285" s="493"/>
    </row>
    <row r="286">
      <c r="E286" s="493"/>
      <c r="H286" s="493"/>
    </row>
    <row r="287">
      <c r="E287" s="493"/>
      <c r="H287" s="493"/>
    </row>
    <row r="288">
      <c r="E288" s="493"/>
      <c r="H288" s="493"/>
    </row>
    <row r="289">
      <c r="E289" s="493"/>
      <c r="H289" s="493"/>
    </row>
    <row r="290">
      <c r="E290" s="493"/>
      <c r="H290" s="493"/>
    </row>
    <row r="291">
      <c r="E291" s="493"/>
      <c r="H291" s="493"/>
    </row>
    <row r="292">
      <c r="E292" s="493"/>
      <c r="H292" s="493"/>
    </row>
    <row r="293">
      <c r="E293" s="493"/>
      <c r="H293" s="493"/>
    </row>
    <row r="294">
      <c r="E294" s="493"/>
      <c r="H294" s="493"/>
    </row>
    <row r="295">
      <c r="E295" s="493"/>
      <c r="H295" s="493"/>
    </row>
    <row r="296">
      <c r="E296" s="493"/>
      <c r="H296" s="493"/>
    </row>
    <row r="297">
      <c r="E297" s="493"/>
      <c r="H297" s="493"/>
    </row>
    <row r="298">
      <c r="E298" s="493"/>
      <c r="H298" s="493"/>
    </row>
    <row r="299">
      <c r="E299" s="493"/>
      <c r="H299" s="493"/>
    </row>
    <row r="300">
      <c r="E300" s="493"/>
      <c r="H300" s="493"/>
    </row>
    <row r="301">
      <c r="E301" s="493"/>
      <c r="H301" s="493"/>
    </row>
    <row r="302">
      <c r="E302" s="493"/>
      <c r="H302" s="493"/>
    </row>
    <row r="303">
      <c r="E303" s="493"/>
      <c r="H303" s="493"/>
    </row>
    <row r="304">
      <c r="E304" s="493"/>
      <c r="H304" s="493"/>
    </row>
    <row r="305">
      <c r="E305" s="493"/>
      <c r="H305" s="493"/>
    </row>
    <row r="306">
      <c r="E306" s="493"/>
      <c r="H306" s="493"/>
    </row>
    <row r="307">
      <c r="E307" s="493"/>
      <c r="H307" s="493"/>
    </row>
    <row r="308">
      <c r="E308" s="493"/>
      <c r="H308" s="493"/>
    </row>
    <row r="309">
      <c r="E309" s="493"/>
      <c r="H309" s="493"/>
    </row>
    <row r="310">
      <c r="E310" s="493"/>
      <c r="H310" s="493"/>
    </row>
    <row r="311">
      <c r="E311" s="493"/>
      <c r="H311" s="493"/>
    </row>
    <row r="312">
      <c r="E312" s="493"/>
      <c r="H312" s="493"/>
    </row>
    <row r="313">
      <c r="E313" s="493"/>
      <c r="H313" s="493"/>
    </row>
    <row r="314">
      <c r="E314" s="493"/>
      <c r="H314" s="493"/>
    </row>
    <row r="315">
      <c r="E315" s="493"/>
      <c r="H315" s="493"/>
    </row>
    <row r="316">
      <c r="E316" s="493"/>
      <c r="H316" s="493"/>
    </row>
    <row r="317">
      <c r="E317" s="493"/>
      <c r="H317" s="493"/>
    </row>
    <row r="318">
      <c r="E318" s="493"/>
      <c r="H318" s="493"/>
    </row>
    <row r="319">
      <c r="E319" s="493"/>
      <c r="H319" s="493"/>
    </row>
    <row r="320">
      <c r="E320" s="493"/>
      <c r="H320" s="493"/>
    </row>
    <row r="321">
      <c r="E321" s="493"/>
      <c r="H321" s="493"/>
    </row>
    <row r="322">
      <c r="E322" s="493"/>
      <c r="H322" s="493"/>
    </row>
    <row r="323">
      <c r="E323" s="493"/>
      <c r="H323" s="493"/>
    </row>
    <row r="324">
      <c r="E324" s="493"/>
      <c r="H324" s="493"/>
    </row>
    <row r="325">
      <c r="E325" s="493"/>
      <c r="H325" s="493"/>
    </row>
    <row r="326">
      <c r="E326" s="493"/>
      <c r="H326" s="493"/>
    </row>
    <row r="327">
      <c r="E327" s="493"/>
      <c r="H327" s="493"/>
    </row>
    <row r="328">
      <c r="E328" s="493"/>
      <c r="H328" s="493"/>
    </row>
    <row r="329">
      <c r="E329" s="493"/>
      <c r="H329" s="493"/>
    </row>
    <row r="330">
      <c r="E330" s="493"/>
      <c r="H330" s="493"/>
    </row>
    <row r="331">
      <c r="E331" s="493"/>
      <c r="H331" s="493"/>
    </row>
    <row r="332">
      <c r="E332" s="493"/>
      <c r="H332" s="493"/>
    </row>
    <row r="333">
      <c r="E333" s="493"/>
      <c r="H333" s="493"/>
    </row>
    <row r="334">
      <c r="E334" s="493"/>
      <c r="H334" s="493"/>
    </row>
    <row r="335">
      <c r="E335" s="493"/>
      <c r="H335" s="493"/>
    </row>
    <row r="336">
      <c r="E336" s="493"/>
      <c r="H336" s="493"/>
    </row>
    <row r="337">
      <c r="E337" s="493"/>
      <c r="H337" s="493"/>
    </row>
    <row r="338">
      <c r="E338" s="493"/>
      <c r="H338" s="493"/>
    </row>
    <row r="339">
      <c r="E339" s="493"/>
      <c r="H339" s="493"/>
    </row>
    <row r="340">
      <c r="E340" s="493"/>
      <c r="H340" s="493"/>
    </row>
    <row r="341">
      <c r="E341" s="493"/>
      <c r="H341" s="493"/>
    </row>
    <row r="342">
      <c r="E342" s="493"/>
      <c r="H342" s="493"/>
    </row>
    <row r="343">
      <c r="E343" s="493"/>
      <c r="H343" s="493"/>
    </row>
    <row r="344">
      <c r="E344" s="493"/>
      <c r="H344" s="493"/>
    </row>
    <row r="345">
      <c r="E345" s="493"/>
      <c r="H345" s="493"/>
    </row>
    <row r="346">
      <c r="E346" s="493"/>
      <c r="H346" s="493"/>
    </row>
    <row r="347">
      <c r="E347" s="493"/>
      <c r="H347" s="493"/>
    </row>
    <row r="348">
      <c r="E348" s="493"/>
      <c r="H348" s="493"/>
    </row>
    <row r="349">
      <c r="E349" s="493"/>
      <c r="H349" s="493"/>
    </row>
    <row r="350">
      <c r="E350" s="493"/>
      <c r="H350" s="493"/>
    </row>
    <row r="351">
      <c r="E351" s="493"/>
      <c r="H351" s="493"/>
    </row>
    <row r="352">
      <c r="E352" s="493"/>
      <c r="H352" s="493"/>
    </row>
    <row r="353">
      <c r="E353" s="493"/>
      <c r="H353" s="493"/>
    </row>
    <row r="354">
      <c r="E354" s="493"/>
      <c r="H354" s="493"/>
    </row>
    <row r="355">
      <c r="E355" s="493"/>
      <c r="H355" s="493"/>
    </row>
    <row r="356">
      <c r="E356" s="493"/>
      <c r="H356" s="493"/>
    </row>
    <row r="357">
      <c r="E357" s="493"/>
      <c r="H357" s="493"/>
    </row>
    <row r="358">
      <c r="E358" s="493"/>
      <c r="H358" s="493"/>
    </row>
    <row r="359">
      <c r="E359" s="493"/>
      <c r="H359" s="493"/>
    </row>
    <row r="360">
      <c r="E360" s="493"/>
      <c r="H360" s="493"/>
    </row>
    <row r="361">
      <c r="E361" s="493"/>
      <c r="H361" s="493"/>
    </row>
    <row r="362">
      <c r="E362" s="493"/>
      <c r="H362" s="493"/>
    </row>
    <row r="363">
      <c r="E363" s="493"/>
      <c r="H363" s="493"/>
    </row>
    <row r="364">
      <c r="E364" s="493"/>
      <c r="H364" s="493"/>
    </row>
    <row r="365">
      <c r="E365" s="493"/>
      <c r="H365" s="493"/>
    </row>
    <row r="366">
      <c r="E366" s="493"/>
      <c r="H366" s="493"/>
    </row>
    <row r="367">
      <c r="E367" s="493"/>
      <c r="H367" s="493"/>
    </row>
    <row r="368">
      <c r="E368" s="493"/>
      <c r="H368" s="493"/>
    </row>
    <row r="369">
      <c r="E369" s="493"/>
      <c r="H369" s="493"/>
    </row>
    <row r="370">
      <c r="E370" s="493"/>
      <c r="H370" s="493"/>
    </row>
    <row r="371">
      <c r="E371" s="493"/>
      <c r="H371" s="493"/>
    </row>
    <row r="372">
      <c r="E372" s="493"/>
      <c r="H372" s="493"/>
    </row>
    <row r="373">
      <c r="E373" s="493"/>
      <c r="H373" s="493"/>
    </row>
    <row r="374">
      <c r="E374" s="493"/>
      <c r="H374" s="493"/>
    </row>
    <row r="375">
      <c r="E375" s="493"/>
      <c r="H375" s="493"/>
    </row>
    <row r="376">
      <c r="E376" s="493"/>
      <c r="H376" s="493"/>
    </row>
    <row r="377">
      <c r="E377" s="493"/>
      <c r="H377" s="493"/>
    </row>
    <row r="378">
      <c r="E378" s="493"/>
      <c r="H378" s="493"/>
    </row>
    <row r="379">
      <c r="E379" s="493"/>
      <c r="H379" s="493"/>
    </row>
    <row r="380">
      <c r="E380" s="493"/>
      <c r="H380" s="493"/>
    </row>
    <row r="381">
      <c r="E381" s="493"/>
      <c r="H381" s="493"/>
    </row>
    <row r="382">
      <c r="E382" s="493"/>
      <c r="H382" s="493"/>
    </row>
    <row r="383">
      <c r="E383" s="493"/>
      <c r="H383" s="493"/>
    </row>
    <row r="384">
      <c r="E384" s="493"/>
      <c r="H384" s="493"/>
    </row>
    <row r="385">
      <c r="E385" s="493"/>
      <c r="H385" s="493"/>
    </row>
    <row r="386">
      <c r="E386" s="493"/>
      <c r="H386" s="493"/>
    </row>
    <row r="387">
      <c r="E387" s="493"/>
      <c r="H387" s="493"/>
    </row>
    <row r="388">
      <c r="E388" s="493"/>
      <c r="H388" s="493"/>
    </row>
    <row r="389">
      <c r="E389" s="493"/>
      <c r="H389" s="493"/>
    </row>
    <row r="390">
      <c r="E390" s="493"/>
      <c r="H390" s="493"/>
    </row>
    <row r="391">
      <c r="E391" s="493"/>
      <c r="H391" s="493"/>
    </row>
    <row r="392">
      <c r="E392" s="493"/>
      <c r="H392" s="493"/>
    </row>
    <row r="393">
      <c r="E393" s="493"/>
      <c r="H393" s="493"/>
    </row>
    <row r="394">
      <c r="E394" s="493"/>
      <c r="H394" s="493"/>
    </row>
    <row r="395">
      <c r="E395" s="493"/>
      <c r="H395" s="493"/>
    </row>
    <row r="396">
      <c r="E396" s="493"/>
      <c r="H396" s="493"/>
    </row>
    <row r="397">
      <c r="E397" s="493"/>
      <c r="H397" s="493"/>
    </row>
    <row r="398">
      <c r="E398" s="493"/>
      <c r="H398" s="493"/>
    </row>
    <row r="399">
      <c r="E399" s="493"/>
      <c r="H399" s="493"/>
    </row>
    <row r="400">
      <c r="E400" s="493"/>
      <c r="H400" s="493"/>
    </row>
    <row r="401">
      <c r="E401" s="493"/>
      <c r="H401" s="493"/>
    </row>
    <row r="402">
      <c r="E402" s="493"/>
      <c r="H402" s="493"/>
    </row>
    <row r="403">
      <c r="E403" s="493"/>
      <c r="H403" s="493"/>
    </row>
    <row r="404">
      <c r="E404" s="493"/>
      <c r="H404" s="493"/>
    </row>
    <row r="405">
      <c r="E405" s="493"/>
      <c r="H405" s="493"/>
    </row>
    <row r="406">
      <c r="E406" s="493"/>
      <c r="H406" s="493"/>
    </row>
    <row r="407">
      <c r="E407" s="493"/>
      <c r="H407" s="493"/>
    </row>
    <row r="408">
      <c r="E408" s="493"/>
      <c r="H408" s="493"/>
    </row>
    <row r="409">
      <c r="E409" s="493"/>
      <c r="H409" s="493"/>
    </row>
    <row r="410">
      <c r="E410" s="493"/>
      <c r="H410" s="493"/>
    </row>
    <row r="411">
      <c r="E411" s="493"/>
      <c r="H411" s="493"/>
    </row>
    <row r="412">
      <c r="E412" s="493"/>
      <c r="H412" s="493"/>
    </row>
    <row r="413">
      <c r="E413" s="493"/>
      <c r="H413" s="493"/>
    </row>
    <row r="414">
      <c r="E414" s="493"/>
      <c r="H414" s="493"/>
    </row>
    <row r="415">
      <c r="E415" s="493"/>
      <c r="H415" s="493"/>
    </row>
    <row r="416">
      <c r="E416" s="493"/>
      <c r="H416" s="493"/>
    </row>
    <row r="417">
      <c r="E417" s="493"/>
      <c r="H417" s="493"/>
    </row>
    <row r="418">
      <c r="E418" s="493"/>
      <c r="H418" s="493"/>
    </row>
    <row r="419">
      <c r="E419" s="493"/>
      <c r="H419" s="493"/>
    </row>
    <row r="420">
      <c r="E420" s="493"/>
      <c r="H420" s="493"/>
    </row>
    <row r="421">
      <c r="E421" s="493"/>
      <c r="H421" s="493"/>
    </row>
    <row r="422">
      <c r="E422" s="493"/>
      <c r="H422" s="493"/>
    </row>
    <row r="423">
      <c r="E423" s="493"/>
      <c r="H423" s="493"/>
    </row>
    <row r="424">
      <c r="E424" s="493"/>
      <c r="H424" s="493"/>
    </row>
    <row r="425">
      <c r="E425" s="493"/>
      <c r="H425" s="493"/>
    </row>
    <row r="426">
      <c r="E426" s="493"/>
      <c r="H426" s="493"/>
    </row>
    <row r="427">
      <c r="E427" s="493"/>
      <c r="H427" s="493"/>
    </row>
    <row r="428">
      <c r="E428" s="493"/>
      <c r="H428" s="493"/>
    </row>
    <row r="429">
      <c r="E429" s="493"/>
      <c r="H429" s="493"/>
    </row>
    <row r="430">
      <c r="E430" s="493"/>
      <c r="H430" s="493"/>
    </row>
    <row r="431">
      <c r="E431" s="493"/>
      <c r="H431" s="493"/>
    </row>
    <row r="432">
      <c r="E432" s="493"/>
      <c r="H432" s="493"/>
    </row>
    <row r="433">
      <c r="E433" s="493"/>
      <c r="H433" s="493"/>
    </row>
    <row r="434">
      <c r="E434" s="493"/>
      <c r="H434" s="493"/>
    </row>
    <row r="435">
      <c r="E435" s="493"/>
      <c r="H435" s="493"/>
    </row>
    <row r="436">
      <c r="E436" s="493"/>
      <c r="H436" s="493"/>
    </row>
    <row r="437">
      <c r="E437" s="493"/>
      <c r="H437" s="493"/>
    </row>
    <row r="438">
      <c r="E438" s="493"/>
      <c r="H438" s="493"/>
    </row>
    <row r="439">
      <c r="E439" s="493"/>
      <c r="H439" s="493"/>
    </row>
    <row r="440">
      <c r="E440" s="493"/>
      <c r="H440" s="493"/>
    </row>
    <row r="441">
      <c r="E441" s="493"/>
      <c r="H441" s="493"/>
    </row>
    <row r="442">
      <c r="E442" s="493"/>
      <c r="H442" s="493"/>
    </row>
    <row r="443">
      <c r="E443" s="493"/>
      <c r="H443" s="493"/>
    </row>
    <row r="444">
      <c r="E444" s="493"/>
      <c r="H444" s="493"/>
    </row>
    <row r="445">
      <c r="E445" s="493"/>
      <c r="H445" s="493"/>
    </row>
    <row r="446">
      <c r="E446" s="493"/>
      <c r="H446" s="493"/>
    </row>
    <row r="447">
      <c r="E447" s="493"/>
      <c r="H447" s="493"/>
    </row>
    <row r="448">
      <c r="E448" s="493"/>
      <c r="H448" s="493"/>
    </row>
    <row r="449">
      <c r="E449" s="493"/>
      <c r="H449" s="493"/>
    </row>
    <row r="450">
      <c r="E450" s="493"/>
      <c r="H450" s="493"/>
    </row>
    <row r="451">
      <c r="E451" s="493"/>
      <c r="H451" s="493"/>
    </row>
    <row r="452">
      <c r="E452" s="493"/>
      <c r="H452" s="493"/>
    </row>
    <row r="453">
      <c r="E453" s="493"/>
      <c r="H453" s="493"/>
    </row>
    <row r="454">
      <c r="E454" s="493"/>
      <c r="H454" s="493"/>
    </row>
    <row r="455">
      <c r="E455" s="493"/>
      <c r="H455" s="493"/>
    </row>
    <row r="456">
      <c r="E456" s="493"/>
      <c r="H456" s="493"/>
    </row>
    <row r="457">
      <c r="E457" s="493"/>
      <c r="H457" s="493"/>
    </row>
    <row r="458">
      <c r="E458" s="493"/>
      <c r="H458" s="493"/>
    </row>
    <row r="459">
      <c r="E459" s="493"/>
      <c r="H459" s="493"/>
    </row>
    <row r="460">
      <c r="E460" s="493"/>
      <c r="H460" s="493"/>
    </row>
    <row r="461">
      <c r="E461" s="493"/>
      <c r="H461" s="493"/>
    </row>
    <row r="462">
      <c r="E462" s="493"/>
      <c r="H462" s="493"/>
    </row>
    <row r="463">
      <c r="E463" s="493"/>
      <c r="H463" s="493"/>
    </row>
    <row r="464">
      <c r="E464" s="493"/>
      <c r="H464" s="493"/>
    </row>
    <row r="465">
      <c r="E465" s="493"/>
      <c r="H465" s="493"/>
    </row>
    <row r="466">
      <c r="E466" s="493"/>
      <c r="H466" s="493"/>
    </row>
    <row r="467">
      <c r="E467" s="493"/>
      <c r="H467" s="493"/>
    </row>
    <row r="468">
      <c r="E468" s="493"/>
      <c r="H468" s="493"/>
    </row>
    <row r="469">
      <c r="E469" s="493"/>
      <c r="H469" s="493"/>
    </row>
    <row r="470">
      <c r="E470" s="493"/>
      <c r="H470" s="493"/>
    </row>
    <row r="471">
      <c r="E471" s="493"/>
      <c r="H471" s="493"/>
    </row>
    <row r="472">
      <c r="E472" s="493"/>
      <c r="H472" s="493"/>
    </row>
    <row r="473">
      <c r="E473" s="493"/>
      <c r="H473" s="493"/>
    </row>
    <row r="474">
      <c r="E474" s="493"/>
      <c r="H474" s="493"/>
    </row>
    <row r="475">
      <c r="E475" s="493"/>
      <c r="H475" s="493"/>
    </row>
    <row r="476">
      <c r="E476" s="493"/>
      <c r="H476" s="493"/>
    </row>
    <row r="477">
      <c r="E477" s="493"/>
      <c r="H477" s="493"/>
    </row>
    <row r="478">
      <c r="E478" s="493"/>
      <c r="H478" s="493"/>
    </row>
    <row r="479">
      <c r="E479" s="493"/>
      <c r="H479" s="493"/>
    </row>
    <row r="480">
      <c r="E480" s="493"/>
      <c r="H480" s="493"/>
    </row>
    <row r="481">
      <c r="E481" s="493"/>
      <c r="H481" s="493"/>
    </row>
    <row r="482">
      <c r="E482" s="493"/>
      <c r="H482" s="493"/>
    </row>
    <row r="483">
      <c r="E483" s="493"/>
      <c r="H483" s="493"/>
    </row>
    <row r="484">
      <c r="E484" s="493"/>
      <c r="H484" s="493"/>
    </row>
    <row r="485">
      <c r="E485" s="493"/>
      <c r="H485" s="493"/>
    </row>
    <row r="486">
      <c r="E486" s="493"/>
      <c r="H486" s="493"/>
    </row>
    <row r="487">
      <c r="E487" s="493"/>
      <c r="H487" s="493"/>
    </row>
    <row r="488">
      <c r="E488" s="493"/>
      <c r="H488" s="493"/>
    </row>
    <row r="489">
      <c r="E489" s="493"/>
      <c r="H489" s="493"/>
    </row>
    <row r="490">
      <c r="E490" s="493"/>
      <c r="H490" s="493"/>
    </row>
    <row r="491">
      <c r="E491" s="493"/>
      <c r="H491" s="493"/>
    </row>
    <row r="492">
      <c r="E492" s="493"/>
      <c r="H492" s="493"/>
    </row>
    <row r="493">
      <c r="E493" s="493"/>
      <c r="H493" s="493"/>
    </row>
    <row r="494">
      <c r="E494" s="493"/>
      <c r="H494" s="493"/>
    </row>
    <row r="495">
      <c r="E495" s="493"/>
      <c r="H495" s="493"/>
    </row>
    <row r="496">
      <c r="E496" s="493"/>
      <c r="H496" s="493"/>
    </row>
    <row r="497">
      <c r="E497" s="493"/>
      <c r="H497" s="493"/>
    </row>
    <row r="498">
      <c r="E498" s="493"/>
      <c r="H498" s="493"/>
    </row>
    <row r="499">
      <c r="E499" s="493"/>
      <c r="H499" s="493"/>
    </row>
    <row r="500">
      <c r="E500" s="493"/>
      <c r="H500" s="493"/>
    </row>
    <row r="501">
      <c r="E501" s="493"/>
      <c r="H501" s="493"/>
    </row>
    <row r="502">
      <c r="E502" s="493"/>
      <c r="H502" s="493"/>
    </row>
    <row r="503">
      <c r="E503" s="493"/>
      <c r="H503" s="493"/>
    </row>
    <row r="504">
      <c r="E504" s="493"/>
      <c r="H504" s="493"/>
    </row>
    <row r="505">
      <c r="E505" s="493"/>
      <c r="H505" s="493"/>
    </row>
    <row r="506">
      <c r="E506" s="493"/>
      <c r="H506" s="493"/>
    </row>
    <row r="507">
      <c r="E507" s="493"/>
      <c r="H507" s="493"/>
    </row>
    <row r="508">
      <c r="E508" s="493"/>
      <c r="H508" s="493"/>
    </row>
    <row r="509">
      <c r="E509" s="493"/>
      <c r="H509" s="493"/>
    </row>
    <row r="510">
      <c r="E510" s="493"/>
      <c r="H510" s="493"/>
    </row>
    <row r="511">
      <c r="E511" s="493"/>
      <c r="H511" s="493"/>
    </row>
    <row r="512">
      <c r="E512" s="493"/>
      <c r="H512" s="493"/>
    </row>
    <row r="513">
      <c r="E513" s="493"/>
      <c r="H513" s="493"/>
    </row>
    <row r="514">
      <c r="E514" s="493"/>
      <c r="H514" s="493"/>
    </row>
    <row r="515">
      <c r="E515" s="493"/>
      <c r="H515" s="493"/>
    </row>
    <row r="516">
      <c r="E516" s="493"/>
      <c r="H516" s="493"/>
    </row>
    <row r="517">
      <c r="E517" s="493"/>
      <c r="H517" s="493"/>
    </row>
    <row r="518">
      <c r="E518" s="493"/>
      <c r="H518" s="493"/>
    </row>
    <row r="519">
      <c r="E519" s="493"/>
      <c r="H519" s="493"/>
    </row>
    <row r="520">
      <c r="E520" s="493"/>
      <c r="H520" s="493"/>
    </row>
    <row r="521">
      <c r="E521" s="493"/>
      <c r="H521" s="493"/>
    </row>
    <row r="522">
      <c r="E522" s="493"/>
      <c r="H522" s="493"/>
    </row>
    <row r="523">
      <c r="E523" s="493"/>
      <c r="H523" s="493"/>
    </row>
    <row r="524">
      <c r="E524" s="493"/>
      <c r="H524" s="493"/>
    </row>
    <row r="525">
      <c r="E525" s="493"/>
      <c r="H525" s="493"/>
    </row>
    <row r="526">
      <c r="E526" s="493"/>
      <c r="H526" s="493"/>
    </row>
    <row r="527">
      <c r="E527" s="493"/>
      <c r="H527" s="493"/>
    </row>
    <row r="528">
      <c r="E528" s="493"/>
      <c r="H528" s="493"/>
    </row>
    <row r="529">
      <c r="E529" s="493"/>
      <c r="H529" s="493"/>
    </row>
    <row r="530">
      <c r="E530" s="493"/>
      <c r="H530" s="493"/>
    </row>
    <row r="531">
      <c r="E531" s="493"/>
      <c r="H531" s="493"/>
    </row>
    <row r="532">
      <c r="E532" s="493"/>
      <c r="H532" s="493"/>
    </row>
    <row r="533">
      <c r="E533" s="493"/>
      <c r="H533" s="493"/>
    </row>
    <row r="534">
      <c r="E534" s="493"/>
      <c r="H534" s="493"/>
    </row>
    <row r="535">
      <c r="E535" s="493"/>
      <c r="H535" s="493"/>
    </row>
    <row r="536">
      <c r="E536" s="493"/>
      <c r="H536" s="493"/>
    </row>
    <row r="537">
      <c r="E537" s="493"/>
      <c r="H537" s="493"/>
    </row>
    <row r="538">
      <c r="E538" s="493"/>
      <c r="H538" s="493"/>
    </row>
    <row r="539">
      <c r="E539" s="493"/>
      <c r="H539" s="493"/>
    </row>
    <row r="540">
      <c r="E540" s="493"/>
      <c r="H540" s="493"/>
    </row>
    <row r="541">
      <c r="E541" s="493"/>
      <c r="H541" s="493"/>
    </row>
    <row r="542">
      <c r="E542" s="493"/>
      <c r="H542" s="493"/>
    </row>
    <row r="543">
      <c r="E543" s="493"/>
      <c r="H543" s="493"/>
    </row>
    <row r="544">
      <c r="E544" s="493"/>
      <c r="H544" s="493"/>
    </row>
    <row r="545">
      <c r="E545" s="493"/>
      <c r="H545" s="493"/>
    </row>
    <row r="546">
      <c r="E546" s="493"/>
      <c r="H546" s="493"/>
    </row>
    <row r="547">
      <c r="E547" s="493"/>
      <c r="H547" s="493"/>
    </row>
    <row r="548">
      <c r="E548" s="493"/>
      <c r="H548" s="493"/>
    </row>
    <row r="549">
      <c r="E549" s="493"/>
      <c r="H549" s="493"/>
    </row>
    <row r="550">
      <c r="E550" s="493"/>
      <c r="H550" s="493"/>
    </row>
    <row r="551">
      <c r="E551" s="493"/>
      <c r="H551" s="493"/>
    </row>
    <row r="552">
      <c r="E552" s="493"/>
      <c r="H552" s="493"/>
    </row>
    <row r="553">
      <c r="E553" s="493"/>
      <c r="H553" s="493"/>
    </row>
    <row r="554">
      <c r="E554" s="493"/>
      <c r="H554" s="493"/>
    </row>
    <row r="555">
      <c r="E555" s="493"/>
      <c r="H555" s="493"/>
    </row>
    <row r="556">
      <c r="E556" s="493"/>
      <c r="H556" s="493"/>
    </row>
    <row r="557">
      <c r="E557" s="493"/>
      <c r="H557" s="493"/>
    </row>
    <row r="558">
      <c r="E558" s="493"/>
      <c r="H558" s="493"/>
    </row>
    <row r="559">
      <c r="E559" s="493"/>
      <c r="H559" s="493"/>
    </row>
    <row r="560">
      <c r="E560" s="493"/>
      <c r="H560" s="493"/>
    </row>
    <row r="561">
      <c r="E561" s="493"/>
      <c r="H561" s="493"/>
    </row>
    <row r="562">
      <c r="E562" s="493"/>
      <c r="H562" s="493"/>
    </row>
    <row r="563">
      <c r="E563" s="493"/>
      <c r="H563" s="493"/>
    </row>
    <row r="564">
      <c r="E564" s="493"/>
      <c r="H564" s="493"/>
    </row>
    <row r="565">
      <c r="E565" s="493"/>
      <c r="H565" s="493"/>
    </row>
    <row r="566">
      <c r="E566" s="493"/>
      <c r="H566" s="493"/>
    </row>
    <row r="567">
      <c r="E567" s="493"/>
      <c r="H567" s="493"/>
    </row>
    <row r="568">
      <c r="E568" s="493"/>
      <c r="H568" s="493"/>
    </row>
    <row r="569">
      <c r="E569" s="493"/>
      <c r="H569" s="493"/>
    </row>
    <row r="570">
      <c r="E570" s="493"/>
      <c r="H570" s="493"/>
    </row>
    <row r="571">
      <c r="E571" s="493"/>
      <c r="H571" s="493"/>
    </row>
    <row r="572">
      <c r="E572" s="493"/>
      <c r="H572" s="493"/>
    </row>
    <row r="573">
      <c r="E573" s="493"/>
      <c r="H573" s="493"/>
    </row>
    <row r="574">
      <c r="E574" s="493"/>
      <c r="H574" s="493"/>
    </row>
    <row r="575">
      <c r="E575" s="493"/>
      <c r="H575" s="493"/>
    </row>
    <row r="576">
      <c r="E576" s="493"/>
      <c r="H576" s="493"/>
    </row>
    <row r="577">
      <c r="E577" s="493"/>
      <c r="H577" s="493"/>
    </row>
    <row r="578">
      <c r="E578" s="493"/>
      <c r="H578" s="493"/>
    </row>
    <row r="579">
      <c r="E579" s="493"/>
      <c r="H579" s="493"/>
    </row>
    <row r="580">
      <c r="E580" s="493"/>
      <c r="H580" s="493"/>
    </row>
    <row r="581">
      <c r="E581" s="493"/>
      <c r="H581" s="493"/>
    </row>
    <row r="582">
      <c r="E582" s="493"/>
      <c r="H582" s="493"/>
    </row>
    <row r="583">
      <c r="E583" s="493"/>
      <c r="H583" s="493"/>
    </row>
    <row r="584">
      <c r="E584" s="493"/>
      <c r="H584" s="493"/>
    </row>
    <row r="585">
      <c r="E585" s="493"/>
      <c r="H585" s="493"/>
    </row>
    <row r="586">
      <c r="E586" s="493"/>
      <c r="H586" s="493"/>
    </row>
    <row r="587">
      <c r="E587" s="493"/>
      <c r="H587" s="493"/>
    </row>
    <row r="588">
      <c r="E588" s="493"/>
      <c r="H588" s="493"/>
    </row>
    <row r="589">
      <c r="E589" s="493"/>
      <c r="H589" s="493"/>
    </row>
    <row r="590">
      <c r="E590" s="493"/>
      <c r="H590" s="493"/>
    </row>
    <row r="591">
      <c r="E591" s="493"/>
      <c r="H591" s="493"/>
    </row>
    <row r="592">
      <c r="E592" s="493"/>
      <c r="H592" s="493"/>
    </row>
    <row r="593">
      <c r="E593" s="493"/>
      <c r="H593" s="493"/>
    </row>
    <row r="594">
      <c r="E594" s="493"/>
      <c r="H594" s="493"/>
    </row>
    <row r="595">
      <c r="E595" s="493"/>
      <c r="H595" s="493"/>
    </row>
    <row r="596">
      <c r="E596" s="493"/>
      <c r="H596" s="493"/>
    </row>
    <row r="597">
      <c r="E597" s="493"/>
      <c r="H597" s="493"/>
    </row>
    <row r="598">
      <c r="E598" s="493"/>
      <c r="H598" s="493"/>
    </row>
    <row r="599">
      <c r="E599" s="493"/>
      <c r="H599" s="493"/>
    </row>
    <row r="600">
      <c r="E600" s="493"/>
      <c r="H600" s="493"/>
    </row>
    <row r="601">
      <c r="E601" s="493"/>
      <c r="H601" s="493"/>
    </row>
    <row r="602">
      <c r="E602" s="493"/>
      <c r="H602" s="493"/>
    </row>
    <row r="603">
      <c r="E603" s="493"/>
      <c r="H603" s="493"/>
    </row>
    <row r="604">
      <c r="E604" s="493"/>
      <c r="H604" s="493"/>
    </row>
    <row r="605">
      <c r="E605" s="493"/>
      <c r="H605" s="493"/>
    </row>
    <row r="606">
      <c r="E606" s="493"/>
      <c r="H606" s="493"/>
    </row>
    <row r="607">
      <c r="E607" s="493"/>
      <c r="H607" s="493"/>
    </row>
    <row r="608">
      <c r="E608" s="493"/>
      <c r="H608" s="493"/>
    </row>
    <row r="609">
      <c r="E609" s="493"/>
      <c r="H609" s="493"/>
    </row>
    <row r="610">
      <c r="E610" s="493"/>
      <c r="H610" s="493"/>
    </row>
    <row r="611">
      <c r="E611" s="493"/>
      <c r="H611" s="493"/>
    </row>
    <row r="612">
      <c r="E612" s="493"/>
      <c r="H612" s="493"/>
    </row>
    <row r="613">
      <c r="E613" s="493"/>
      <c r="H613" s="493"/>
    </row>
    <row r="614">
      <c r="E614" s="493"/>
      <c r="H614" s="493"/>
    </row>
    <row r="615">
      <c r="E615" s="493"/>
      <c r="H615" s="493"/>
    </row>
    <row r="616">
      <c r="E616" s="493"/>
      <c r="H616" s="493"/>
    </row>
    <row r="617">
      <c r="E617" s="493"/>
      <c r="H617" s="493"/>
    </row>
    <row r="618">
      <c r="E618" s="493"/>
      <c r="H618" s="493"/>
    </row>
    <row r="619">
      <c r="E619" s="493"/>
      <c r="H619" s="493"/>
    </row>
    <row r="620">
      <c r="E620" s="493"/>
      <c r="H620" s="493"/>
    </row>
    <row r="621">
      <c r="E621" s="493"/>
      <c r="H621" s="493"/>
    </row>
    <row r="622">
      <c r="E622" s="493"/>
      <c r="H622" s="493"/>
    </row>
    <row r="623">
      <c r="E623" s="493"/>
      <c r="H623" s="493"/>
    </row>
    <row r="624">
      <c r="E624" s="493"/>
      <c r="H624" s="493"/>
    </row>
    <row r="625">
      <c r="E625" s="493"/>
      <c r="H625" s="493"/>
    </row>
    <row r="626">
      <c r="E626" s="493"/>
      <c r="H626" s="493"/>
    </row>
    <row r="627">
      <c r="E627" s="493"/>
      <c r="H627" s="493"/>
    </row>
    <row r="628">
      <c r="E628" s="493"/>
      <c r="H628" s="493"/>
    </row>
    <row r="629">
      <c r="E629" s="493"/>
      <c r="H629" s="493"/>
    </row>
    <row r="630">
      <c r="E630" s="493"/>
      <c r="H630" s="493"/>
    </row>
    <row r="631">
      <c r="E631" s="493"/>
      <c r="H631" s="493"/>
    </row>
    <row r="632">
      <c r="E632" s="493"/>
      <c r="H632" s="493"/>
    </row>
    <row r="633">
      <c r="E633" s="493"/>
      <c r="H633" s="493"/>
    </row>
    <row r="634">
      <c r="E634" s="493"/>
      <c r="H634" s="493"/>
    </row>
    <row r="635">
      <c r="E635" s="493"/>
      <c r="H635" s="493"/>
    </row>
    <row r="636">
      <c r="E636" s="493"/>
      <c r="H636" s="493"/>
    </row>
    <row r="637">
      <c r="E637" s="493"/>
      <c r="H637" s="493"/>
    </row>
    <row r="638">
      <c r="E638" s="493"/>
      <c r="H638" s="493"/>
    </row>
    <row r="639">
      <c r="E639" s="493"/>
      <c r="H639" s="493"/>
    </row>
    <row r="640">
      <c r="E640" s="493"/>
      <c r="H640" s="493"/>
    </row>
    <row r="641">
      <c r="E641" s="493"/>
      <c r="H641" s="493"/>
    </row>
    <row r="642">
      <c r="E642" s="493"/>
      <c r="H642" s="493"/>
    </row>
    <row r="643">
      <c r="E643" s="493"/>
      <c r="H643" s="493"/>
    </row>
    <row r="644">
      <c r="E644" s="493"/>
      <c r="H644" s="493"/>
    </row>
    <row r="645">
      <c r="E645" s="493"/>
      <c r="H645" s="493"/>
    </row>
    <row r="646">
      <c r="E646" s="493"/>
      <c r="H646" s="493"/>
    </row>
    <row r="647">
      <c r="E647" s="493"/>
      <c r="H647" s="493"/>
    </row>
    <row r="648">
      <c r="E648" s="493"/>
      <c r="H648" s="493"/>
    </row>
    <row r="649">
      <c r="E649" s="493"/>
      <c r="H649" s="493"/>
    </row>
    <row r="650">
      <c r="E650" s="493"/>
      <c r="H650" s="493"/>
    </row>
    <row r="651">
      <c r="E651" s="493"/>
      <c r="H651" s="493"/>
    </row>
    <row r="652">
      <c r="E652" s="493"/>
      <c r="H652" s="493"/>
    </row>
    <row r="653">
      <c r="E653" s="493"/>
      <c r="H653" s="493"/>
    </row>
    <row r="654">
      <c r="E654" s="493"/>
      <c r="H654" s="493"/>
    </row>
    <row r="655">
      <c r="E655" s="493"/>
      <c r="H655" s="493"/>
    </row>
    <row r="656">
      <c r="E656" s="493"/>
      <c r="H656" s="493"/>
    </row>
    <row r="657">
      <c r="E657" s="493"/>
      <c r="H657" s="493"/>
    </row>
    <row r="658">
      <c r="E658" s="493"/>
      <c r="H658" s="493"/>
    </row>
    <row r="659">
      <c r="E659" s="493"/>
      <c r="H659" s="493"/>
    </row>
    <row r="660">
      <c r="E660" s="493"/>
      <c r="H660" s="493"/>
    </row>
    <row r="661">
      <c r="E661" s="493"/>
      <c r="H661" s="493"/>
    </row>
    <row r="662">
      <c r="E662" s="493"/>
      <c r="H662" s="493"/>
    </row>
    <row r="663">
      <c r="E663" s="493"/>
      <c r="H663" s="493"/>
    </row>
    <row r="664">
      <c r="E664" s="493"/>
      <c r="H664" s="493"/>
    </row>
    <row r="665">
      <c r="E665" s="493"/>
      <c r="H665" s="493"/>
    </row>
    <row r="666">
      <c r="E666" s="493"/>
      <c r="H666" s="493"/>
    </row>
    <row r="667">
      <c r="E667" s="493"/>
      <c r="H667" s="493"/>
    </row>
    <row r="668">
      <c r="E668" s="493"/>
      <c r="H668" s="493"/>
    </row>
    <row r="669">
      <c r="E669" s="493"/>
      <c r="H669" s="493"/>
    </row>
    <row r="670">
      <c r="E670" s="493"/>
      <c r="H670" s="493"/>
    </row>
    <row r="671">
      <c r="E671" s="493"/>
      <c r="H671" s="493"/>
    </row>
    <row r="672">
      <c r="E672" s="493"/>
      <c r="H672" s="493"/>
    </row>
    <row r="673">
      <c r="E673" s="493"/>
      <c r="H673" s="493"/>
    </row>
    <row r="674">
      <c r="E674" s="493"/>
      <c r="H674" s="493"/>
    </row>
    <row r="675">
      <c r="E675" s="493"/>
      <c r="H675" s="493"/>
    </row>
    <row r="676">
      <c r="E676" s="493"/>
      <c r="H676" s="493"/>
    </row>
    <row r="677">
      <c r="E677" s="493"/>
      <c r="H677" s="493"/>
    </row>
    <row r="678">
      <c r="E678" s="493"/>
      <c r="H678" s="493"/>
    </row>
    <row r="679">
      <c r="E679" s="493"/>
      <c r="H679" s="493"/>
    </row>
    <row r="680">
      <c r="E680" s="493"/>
      <c r="H680" s="493"/>
    </row>
    <row r="681">
      <c r="E681" s="493"/>
      <c r="H681" s="493"/>
    </row>
    <row r="682">
      <c r="E682" s="493"/>
      <c r="H682" s="493"/>
    </row>
    <row r="683">
      <c r="E683" s="493"/>
      <c r="H683" s="493"/>
    </row>
    <row r="684">
      <c r="E684" s="493"/>
      <c r="H684" s="493"/>
    </row>
    <row r="685">
      <c r="E685" s="493"/>
      <c r="H685" s="493"/>
    </row>
    <row r="686">
      <c r="E686" s="493"/>
      <c r="H686" s="493"/>
    </row>
    <row r="687">
      <c r="E687" s="493"/>
      <c r="H687" s="493"/>
    </row>
    <row r="688">
      <c r="E688" s="493"/>
      <c r="H688" s="493"/>
    </row>
    <row r="689">
      <c r="E689" s="493"/>
      <c r="H689" s="493"/>
    </row>
    <row r="690">
      <c r="E690" s="493"/>
      <c r="H690" s="493"/>
    </row>
    <row r="691">
      <c r="E691" s="493"/>
      <c r="H691" s="493"/>
    </row>
    <row r="692">
      <c r="E692" s="493"/>
      <c r="H692" s="493"/>
    </row>
    <row r="693">
      <c r="E693" s="493"/>
      <c r="H693" s="493"/>
    </row>
    <row r="694">
      <c r="E694" s="493"/>
      <c r="H694" s="493"/>
    </row>
    <row r="695">
      <c r="E695" s="493"/>
      <c r="H695" s="493"/>
    </row>
    <row r="696">
      <c r="E696" s="493"/>
      <c r="H696" s="493"/>
    </row>
    <row r="697">
      <c r="E697" s="493"/>
      <c r="H697" s="493"/>
    </row>
    <row r="698">
      <c r="E698" s="493"/>
      <c r="H698" s="493"/>
    </row>
    <row r="699">
      <c r="E699" s="493"/>
      <c r="H699" s="493"/>
    </row>
    <row r="700">
      <c r="E700" s="493"/>
      <c r="H700" s="493"/>
    </row>
    <row r="701">
      <c r="E701" s="493"/>
      <c r="H701" s="493"/>
    </row>
    <row r="702">
      <c r="E702" s="493"/>
      <c r="H702" s="493"/>
    </row>
    <row r="703">
      <c r="E703" s="493"/>
      <c r="H703" s="493"/>
    </row>
    <row r="704">
      <c r="E704" s="493"/>
      <c r="H704" s="493"/>
    </row>
    <row r="705">
      <c r="E705" s="493"/>
      <c r="H705" s="493"/>
    </row>
    <row r="706">
      <c r="E706" s="493"/>
      <c r="H706" s="493"/>
    </row>
    <row r="707">
      <c r="E707" s="493"/>
      <c r="H707" s="493"/>
    </row>
    <row r="708">
      <c r="E708" s="493"/>
      <c r="H708" s="493"/>
    </row>
    <row r="709">
      <c r="E709" s="493"/>
      <c r="H709" s="493"/>
    </row>
    <row r="710">
      <c r="E710" s="493"/>
      <c r="H710" s="493"/>
    </row>
    <row r="711">
      <c r="E711" s="493"/>
      <c r="H711" s="493"/>
    </row>
    <row r="712">
      <c r="E712" s="493"/>
      <c r="H712" s="493"/>
    </row>
    <row r="713">
      <c r="E713" s="493"/>
      <c r="H713" s="493"/>
    </row>
    <row r="714">
      <c r="E714" s="493"/>
      <c r="H714" s="493"/>
    </row>
    <row r="715">
      <c r="E715" s="493"/>
      <c r="H715" s="493"/>
    </row>
    <row r="716">
      <c r="E716" s="493"/>
      <c r="H716" s="493"/>
    </row>
    <row r="717">
      <c r="E717" s="493"/>
      <c r="H717" s="493"/>
    </row>
    <row r="718">
      <c r="E718" s="493"/>
      <c r="H718" s="493"/>
    </row>
    <row r="719">
      <c r="E719" s="493"/>
      <c r="H719" s="493"/>
    </row>
    <row r="720">
      <c r="E720" s="493"/>
      <c r="H720" s="493"/>
    </row>
    <row r="721">
      <c r="E721" s="493"/>
      <c r="H721" s="493"/>
    </row>
    <row r="722">
      <c r="E722" s="493"/>
      <c r="H722" s="493"/>
    </row>
    <row r="723">
      <c r="E723" s="493"/>
      <c r="H723" s="493"/>
    </row>
    <row r="724">
      <c r="E724" s="493"/>
      <c r="H724" s="493"/>
    </row>
    <row r="725">
      <c r="E725" s="493"/>
      <c r="H725" s="493"/>
    </row>
    <row r="726">
      <c r="E726" s="493"/>
      <c r="H726" s="493"/>
    </row>
    <row r="727">
      <c r="E727" s="493"/>
      <c r="H727" s="493"/>
    </row>
    <row r="728">
      <c r="E728" s="493"/>
      <c r="H728" s="493"/>
    </row>
    <row r="729">
      <c r="E729" s="493"/>
      <c r="H729" s="493"/>
    </row>
    <row r="730">
      <c r="E730" s="493"/>
      <c r="H730" s="493"/>
    </row>
    <row r="731">
      <c r="E731" s="493"/>
      <c r="H731" s="493"/>
    </row>
    <row r="732">
      <c r="E732" s="493"/>
      <c r="H732" s="493"/>
    </row>
    <row r="733">
      <c r="E733" s="493"/>
      <c r="H733" s="493"/>
    </row>
    <row r="734">
      <c r="E734" s="493"/>
      <c r="H734" s="493"/>
    </row>
    <row r="735">
      <c r="E735" s="493"/>
      <c r="H735" s="493"/>
    </row>
    <row r="736">
      <c r="E736" s="493"/>
      <c r="H736" s="493"/>
    </row>
    <row r="737">
      <c r="E737" s="493"/>
      <c r="H737" s="493"/>
    </row>
    <row r="738">
      <c r="E738" s="493"/>
      <c r="H738" s="493"/>
    </row>
    <row r="739">
      <c r="E739" s="493"/>
      <c r="H739" s="493"/>
    </row>
    <row r="740">
      <c r="E740" s="493"/>
      <c r="H740" s="493"/>
    </row>
    <row r="741">
      <c r="E741" s="493"/>
      <c r="H741" s="493"/>
    </row>
    <row r="742">
      <c r="E742" s="493"/>
      <c r="H742" s="493"/>
    </row>
    <row r="743">
      <c r="E743" s="493"/>
      <c r="H743" s="493"/>
    </row>
    <row r="744">
      <c r="E744" s="493"/>
      <c r="H744" s="493"/>
    </row>
    <row r="745">
      <c r="E745" s="493"/>
      <c r="H745" s="493"/>
    </row>
    <row r="746">
      <c r="E746" s="493"/>
      <c r="H746" s="493"/>
    </row>
    <row r="747">
      <c r="E747" s="493"/>
      <c r="H747" s="493"/>
    </row>
    <row r="748">
      <c r="E748" s="493"/>
      <c r="H748" s="493"/>
    </row>
    <row r="749">
      <c r="E749" s="493"/>
      <c r="H749" s="493"/>
    </row>
    <row r="750">
      <c r="E750" s="493"/>
      <c r="H750" s="493"/>
    </row>
    <row r="751">
      <c r="E751" s="493"/>
      <c r="H751" s="493"/>
    </row>
    <row r="752">
      <c r="E752" s="493"/>
      <c r="H752" s="493"/>
    </row>
    <row r="753">
      <c r="E753" s="493"/>
      <c r="H753" s="493"/>
    </row>
    <row r="754">
      <c r="E754" s="493"/>
      <c r="H754" s="493"/>
    </row>
    <row r="755">
      <c r="E755" s="493"/>
      <c r="H755" s="493"/>
    </row>
    <row r="756">
      <c r="E756" s="493"/>
      <c r="H756" s="493"/>
    </row>
    <row r="757">
      <c r="E757" s="493"/>
      <c r="H757" s="493"/>
    </row>
    <row r="758">
      <c r="E758" s="493"/>
      <c r="H758" s="493"/>
    </row>
    <row r="759">
      <c r="E759" s="493"/>
      <c r="H759" s="493"/>
    </row>
    <row r="760">
      <c r="E760" s="493"/>
      <c r="H760" s="493"/>
    </row>
    <row r="761">
      <c r="E761" s="493"/>
      <c r="H761" s="493"/>
    </row>
    <row r="762">
      <c r="E762" s="493"/>
      <c r="H762" s="493"/>
    </row>
    <row r="763">
      <c r="E763" s="493"/>
      <c r="H763" s="493"/>
    </row>
    <row r="764">
      <c r="E764" s="493"/>
      <c r="H764" s="493"/>
    </row>
    <row r="765">
      <c r="E765" s="493"/>
      <c r="H765" s="493"/>
    </row>
    <row r="766">
      <c r="E766" s="493"/>
      <c r="H766" s="493"/>
    </row>
    <row r="767">
      <c r="E767" s="493"/>
      <c r="H767" s="493"/>
    </row>
    <row r="768">
      <c r="E768" s="493"/>
      <c r="H768" s="493"/>
    </row>
    <row r="769">
      <c r="E769" s="493"/>
      <c r="H769" s="493"/>
    </row>
    <row r="770">
      <c r="E770" s="493"/>
      <c r="H770" s="493"/>
    </row>
    <row r="771">
      <c r="E771" s="493"/>
      <c r="H771" s="493"/>
    </row>
    <row r="772">
      <c r="E772" s="493"/>
      <c r="H772" s="493"/>
    </row>
    <row r="773">
      <c r="E773" s="493"/>
      <c r="H773" s="493"/>
    </row>
    <row r="774">
      <c r="E774" s="493"/>
      <c r="H774" s="493"/>
    </row>
    <row r="775">
      <c r="E775" s="493"/>
      <c r="H775" s="493"/>
    </row>
    <row r="776">
      <c r="E776" s="493"/>
      <c r="H776" s="493"/>
    </row>
    <row r="777">
      <c r="E777" s="493"/>
      <c r="H777" s="493"/>
    </row>
    <row r="778">
      <c r="E778" s="493"/>
      <c r="H778" s="493"/>
    </row>
    <row r="779">
      <c r="E779" s="493"/>
      <c r="H779" s="493"/>
    </row>
    <row r="780">
      <c r="E780" s="493"/>
      <c r="H780" s="493"/>
    </row>
    <row r="781">
      <c r="E781" s="493"/>
      <c r="H781" s="493"/>
    </row>
    <row r="782">
      <c r="E782" s="493"/>
      <c r="H782" s="493"/>
    </row>
    <row r="783">
      <c r="E783" s="493"/>
      <c r="H783" s="493"/>
    </row>
    <row r="784">
      <c r="E784" s="493"/>
      <c r="H784" s="493"/>
    </row>
    <row r="785">
      <c r="E785" s="493"/>
      <c r="H785" s="493"/>
    </row>
    <row r="786">
      <c r="E786" s="493"/>
      <c r="H786" s="493"/>
    </row>
    <row r="787">
      <c r="E787" s="493"/>
      <c r="H787" s="493"/>
    </row>
    <row r="788">
      <c r="E788" s="493"/>
      <c r="H788" s="493"/>
    </row>
    <row r="789">
      <c r="E789" s="493"/>
      <c r="H789" s="493"/>
    </row>
    <row r="790">
      <c r="E790" s="493"/>
      <c r="H790" s="493"/>
    </row>
    <row r="791">
      <c r="E791" s="493"/>
      <c r="H791" s="493"/>
    </row>
    <row r="792">
      <c r="E792" s="493"/>
      <c r="H792" s="493"/>
    </row>
    <row r="793">
      <c r="E793" s="493"/>
      <c r="H793" s="493"/>
    </row>
    <row r="794">
      <c r="E794" s="493"/>
      <c r="H794" s="493"/>
    </row>
    <row r="795">
      <c r="E795" s="493"/>
      <c r="H795" s="493"/>
    </row>
    <row r="796">
      <c r="E796" s="493"/>
      <c r="H796" s="493"/>
    </row>
    <row r="797">
      <c r="E797" s="493"/>
      <c r="H797" s="493"/>
    </row>
    <row r="798">
      <c r="E798" s="493"/>
      <c r="H798" s="493"/>
    </row>
    <row r="799">
      <c r="E799" s="493"/>
      <c r="H799" s="493"/>
    </row>
    <row r="800">
      <c r="E800" s="493"/>
      <c r="H800" s="493"/>
    </row>
    <row r="801">
      <c r="E801" s="493"/>
      <c r="H801" s="493"/>
    </row>
    <row r="802">
      <c r="E802" s="493"/>
      <c r="H802" s="493"/>
    </row>
    <row r="803">
      <c r="E803" s="493"/>
      <c r="H803" s="493"/>
    </row>
    <row r="804">
      <c r="E804" s="493"/>
      <c r="H804" s="493"/>
    </row>
    <row r="805">
      <c r="E805" s="493"/>
      <c r="H805" s="493"/>
    </row>
    <row r="806">
      <c r="E806" s="493"/>
      <c r="H806" s="493"/>
    </row>
    <row r="807">
      <c r="E807" s="493"/>
      <c r="H807" s="493"/>
    </row>
    <row r="808">
      <c r="E808" s="493"/>
      <c r="H808" s="493"/>
    </row>
    <row r="809">
      <c r="E809" s="493"/>
      <c r="H809" s="493"/>
    </row>
    <row r="810">
      <c r="E810" s="493"/>
      <c r="H810" s="493"/>
    </row>
    <row r="811">
      <c r="E811" s="493"/>
      <c r="H811" s="493"/>
    </row>
    <row r="812">
      <c r="E812" s="493"/>
      <c r="H812" s="493"/>
    </row>
    <row r="813">
      <c r="E813" s="493"/>
      <c r="H813" s="493"/>
    </row>
    <row r="814">
      <c r="E814" s="493"/>
      <c r="H814" s="493"/>
    </row>
    <row r="815">
      <c r="E815" s="493"/>
      <c r="H815" s="493"/>
    </row>
    <row r="816">
      <c r="E816" s="493"/>
      <c r="H816" s="493"/>
    </row>
    <row r="817">
      <c r="E817" s="493"/>
      <c r="H817" s="493"/>
    </row>
    <row r="818">
      <c r="E818" s="493"/>
      <c r="H818" s="493"/>
    </row>
    <row r="819">
      <c r="E819" s="493"/>
      <c r="H819" s="493"/>
    </row>
    <row r="820">
      <c r="E820" s="493"/>
      <c r="H820" s="493"/>
    </row>
    <row r="821">
      <c r="E821" s="493"/>
      <c r="H821" s="493"/>
    </row>
    <row r="822">
      <c r="E822" s="493"/>
      <c r="H822" s="493"/>
    </row>
    <row r="823">
      <c r="E823" s="493"/>
      <c r="H823" s="493"/>
    </row>
    <row r="824">
      <c r="E824" s="493"/>
      <c r="H824" s="493"/>
    </row>
    <row r="825">
      <c r="E825" s="493"/>
      <c r="H825" s="493"/>
    </row>
    <row r="826">
      <c r="E826" s="493"/>
      <c r="H826" s="493"/>
    </row>
    <row r="827">
      <c r="E827" s="493"/>
      <c r="H827" s="493"/>
    </row>
    <row r="828">
      <c r="E828" s="493"/>
      <c r="H828" s="493"/>
    </row>
    <row r="829">
      <c r="E829" s="493"/>
      <c r="H829" s="493"/>
    </row>
    <row r="830">
      <c r="E830" s="493"/>
      <c r="H830" s="493"/>
    </row>
    <row r="831">
      <c r="E831" s="493"/>
      <c r="H831" s="493"/>
    </row>
    <row r="832">
      <c r="E832" s="493"/>
      <c r="H832" s="493"/>
    </row>
    <row r="833">
      <c r="E833" s="493"/>
      <c r="H833" s="493"/>
    </row>
    <row r="834">
      <c r="E834" s="493"/>
      <c r="H834" s="493"/>
    </row>
    <row r="835">
      <c r="E835" s="493"/>
      <c r="H835" s="493"/>
    </row>
    <row r="836">
      <c r="E836" s="493"/>
      <c r="H836" s="493"/>
    </row>
    <row r="837">
      <c r="E837" s="493"/>
      <c r="H837" s="493"/>
    </row>
    <row r="838">
      <c r="E838" s="493"/>
      <c r="H838" s="493"/>
    </row>
    <row r="839">
      <c r="E839" s="493"/>
      <c r="H839" s="493"/>
    </row>
    <row r="840">
      <c r="E840" s="493"/>
      <c r="H840" s="493"/>
    </row>
    <row r="841">
      <c r="E841" s="493"/>
      <c r="H841" s="493"/>
    </row>
    <row r="842">
      <c r="E842" s="493"/>
      <c r="H842" s="493"/>
    </row>
    <row r="843">
      <c r="E843" s="493"/>
      <c r="H843" s="493"/>
    </row>
    <row r="844">
      <c r="E844" s="493"/>
      <c r="H844" s="493"/>
    </row>
    <row r="845">
      <c r="E845" s="493"/>
      <c r="H845" s="493"/>
    </row>
    <row r="846">
      <c r="E846" s="493"/>
      <c r="H846" s="493"/>
    </row>
    <row r="847">
      <c r="E847" s="493"/>
      <c r="H847" s="493"/>
    </row>
    <row r="848">
      <c r="E848" s="493"/>
      <c r="H848" s="493"/>
    </row>
    <row r="849">
      <c r="E849" s="493"/>
      <c r="H849" s="493"/>
    </row>
    <row r="850">
      <c r="E850" s="493"/>
      <c r="H850" s="493"/>
    </row>
    <row r="851">
      <c r="E851" s="493"/>
      <c r="H851" s="493"/>
    </row>
    <row r="852">
      <c r="E852" s="493"/>
      <c r="H852" s="493"/>
    </row>
    <row r="853">
      <c r="E853" s="493"/>
      <c r="H853" s="493"/>
    </row>
    <row r="854">
      <c r="E854" s="493"/>
      <c r="H854" s="493"/>
    </row>
    <row r="855">
      <c r="E855" s="493"/>
      <c r="H855" s="493"/>
    </row>
    <row r="856">
      <c r="E856" s="493"/>
      <c r="H856" s="493"/>
    </row>
    <row r="857">
      <c r="E857" s="493"/>
      <c r="H857" s="493"/>
    </row>
    <row r="858">
      <c r="E858" s="493"/>
      <c r="H858" s="493"/>
    </row>
    <row r="859">
      <c r="E859" s="493"/>
      <c r="H859" s="493"/>
    </row>
    <row r="860">
      <c r="E860" s="493"/>
      <c r="H860" s="493"/>
    </row>
    <row r="861">
      <c r="E861" s="493"/>
      <c r="H861" s="493"/>
    </row>
    <row r="862">
      <c r="E862" s="493"/>
      <c r="H862" s="493"/>
    </row>
    <row r="863">
      <c r="E863" s="493"/>
      <c r="H863" s="493"/>
    </row>
    <row r="864">
      <c r="E864" s="493"/>
      <c r="H864" s="493"/>
    </row>
    <row r="865">
      <c r="E865" s="493"/>
      <c r="H865" s="493"/>
    </row>
    <row r="866">
      <c r="E866" s="493"/>
      <c r="H866" s="493"/>
    </row>
    <row r="867">
      <c r="E867" s="493"/>
      <c r="H867" s="493"/>
    </row>
    <row r="868">
      <c r="E868" s="493"/>
      <c r="H868" s="493"/>
    </row>
    <row r="869">
      <c r="E869" s="493"/>
      <c r="H869" s="493"/>
    </row>
    <row r="870">
      <c r="E870" s="493"/>
      <c r="H870" s="493"/>
    </row>
    <row r="871">
      <c r="E871" s="493"/>
      <c r="H871" s="493"/>
    </row>
    <row r="872">
      <c r="E872" s="493"/>
      <c r="H872" s="493"/>
    </row>
    <row r="873">
      <c r="E873" s="493"/>
      <c r="H873" s="493"/>
    </row>
    <row r="874">
      <c r="E874" s="493"/>
      <c r="H874" s="493"/>
    </row>
    <row r="875">
      <c r="E875" s="493"/>
      <c r="H875" s="493"/>
    </row>
    <row r="876">
      <c r="E876" s="493"/>
      <c r="H876" s="493"/>
    </row>
    <row r="877">
      <c r="E877" s="493"/>
      <c r="H877" s="493"/>
    </row>
    <row r="878">
      <c r="E878" s="493"/>
      <c r="H878" s="493"/>
    </row>
    <row r="879">
      <c r="E879" s="493"/>
      <c r="H879" s="493"/>
    </row>
    <row r="880">
      <c r="E880" s="493"/>
      <c r="H880" s="493"/>
    </row>
    <row r="881">
      <c r="E881" s="493"/>
      <c r="H881" s="493"/>
    </row>
    <row r="882">
      <c r="E882" s="493"/>
      <c r="H882" s="493"/>
    </row>
    <row r="883">
      <c r="E883" s="493"/>
      <c r="H883" s="493"/>
    </row>
    <row r="884">
      <c r="E884" s="493"/>
      <c r="H884" s="493"/>
    </row>
    <row r="885">
      <c r="E885" s="493"/>
      <c r="H885" s="493"/>
    </row>
    <row r="886">
      <c r="E886" s="493"/>
      <c r="H886" s="493"/>
    </row>
    <row r="887">
      <c r="E887" s="493"/>
      <c r="H887" s="493"/>
    </row>
    <row r="888">
      <c r="E888" s="493"/>
      <c r="H888" s="493"/>
    </row>
    <row r="889">
      <c r="E889" s="493"/>
      <c r="H889" s="493"/>
    </row>
    <row r="890">
      <c r="E890" s="493"/>
      <c r="H890" s="493"/>
    </row>
    <row r="891">
      <c r="E891" s="493"/>
      <c r="H891" s="493"/>
    </row>
    <row r="892">
      <c r="E892" s="493"/>
      <c r="H892" s="493"/>
    </row>
    <row r="893">
      <c r="E893" s="493"/>
      <c r="H893" s="493"/>
    </row>
    <row r="894">
      <c r="E894" s="493"/>
      <c r="H894" s="493"/>
    </row>
    <row r="895">
      <c r="E895" s="493"/>
      <c r="H895" s="493"/>
    </row>
    <row r="896">
      <c r="E896" s="493"/>
      <c r="H896" s="493"/>
    </row>
    <row r="897">
      <c r="E897" s="493"/>
      <c r="H897" s="493"/>
    </row>
    <row r="898">
      <c r="E898" s="493"/>
      <c r="H898" s="493"/>
    </row>
    <row r="899">
      <c r="E899" s="493"/>
      <c r="H899" s="493"/>
    </row>
    <row r="900">
      <c r="E900" s="493"/>
      <c r="H900" s="493"/>
    </row>
    <row r="901">
      <c r="E901" s="493"/>
      <c r="H901" s="493"/>
    </row>
    <row r="902">
      <c r="E902" s="493"/>
      <c r="H902" s="493"/>
    </row>
    <row r="903">
      <c r="E903" s="493"/>
      <c r="H903" s="493"/>
    </row>
    <row r="904">
      <c r="E904" s="493"/>
      <c r="H904" s="493"/>
    </row>
    <row r="905">
      <c r="E905" s="493"/>
      <c r="H905" s="493"/>
    </row>
    <row r="906">
      <c r="E906" s="493"/>
      <c r="H906" s="493"/>
    </row>
    <row r="907">
      <c r="E907" s="493"/>
      <c r="H907" s="493"/>
    </row>
    <row r="908">
      <c r="E908" s="493"/>
      <c r="H908" s="493"/>
    </row>
    <row r="909">
      <c r="E909" s="493"/>
      <c r="H909" s="493"/>
    </row>
    <row r="910">
      <c r="E910" s="493"/>
      <c r="H910" s="493"/>
    </row>
    <row r="911">
      <c r="E911" s="493"/>
      <c r="H911" s="493"/>
    </row>
    <row r="912">
      <c r="E912" s="493"/>
      <c r="H912" s="493"/>
    </row>
    <row r="913">
      <c r="E913" s="493"/>
      <c r="H913" s="493"/>
    </row>
    <row r="914">
      <c r="E914" s="493"/>
      <c r="H914" s="493"/>
    </row>
    <row r="915">
      <c r="E915" s="493"/>
      <c r="H915" s="493"/>
    </row>
    <row r="916">
      <c r="E916" s="493"/>
      <c r="H916" s="493"/>
    </row>
    <row r="917">
      <c r="E917" s="493"/>
      <c r="H917" s="493"/>
    </row>
    <row r="918">
      <c r="E918" s="493"/>
      <c r="H918" s="493"/>
    </row>
    <row r="919">
      <c r="E919" s="493"/>
      <c r="H919" s="493"/>
    </row>
    <row r="920">
      <c r="E920" s="493"/>
      <c r="H920" s="493"/>
    </row>
    <row r="921">
      <c r="E921" s="493"/>
      <c r="H921" s="493"/>
    </row>
    <row r="922">
      <c r="E922" s="493"/>
      <c r="H922" s="493"/>
    </row>
    <row r="923">
      <c r="E923" s="493"/>
      <c r="H923" s="493"/>
    </row>
    <row r="924">
      <c r="E924" s="493"/>
      <c r="H924" s="493"/>
    </row>
    <row r="925">
      <c r="E925" s="493"/>
      <c r="H925" s="493"/>
    </row>
    <row r="926">
      <c r="E926" s="493"/>
      <c r="H926" s="493"/>
    </row>
    <row r="927">
      <c r="E927" s="493"/>
      <c r="H927" s="493"/>
    </row>
    <row r="928">
      <c r="E928" s="493"/>
      <c r="H928" s="493"/>
    </row>
    <row r="929">
      <c r="E929" s="493"/>
      <c r="H929" s="493"/>
    </row>
    <row r="930">
      <c r="E930" s="493"/>
      <c r="H930" s="493"/>
    </row>
    <row r="931">
      <c r="E931" s="493"/>
      <c r="H931" s="493"/>
    </row>
    <row r="932">
      <c r="E932" s="493"/>
      <c r="H932" s="493"/>
    </row>
    <row r="933">
      <c r="E933" s="493"/>
      <c r="H933" s="493"/>
    </row>
    <row r="934">
      <c r="E934" s="493"/>
      <c r="H934" s="493"/>
    </row>
    <row r="935">
      <c r="E935" s="493"/>
      <c r="H935" s="493"/>
    </row>
    <row r="936">
      <c r="E936" s="493"/>
      <c r="H936" s="493"/>
    </row>
    <row r="937">
      <c r="E937" s="493"/>
      <c r="H937" s="493"/>
    </row>
    <row r="938">
      <c r="E938" s="493"/>
      <c r="H938" s="493"/>
    </row>
    <row r="939">
      <c r="E939" s="493"/>
      <c r="H939" s="493"/>
    </row>
    <row r="940">
      <c r="E940" s="493"/>
      <c r="H940" s="493"/>
    </row>
    <row r="941">
      <c r="E941" s="493"/>
      <c r="H941" s="493"/>
    </row>
    <row r="942">
      <c r="E942" s="493"/>
      <c r="H942" s="493"/>
    </row>
    <row r="943">
      <c r="E943" s="493"/>
      <c r="H943" s="493"/>
    </row>
    <row r="944">
      <c r="E944" s="493"/>
      <c r="H944" s="493"/>
    </row>
    <row r="945">
      <c r="E945" s="493"/>
      <c r="H945" s="493"/>
    </row>
    <row r="946">
      <c r="E946" s="493"/>
      <c r="H946" s="493"/>
    </row>
    <row r="947">
      <c r="E947" s="493"/>
      <c r="H947" s="493"/>
    </row>
    <row r="948">
      <c r="E948" s="493"/>
      <c r="H948" s="493"/>
    </row>
    <row r="949">
      <c r="E949" s="493"/>
      <c r="H949" s="493"/>
    </row>
    <row r="950">
      <c r="E950" s="493"/>
      <c r="H950" s="493"/>
    </row>
    <row r="951">
      <c r="E951" s="493"/>
      <c r="H951" s="493"/>
    </row>
    <row r="952">
      <c r="E952" s="493"/>
      <c r="H952" s="493"/>
    </row>
    <row r="953">
      <c r="E953" s="493"/>
      <c r="H953" s="493"/>
    </row>
    <row r="954">
      <c r="E954" s="493"/>
      <c r="H954" s="493"/>
    </row>
    <row r="955">
      <c r="E955" s="493"/>
      <c r="H955" s="493"/>
    </row>
    <row r="956">
      <c r="E956" s="493"/>
      <c r="H956" s="493"/>
    </row>
    <row r="957">
      <c r="E957" s="493"/>
      <c r="H957" s="493"/>
    </row>
    <row r="958">
      <c r="E958" s="493"/>
      <c r="H958" s="493"/>
    </row>
    <row r="959">
      <c r="E959" s="493"/>
      <c r="H959" s="493"/>
    </row>
    <row r="960">
      <c r="E960" s="493"/>
      <c r="H960" s="493"/>
    </row>
    <row r="961">
      <c r="E961" s="493"/>
      <c r="H961" s="493"/>
    </row>
    <row r="962">
      <c r="E962" s="493"/>
      <c r="H962" s="493"/>
    </row>
    <row r="963">
      <c r="E963" s="493"/>
      <c r="H963" s="493"/>
    </row>
    <row r="964">
      <c r="E964" s="493"/>
      <c r="H964" s="493"/>
    </row>
    <row r="965">
      <c r="E965" s="493"/>
      <c r="H965" s="493"/>
    </row>
    <row r="966">
      <c r="E966" s="493"/>
      <c r="H966" s="493"/>
    </row>
    <row r="967">
      <c r="E967" s="493"/>
      <c r="H967" s="493"/>
    </row>
    <row r="968">
      <c r="E968" s="493"/>
      <c r="H968" s="493"/>
    </row>
    <row r="969">
      <c r="E969" s="493"/>
      <c r="H969" s="493"/>
    </row>
    <row r="970">
      <c r="E970" s="493"/>
      <c r="H970" s="493"/>
    </row>
    <row r="971">
      <c r="E971" s="493"/>
      <c r="H971" s="493"/>
    </row>
    <row r="972">
      <c r="E972" s="493"/>
      <c r="H972" s="493"/>
    </row>
    <row r="973">
      <c r="E973" s="493"/>
      <c r="H973" s="493"/>
    </row>
    <row r="974">
      <c r="E974" s="493"/>
      <c r="H974" s="493"/>
    </row>
    <row r="975">
      <c r="E975" s="493"/>
      <c r="H975" s="493"/>
    </row>
    <row r="976">
      <c r="E976" s="493"/>
      <c r="H976" s="493"/>
    </row>
    <row r="977">
      <c r="E977" s="493"/>
      <c r="H977" s="493"/>
    </row>
    <row r="978">
      <c r="E978" s="493"/>
      <c r="H978" s="493"/>
    </row>
    <row r="979">
      <c r="E979" s="493"/>
      <c r="H979" s="493"/>
    </row>
    <row r="980">
      <c r="E980" s="493"/>
      <c r="H980" s="493"/>
    </row>
    <row r="981">
      <c r="E981" s="493"/>
      <c r="H981" s="493"/>
    </row>
    <row r="982">
      <c r="E982" s="493"/>
      <c r="H982" s="493"/>
    </row>
    <row r="983">
      <c r="E983" s="493"/>
      <c r="H983" s="493"/>
    </row>
    <row r="984">
      <c r="E984" s="493"/>
      <c r="H984" s="493"/>
    </row>
    <row r="985">
      <c r="E985" s="493"/>
      <c r="H985" s="493"/>
    </row>
    <row r="986">
      <c r="E986" s="493"/>
      <c r="H986" s="493"/>
    </row>
    <row r="987">
      <c r="E987" s="493"/>
      <c r="H987" s="493"/>
    </row>
    <row r="988">
      <c r="E988" s="493"/>
      <c r="H988" s="493"/>
    </row>
    <row r="989">
      <c r="E989" s="493"/>
      <c r="H989" s="493"/>
    </row>
    <row r="990">
      <c r="E990" s="493"/>
      <c r="H990" s="493"/>
    </row>
    <row r="991">
      <c r="E991" s="493"/>
      <c r="H991" s="493"/>
    </row>
    <row r="992">
      <c r="E992" s="493"/>
      <c r="H992" s="493"/>
    </row>
    <row r="993">
      <c r="E993" s="493"/>
      <c r="H993" s="493"/>
    </row>
    <row r="994">
      <c r="E994" s="493"/>
      <c r="H994" s="493"/>
    </row>
    <row r="995">
      <c r="E995" s="493"/>
      <c r="H995" s="493"/>
    </row>
    <row r="996">
      <c r="E996" s="493"/>
      <c r="H996" s="493"/>
    </row>
    <row r="997">
      <c r="E997" s="493"/>
      <c r="H997" s="493"/>
    </row>
    <row r="998">
      <c r="E998" s="493"/>
      <c r="H998" s="493"/>
    </row>
    <row r="999">
      <c r="E999" s="493"/>
      <c r="H999" s="493"/>
    </row>
    <row r="1000">
      <c r="E1000" s="493"/>
      <c r="H1000" s="493"/>
    </row>
    <row r="1001">
      <c r="E1001" s="493"/>
      <c r="H1001" s="493"/>
    </row>
    <row r="1002">
      <c r="E1002" s="493"/>
      <c r="H1002" s="493"/>
    </row>
    <row r="1003">
      <c r="E1003" s="493"/>
      <c r="H1003" s="493"/>
    </row>
    <row r="1004">
      <c r="E1004" s="493"/>
      <c r="H1004" s="493"/>
    </row>
    <row r="1005">
      <c r="E1005" s="493"/>
      <c r="H1005" s="493"/>
    </row>
    <row r="1006">
      <c r="E1006" s="493"/>
      <c r="H1006" s="493"/>
    </row>
    <row r="1007">
      <c r="E1007" s="493"/>
      <c r="H1007" s="493"/>
    </row>
    <row r="1008">
      <c r="E1008" s="493"/>
      <c r="H1008" s="493"/>
    </row>
    <row r="1009">
      <c r="E1009" s="493"/>
      <c r="H1009" s="493"/>
    </row>
    <row r="1010">
      <c r="E1010" s="493"/>
      <c r="H1010" s="493"/>
    </row>
    <row r="1011">
      <c r="E1011" s="493"/>
      <c r="H1011" s="493"/>
    </row>
  </sheetData>
  <mergeCells count="14">
    <mergeCell ref="A35:B35"/>
    <mergeCell ref="A36:B36"/>
    <mergeCell ref="D36:H36"/>
    <mergeCell ref="A37:B37"/>
    <mergeCell ref="D37:H37"/>
    <mergeCell ref="A38:B38"/>
    <mergeCell ref="D38:H38"/>
    <mergeCell ref="A1:H1"/>
    <mergeCell ref="A3:A4"/>
    <mergeCell ref="B3:B4"/>
    <mergeCell ref="C3:E3"/>
    <mergeCell ref="F3:H3"/>
    <mergeCell ref="C5:C34"/>
    <mergeCell ref="F5:F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29.5"/>
    <col customWidth="1" min="3" max="3" width="40.25"/>
    <col customWidth="1" min="4" max="4" width="18.75"/>
    <col customWidth="1" min="5" max="5" width="38.88"/>
    <col customWidth="1" min="8" max="8" width="17.25"/>
    <col customWidth="1" min="9" max="9" width="18.88"/>
    <col customWidth="1" min="14" max="14" width="22.5"/>
    <col customWidth="1" min="15" max="16" width="15.88"/>
    <col customWidth="1" min="17" max="17" width="14.13"/>
    <col customWidth="1" min="19" max="19" width="14.0"/>
  </cols>
  <sheetData>
    <row r="1">
      <c r="A1" s="494"/>
      <c r="B1" s="495" t="s">
        <v>712</v>
      </c>
      <c r="C1" s="495" t="s">
        <v>713</v>
      </c>
      <c r="D1" s="495" t="s">
        <v>714</v>
      </c>
      <c r="E1" s="495" t="s">
        <v>715</v>
      </c>
      <c r="F1" s="496" t="s">
        <v>6</v>
      </c>
      <c r="G1" s="19"/>
      <c r="H1" s="19"/>
      <c r="I1" s="19"/>
      <c r="J1" s="19"/>
      <c r="K1" s="19"/>
      <c r="L1" s="20"/>
      <c r="M1" s="497" t="s">
        <v>716</v>
      </c>
      <c r="N1" s="19"/>
      <c r="O1" s="19"/>
      <c r="P1" s="19"/>
      <c r="Q1" s="19"/>
      <c r="R1" s="19"/>
      <c r="S1" s="20"/>
      <c r="T1" s="498"/>
      <c r="U1" s="498"/>
      <c r="V1" s="498"/>
      <c r="W1" s="498"/>
      <c r="X1" s="498"/>
      <c r="Y1" s="498"/>
      <c r="Z1" s="498"/>
      <c r="AA1" s="499" t="s">
        <v>717</v>
      </c>
      <c r="AB1" s="19"/>
      <c r="AC1" s="19"/>
      <c r="AD1" s="19"/>
      <c r="AE1" s="19"/>
      <c r="AF1" s="20"/>
    </row>
    <row r="2">
      <c r="A2" s="27"/>
      <c r="B2" s="27"/>
      <c r="C2" s="27"/>
      <c r="D2" s="27"/>
      <c r="E2" s="27"/>
      <c r="F2" s="500" t="s">
        <v>505</v>
      </c>
      <c r="G2" s="20"/>
      <c r="H2" s="501"/>
      <c r="I2" s="502" t="s">
        <v>672</v>
      </c>
      <c r="J2" s="20"/>
      <c r="K2" s="503" t="s">
        <v>663</v>
      </c>
      <c r="L2" s="503" t="s">
        <v>718</v>
      </c>
      <c r="M2" s="504" t="s">
        <v>505</v>
      </c>
      <c r="N2" s="19"/>
      <c r="O2" s="19"/>
      <c r="P2" s="19"/>
      <c r="Q2" s="20"/>
      <c r="R2" s="505" t="s">
        <v>663</v>
      </c>
      <c r="S2" s="505" t="s">
        <v>718</v>
      </c>
      <c r="T2" s="498"/>
      <c r="U2" s="498"/>
      <c r="V2" s="498"/>
      <c r="W2" s="498"/>
      <c r="X2" s="498"/>
      <c r="Y2" s="498"/>
      <c r="Z2" s="498"/>
      <c r="AA2" s="506" t="s">
        <v>719</v>
      </c>
      <c r="AB2" s="19"/>
      <c r="AC2" s="19"/>
      <c r="AD2" s="20"/>
      <c r="AE2" s="507" t="s">
        <v>30</v>
      </c>
      <c r="AF2" s="508" t="s">
        <v>720</v>
      </c>
    </row>
    <row r="3" ht="52.5" customHeight="1">
      <c r="A3" s="27"/>
      <c r="B3" s="27"/>
      <c r="C3" s="27"/>
      <c r="D3" s="27"/>
      <c r="E3" s="27"/>
      <c r="F3" s="509" t="s">
        <v>656</v>
      </c>
      <c r="G3" s="20"/>
      <c r="H3" s="510" t="s">
        <v>721</v>
      </c>
      <c r="I3" s="511" t="s">
        <v>512</v>
      </c>
      <c r="J3" s="511" t="s">
        <v>722</v>
      </c>
      <c r="K3" s="511" t="s">
        <v>723</v>
      </c>
      <c r="L3" s="511" t="s">
        <v>22</v>
      </c>
      <c r="M3" s="510" t="s">
        <v>656</v>
      </c>
      <c r="N3" s="512" t="s">
        <v>721</v>
      </c>
      <c r="O3" s="19"/>
      <c r="P3" s="19"/>
      <c r="Q3" s="20"/>
      <c r="R3" s="511" t="s">
        <v>724</v>
      </c>
      <c r="S3" s="511" t="s">
        <v>22</v>
      </c>
      <c r="T3" s="498"/>
      <c r="U3" s="498"/>
      <c r="V3" s="513" t="s">
        <v>725</v>
      </c>
      <c r="W3" s="514"/>
      <c r="X3" s="514"/>
      <c r="Y3" s="514"/>
      <c r="Z3" s="514"/>
      <c r="AA3" s="514"/>
      <c r="AB3" s="23"/>
      <c r="AC3" s="511" t="s">
        <v>726</v>
      </c>
      <c r="AD3" s="511" t="s">
        <v>727</v>
      </c>
      <c r="AE3" s="511" t="s">
        <v>30</v>
      </c>
      <c r="AF3" s="27"/>
    </row>
    <row r="4" ht="1.5" customHeight="1">
      <c r="A4" s="40"/>
      <c r="B4" s="40"/>
      <c r="C4" s="40"/>
      <c r="D4" s="40"/>
      <c r="E4" s="40"/>
      <c r="F4" s="515" t="s">
        <v>728</v>
      </c>
      <c r="G4" s="510" t="s">
        <v>729</v>
      </c>
      <c r="H4" s="510" t="s">
        <v>25</v>
      </c>
      <c r="I4" s="40"/>
      <c r="J4" s="40"/>
      <c r="K4" s="40"/>
      <c r="L4" s="40"/>
      <c r="M4" s="510" t="s">
        <v>730</v>
      </c>
      <c r="N4" s="510" t="s">
        <v>25</v>
      </c>
      <c r="O4" s="510" t="s">
        <v>731</v>
      </c>
      <c r="P4" s="510" t="s">
        <v>661</v>
      </c>
      <c r="Q4" s="510" t="s">
        <v>33</v>
      </c>
      <c r="R4" s="40"/>
      <c r="S4" s="40"/>
      <c r="T4" s="498"/>
      <c r="U4" s="498"/>
      <c r="V4" s="30"/>
      <c r="W4" s="183"/>
      <c r="X4" s="183"/>
      <c r="Y4" s="183"/>
      <c r="Z4" s="183"/>
      <c r="AA4" s="183"/>
      <c r="AB4" s="31"/>
      <c r="AC4" s="40"/>
      <c r="AD4" s="40"/>
      <c r="AE4" s="40"/>
      <c r="AF4" s="40"/>
    </row>
    <row r="5">
      <c r="A5" s="516">
        <v>1.0</v>
      </c>
      <c r="B5" s="517" t="s">
        <v>34</v>
      </c>
      <c r="C5" s="518" t="s">
        <v>35</v>
      </c>
      <c r="D5" s="519" t="s">
        <v>732</v>
      </c>
      <c r="E5" s="520" t="s">
        <v>733</v>
      </c>
      <c r="F5" s="521"/>
      <c r="G5" s="521"/>
      <c r="H5" s="522"/>
      <c r="I5" s="521"/>
      <c r="J5" s="521"/>
      <c r="K5" s="521"/>
      <c r="L5" s="521"/>
      <c r="M5" s="521"/>
      <c r="N5" s="521"/>
      <c r="O5" s="521"/>
      <c r="P5" s="521"/>
      <c r="Q5" s="521"/>
      <c r="R5" s="521"/>
      <c r="S5" s="521"/>
      <c r="V5" s="511" t="s">
        <v>734</v>
      </c>
      <c r="W5" s="511" t="s">
        <v>735</v>
      </c>
      <c r="X5" s="511" t="s">
        <v>736</v>
      </c>
      <c r="Y5" s="511" t="s">
        <v>737</v>
      </c>
      <c r="Z5" s="511" t="s">
        <v>738</v>
      </c>
      <c r="AA5" s="511" t="s">
        <v>739</v>
      </c>
      <c r="AB5" s="511" t="s">
        <v>740</v>
      </c>
      <c r="AC5" s="521"/>
      <c r="AD5" s="521"/>
      <c r="AE5" s="521"/>
      <c r="AF5" s="521"/>
    </row>
    <row r="6" ht="21.0" customHeight="1">
      <c r="A6" s="516">
        <v>2.0</v>
      </c>
      <c r="B6" s="523"/>
      <c r="C6" s="518" t="s">
        <v>37</v>
      </c>
      <c r="D6" s="27"/>
      <c r="E6" s="27"/>
      <c r="F6" s="27"/>
      <c r="G6" s="27"/>
      <c r="H6" s="27"/>
      <c r="I6" s="27"/>
      <c r="J6" s="27"/>
      <c r="K6" s="27"/>
      <c r="L6" s="27"/>
      <c r="M6" s="27"/>
      <c r="N6" s="27"/>
      <c r="O6" s="27"/>
      <c r="P6" s="27"/>
      <c r="Q6" s="27"/>
      <c r="R6" s="27"/>
      <c r="S6" s="27"/>
      <c r="V6" s="40"/>
      <c r="W6" s="40"/>
      <c r="X6" s="40"/>
      <c r="Y6" s="40"/>
      <c r="Z6" s="40"/>
      <c r="AA6" s="40"/>
      <c r="AB6" s="40"/>
      <c r="AC6" s="27"/>
      <c r="AD6" s="27"/>
      <c r="AE6" s="27"/>
      <c r="AF6" s="27"/>
    </row>
    <row r="7">
      <c r="A7" s="516">
        <v>3.0</v>
      </c>
      <c r="B7" s="523"/>
      <c r="C7" s="518" t="s">
        <v>38</v>
      </c>
      <c r="D7" s="27"/>
      <c r="E7" s="40"/>
      <c r="F7" s="40"/>
      <c r="G7" s="40"/>
      <c r="H7" s="40"/>
      <c r="I7" s="40"/>
      <c r="J7" s="40"/>
      <c r="K7" s="40"/>
      <c r="L7" s="40"/>
      <c r="M7" s="40"/>
      <c r="N7" s="40"/>
      <c r="O7" s="40"/>
      <c r="P7" s="40"/>
      <c r="Q7" s="40"/>
      <c r="R7" s="40"/>
      <c r="S7" s="40"/>
      <c r="V7" s="521"/>
      <c r="W7" s="521"/>
      <c r="X7" s="521"/>
      <c r="Y7" s="521"/>
      <c r="Z7" s="521"/>
      <c r="AA7" s="521"/>
      <c r="AB7" s="521"/>
      <c r="AC7" s="40"/>
      <c r="AD7" s="40"/>
      <c r="AE7" s="40"/>
      <c r="AF7" s="40"/>
    </row>
    <row r="8">
      <c r="A8" s="516">
        <v>4.0</v>
      </c>
      <c r="B8" s="523"/>
      <c r="C8" s="518" t="s">
        <v>39</v>
      </c>
      <c r="D8" s="27"/>
      <c r="E8" s="520" t="s">
        <v>741</v>
      </c>
      <c r="F8" s="521"/>
      <c r="G8" s="521"/>
      <c r="H8" s="522"/>
      <c r="I8" s="522"/>
      <c r="J8" s="522"/>
      <c r="K8" s="522"/>
      <c r="L8" s="522"/>
      <c r="M8" s="522"/>
      <c r="N8" s="522"/>
      <c r="O8" s="522"/>
      <c r="P8" s="522"/>
      <c r="Q8" s="522"/>
      <c r="R8" s="522"/>
      <c r="S8" s="522"/>
      <c r="V8" s="27"/>
      <c r="W8" s="27"/>
      <c r="X8" s="27"/>
      <c r="Y8" s="27"/>
      <c r="Z8" s="27"/>
      <c r="AA8" s="27"/>
      <c r="AB8" s="27"/>
      <c r="AC8" s="522"/>
      <c r="AD8" s="522"/>
      <c r="AE8" s="522"/>
      <c r="AF8" s="522"/>
    </row>
    <row r="9">
      <c r="A9" s="516">
        <v>5.0</v>
      </c>
      <c r="B9" s="523"/>
      <c r="C9" s="518" t="s">
        <v>42</v>
      </c>
      <c r="D9" s="27"/>
      <c r="E9" s="27"/>
      <c r="F9" s="27"/>
      <c r="G9" s="27"/>
      <c r="H9" s="27"/>
      <c r="I9" s="27"/>
      <c r="J9" s="27"/>
      <c r="K9" s="27"/>
      <c r="L9" s="27"/>
      <c r="M9" s="27"/>
      <c r="N9" s="27"/>
      <c r="O9" s="27"/>
      <c r="P9" s="27"/>
      <c r="Q9" s="27"/>
      <c r="R9" s="27"/>
      <c r="S9" s="27"/>
      <c r="V9" s="40"/>
      <c r="W9" s="40"/>
      <c r="X9" s="40"/>
      <c r="Y9" s="40"/>
      <c r="Z9" s="40"/>
      <c r="AA9" s="40"/>
      <c r="AB9" s="40"/>
      <c r="AC9" s="27"/>
      <c r="AD9" s="27"/>
      <c r="AE9" s="27"/>
      <c r="AF9" s="27"/>
    </row>
    <row r="10">
      <c r="A10" s="516">
        <v>6.0</v>
      </c>
      <c r="B10" s="523"/>
      <c r="C10" s="518" t="s">
        <v>43</v>
      </c>
      <c r="D10" s="27"/>
      <c r="E10" s="40"/>
      <c r="F10" s="40"/>
      <c r="G10" s="40"/>
      <c r="H10" s="40"/>
      <c r="I10" s="40"/>
      <c r="J10" s="40"/>
      <c r="K10" s="40"/>
      <c r="L10" s="40"/>
      <c r="M10" s="40"/>
      <c r="N10" s="40"/>
      <c r="O10" s="40"/>
      <c r="P10" s="40"/>
      <c r="Q10" s="40"/>
      <c r="R10" s="40"/>
      <c r="S10" s="40"/>
      <c r="V10" s="522"/>
      <c r="W10" s="522"/>
      <c r="X10" s="522"/>
      <c r="Y10" s="522"/>
      <c r="Z10" s="522"/>
      <c r="AA10" s="522"/>
      <c r="AB10" s="522"/>
      <c r="AC10" s="40"/>
      <c r="AD10" s="40"/>
      <c r="AE10" s="40"/>
      <c r="AF10" s="40"/>
    </row>
    <row r="11">
      <c r="A11" s="516">
        <v>7.0</v>
      </c>
      <c r="B11" s="523"/>
      <c r="C11" s="518" t="s">
        <v>44</v>
      </c>
      <c r="D11" s="27"/>
      <c r="E11" s="520" t="s">
        <v>742</v>
      </c>
      <c r="F11" s="521"/>
      <c r="G11" s="521"/>
      <c r="H11" s="522"/>
      <c r="I11" s="522"/>
      <c r="J11" s="522"/>
      <c r="K11" s="522"/>
      <c r="L11" s="522"/>
      <c r="M11" s="522"/>
      <c r="N11" s="522"/>
      <c r="O11" s="522"/>
      <c r="P11" s="522"/>
      <c r="Q11" s="522"/>
      <c r="R11" s="522"/>
      <c r="S11" s="522"/>
      <c r="V11" s="27"/>
      <c r="W11" s="27"/>
      <c r="X11" s="27"/>
      <c r="Y11" s="27"/>
      <c r="Z11" s="27"/>
      <c r="AA11" s="27"/>
      <c r="AB11" s="27"/>
      <c r="AC11" s="522"/>
      <c r="AD11" s="522"/>
      <c r="AE11" s="522"/>
      <c r="AF11" s="522"/>
    </row>
    <row r="12">
      <c r="A12" s="516">
        <v>8.0</v>
      </c>
      <c r="B12" s="523"/>
      <c r="C12" s="518" t="s">
        <v>47</v>
      </c>
      <c r="D12" s="27"/>
      <c r="E12" s="27"/>
      <c r="F12" s="27"/>
      <c r="G12" s="27"/>
      <c r="H12" s="27"/>
      <c r="I12" s="27"/>
      <c r="J12" s="27"/>
      <c r="K12" s="27"/>
      <c r="L12" s="27"/>
      <c r="M12" s="27"/>
      <c r="N12" s="27"/>
      <c r="O12" s="27"/>
      <c r="P12" s="27"/>
      <c r="Q12" s="27"/>
      <c r="R12" s="27"/>
      <c r="S12" s="27"/>
      <c r="V12" s="40"/>
      <c r="W12" s="40"/>
      <c r="X12" s="40"/>
      <c r="Y12" s="40"/>
      <c r="Z12" s="40"/>
      <c r="AA12" s="40"/>
      <c r="AB12" s="40"/>
      <c r="AC12" s="27"/>
      <c r="AD12" s="27"/>
      <c r="AE12" s="27"/>
      <c r="AF12" s="27"/>
    </row>
    <row r="13">
      <c r="A13" s="516">
        <v>9.0</v>
      </c>
      <c r="B13" s="517" t="s">
        <v>48</v>
      </c>
      <c r="C13" s="518" t="s">
        <v>49</v>
      </c>
      <c r="D13" s="27"/>
      <c r="E13" s="40"/>
      <c r="F13" s="40"/>
      <c r="G13" s="40"/>
      <c r="H13" s="40"/>
      <c r="I13" s="40"/>
      <c r="J13" s="40"/>
      <c r="K13" s="40"/>
      <c r="L13" s="40"/>
      <c r="M13" s="40"/>
      <c r="N13" s="40"/>
      <c r="O13" s="40"/>
      <c r="P13" s="40"/>
      <c r="Q13" s="40"/>
      <c r="R13" s="40"/>
      <c r="S13" s="40"/>
      <c r="V13" s="522"/>
      <c r="W13" s="522"/>
      <c r="X13" s="522"/>
      <c r="Y13" s="522"/>
      <c r="Z13" s="522"/>
      <c r="AA13" s="522"/>
      <c r="AB13" s="522"/>
      <c r="AC13" s="40"/>
      <c r="AD13" s="40"/>
      <c r="AE13" s="40"/>
      <c r="AF13" s="40"/>
    </row>
    <row r="14">
      <c r="A14" s="516">
        <v>10.0</v>
      </c>
      <c r="B14" s="523"/>
      <c r="C14" s="518" t="s">
        <v>50</v>
      </c>
      <c r="D14" s="27"/>
      <c r="E14" s="520" t="s">
        <v>743</v>
      </c>
      <c r="F14" s="521"/>
      <c r="G14" s="521"/>
      <c r="H14" s="522"/>
      <c r="I14" s="522"/>
      <c r="J14" s="522"/>
      <c r="K14" s="522"/>
      <c r="L14" s="522"/>
      <c r="M14" s="522"/>
      <c r="N14" s="522"/>
      <c r="O14" s="522"/>
      <c r="P14" s="522"/>
      <c r="Q14" s="522"/>
      <c r="R14" s="522"/>
      <c r="S14" s="522"/>
      <c r="V14" s="27"/>
      <c r="W14" s="27"/>
      <c r="X14" s="27"/>
      <c r="Y14" s="27"/>
      <c r="Z14" s="27"/>
      <c r="AA14" s="27"/>
      <c r="AB14" s="27"/>
      <c r="AC14" s="522"/>
      <c r="AD14" s="522"/>
      <c r="AE14" s="522"/>
      <c r="AF14" s="522"/>
    </row>
    <row r="15">
      <c r="A15" s="516">
        <v>11.0</v>
      </c>
      <c r="B15" s="523"/>
      <c r="C15" s="518" t="s">
        <v>51</v>
      </c>
      <c r="D15" s="27"/>
      <c r="E15" s="27"/>
      <c r="F15" s="27"/>
      <c r="G15" s="27"/>
      <c r="H15" s="27"/>
      <c r="I15" s="27"/>
      <c r="J15" s="27"/>
      <c r="K15" s="27"/>
      <c r="L15" s="27"/>
      <c r="M15" s="27"/>
      <c r="N15" s="27"/>
      <c r="O15" s="27"/>
      <c r="P15" s="27"/>
      <c r="Q15" s="27"/>
      <c r="R15" s="27"/>
      <c r="S15" s="27"/>
      <c r="V15" s="40"/>
      <c r="W15" s="40"/>
      <c r="X15" s="40"/>
      <c r="Y15" s="40"/>
      <c r="Z15" s="40"/>
      <c r="AA15" s="40"/>
      <c r="AB15" s="40"/>
      <c r="AC15" s="27"/>
      <c r="AD15" s="27"/>
      <c r="AE15" s="27"/>
      <c r="AF15" s="27"/>
    </row>
    <row r="16">
      <c r="A16" s="516">
        <v>12.0</v>
      </c>
      <c r="B16" s="523"/>
      <c r="C16" s="518" t="s">
        <v>52</v>
      </c>
      <c r="D16" s="27"/>
      <c r="E16" s="40"/>
      <c r="F16" s="40"/>
      <c r="G16" s="40"/>
      <c r="H16" s="40"/>
      <c r="I16" s="40"/>
      <c r="J16" s="40"/>
      <c r="K16" s="40"/>
      <c r="L16" s="40"/>
      <c r="M16" s="40"/>
      <c r="N16" s="40"/>
      <c r="O16" s="40"/>
      <c r="P16" s="40"/>
      <c r="Q16" s="40"/>
      <c r="R16" s="40"/>
      <c r="S16" s="40"/>
      <c r="V16" s="522"/>
      <c r="W16" s="522"/>
      <c r="X16" s="522"/>
      <c r="Y16" s="522"/>
      <c r="Z16" s="522"/>
      <c r="AA16" s="522"/>
      <c r="AB16" s="522"/>
      <c r="AC16" s="40"/>
      <c r="AD16" s="40"/>
      <c r="AE16" s="40"/>
      <c r="AF16" s="40"/>
    </row>
    <row r="17">
      <c r="A17" s="516">
        <v>13.0</v>
      </c>
      <c r="B17" s="523"/>
      <c r="C17" s="518" t="s">
        <v>54</v>
      </c>
      <c r="D17" s="27"/>
      <c r="E17" s="520" t="s">
        <v>744</v>
      </c>
      <c r="F17" s="521"/>
      <c r="G17" s="521"/>
      <c r="H17" s="522"/>
      <c r="I17" s="522"/>
      <c r="J17" s="522"/>
      <c r="K17" s="524"/>
      <c r="L17" s="522"/>
      <c r="M17" s="522"/>
      <c r="N17" s="522"/>
      <c r="O17" s="522"/>
      <c r="P17" s="522"/>
      <c r="Q17" s="522"/>
      <c r="R17" s="522"/>
      <c r="S17" s="522"/>
      <c r="V17" s="27"/>
      <c r="W17" s="27"/>
      <c r="X17" s="27"/>
      <c r="Y17" s="27"/>
      <c r="Z17" s="27"/>
      <c r="AA17" s="27"/>
      <c r="AB17" s="27"/>
      <c r="AC17" s="522"/>
      <c r="AD17" s="522"/>
      <c r="AE17" s="522"/>
      <c r="AF17" s="522"/>
    </row>
    <row r="18">
      <c r="A18" s="516">
        <v>14.0</v>
      </c>
      <c r="B18" s="523"/>
      <c r="C18" s="518" t="s">
        <v>56</v>
      </c>
      <c r="D18" s="27"/>
      <c r="E18" s="27"/>
      <c r="F18" s="27"/>
      <c r="G18" s="27"/>
      <c r="H18" s="27"/>
      <c r="I18" s="27"/>
      <c r="J18" s="27"/>
      <c r="K18" s="27"/>
      <c r="L18" s="27"/>
      <c r="M18" s="27"/>
      <c r="N18" s="27"/>
      <c r="O18" s="27"/>
      <c r="P18" s="27"/>
      <c r="Q18" s="27"/>
      <c r="R18" s="27"/>
      <c r="S18" s="27"/>
      <c r="V18" s="40"/>
      <c r="W18" s="40"/>
      <c r="X18" s="40"/>
      <c r="Y18" s="40"/>
      <c r="Z18" s="40"/>
      <c r="AA18" s="40"/>
      <c r="AB18" s="40"/>
      <c r="AC18" s="27"/>
      <c r="AD18" s="27"/>
      <c r="AE18" s="27"/>
      <c r="AF18" s="27"/>
    </row>
    <row r="19">
      <c r="A19" s="516">
        <v>15.0</v>
      </c>
      <c r="B19" s="523"/>
      <c r="C19" s="518" t="s">
        <v>57</v>
      </c>
      <c r="D19" s="27"/>
      <c r="E19" s="40"/>
      <c r="F19" s="40"/>
      <c r="G19" s="40"/>
      <c r="H19" s="40"/>
      <c r="I19" s="40"/>
      <c r="J19" s="40"/>
      <c r="K19" s="40"/>
      <c r="L19" s="40"/>
      <c r="M19" s="40"/>
      <c r="N19" s="40"/>
      <c r="O19" s="40"/>
      <c r="P19" s="40"/>
      <c r="Q19" s="40"/>
      <c r="R19" s="40"/>
      <c r="S19" s="40"/>
      <c r="V19" s="522"/>
      <c r="W19" s="522"/>
      <c r="X19" s="522"/>
      <c r="Y19" s="522"/>
      <c r="Z19" s="522"/>
      <c r="AA19" s="522"/>
      <c r="AB19" s="522"/>
      <c r="AC19" s="40"/>
      <c r="AD19" s="40"/>
      <c r="AE19" s="40"/>
      <c r="AF19" s="40"/>
    </row>
    <row r="20">
      <c r="A20" s="516">
        <v>16.0</v>
      </c>
      <c r="B20" s="523"/>
      <c r="C20" s="518" t="s">
        <v>58</v>
      </c>
      <c r="D20" s="27"/>
      <c r="E20" s="520" t="s">
        <v>745</v>
      </c>
      <c r="F20" s="521"/>
      <c r="G20" s="521"/>
      <c r="H20" s="522"/>
      <c r="I20" s="522"/>
      <c r="J20" s="522"/>
      <c r="K20" s="522"/>
      <c r="L20" s="522"/>
      <c r="M20" s="522"/>
      <c r="N20" s="522"/>
      <c r="O20" s="522"/>
      <c r="P20" s="522"/>
      <c r="Q20" s="522"/>
      <c r="R20" s="522"/>
      <c r="S20" s="522"/>
      <c r="V20" s="27"/>
      <c r="W20" s="27"/>
      <c r="X20" s="27"/>
      <c r="Y20" s="27"/>
      <c r="Z20" s="27"/>
      <c r="AA20" s="27"/>
      <c r="AB20" s="27"/>
      <c r="AC20" s="522"/>
      <c r="AD20" s="522"/>
      <c r="AE20" s="522"/>
      <c r="AF20" s="522"/>
    </row>
    <row r="21">
      <c r="A21" s="516">
        <v>17.0</v>
      </c>
      <c r="B21" s="523"/>
      <c r="C21" s="518" t="s">
        <v>59</v>
      </c>
      <c r="D21" s="27"/>
      <c r="E21" s="27"/>
      <c r="F21" s="27"/>
      <c r="G21" s="27"/>
      <c r="H21" s="27"/>
      <c r="I21" s="27"/>
      <c r="J21" s="27"/>
      <c r="K21" s="27"/>
      <c r="L21" s="27"/>
      <c r="M21" s="27"/>
      <c r="N21" s="27"/>
      <c r="O21" s="27"/>
      <c r="P21" s="27"/>
      <c r="Q21" s="27"/>
      <c r="R21" s="27"/>
      <c r="S21" s="27"/>
      <c r="V21" s="40"/>
      <c r="W21" s="40"/>
      <c r="X21" s="40"/>
      <c r="Y21" s="40"/>
      <c r="Z21" s="40"/>
      <c r="AA21" s="40"/>
      <c r="AB21" s="40"/>
      <c r="AC21" s="27"/>
      <c r="AD21" s="27"/>
      <c r="AE21" s="27"/>
      <c r="AF21" s="27"/>
    </row>
    <row r="22">
      <c r="A22" s="516">
        <v>18.0</v>
      </c>
      <c r="B22" s="523"/>
      <c r="C22" s="518" t="s">
        <v>60</v>
      </c>
      <c r="D22" s="40"/>
      <c r="E22" s="40"/>
      <c r="F22" s="40"/>
      <c r="G22" s="40"/>
      <c r="H22" s="40"/>
      <c r="I22" s="40"/>
      <c r="J22" s="40"/>
      <c r="K22" s="40"/>
      <c r="L22" s="40"/>
      <c r="M22" s="40"/>
      <c r="N22" s="40"/>
      <c r="O22" s="40"/>
      <c r="P22" s="40"/>
      <c r="Q22" s="40"/>
      <c r="R22" s="40"/>
      <c r="S22" s="40"/>
      <c r="V22" s="522"/>
      <c r="W22" s="522"/>
      <c r="X22" s="522"/>
      <c r="Y22" s="522"/>
      <c r="Z22" s="522"/>
      <c r="AA22" s="522"/>
      <c r="AB22" s="522"/>
      <c r="AC22" s="40"/>
      <c r="AD22" s="40"/>
      <c r="AE22" s="40"/>
      <c r="AF22" s="40"/>
    </row>
    <row r="23">
      <c r="A23" s="516">
        <v>19.0</v>
      </c>
      <c r="B23" s="523"/>
      <c r="C23" s="518" t="s">
        <v>63</v>
      </c>
      <c r="D23" s="519" t="s">
        <v>746</v>
      </c>
      <c r="E23" s="518" t="s">
        <v>747</v>
      </c>
      <c r="F23" s="523"/>
      <c r="G23" s="523"/>
      <c r="H23" s="525"/>
      <c r="I23" s="525"/>
      <c r="J23" s="525"/>
      <c r="K23" s="525"/>
      <c r="L23" s="525"/>
      <c r="M23" s="525"/>
      <c r="N23" s="525"/>
      <c r="O23" s="525"/>
      <c r="P23" s="525"/>
      <c r="Q23" s="525"/>
      <c r="R23" s="525"/>
      <c r="S23" s="525"/>
      <c r="V23" s="27"/>
      <c r="W23" s="27"/>
      <c r="X23" s="27"/>
      <c r="Y23" s="27"/>
      <c r="Z23" s="27"/>
      <c r="AA23" s="27"/>
      <c r="AB23" s="27"/>
      <c r="AC23" s="525"/>
      <c r="AD23" s="525"/>
      <c r="AE23" s="525"/>
      <c r="AF23" s="525"/>
    </row>
    <row r="24">
      <c r="A24" s="516">
        <v>20.0</v>
      </c>
      <c r="B24" s="523"/>
      <c r="C24" s="518" t="s">
        <v>65</v>
      </c>
      <c r="D24" s="27"/>
      <c r="E24" s="518" t="s">
        <v>748</v>
      </c>
      <c r="F24" s="523"/>
      <c r="G24" s="523"/>
      <c r="H24" s="525"/>
      <c r="I24" s="525"/>
      <c r="J24" s="525"/>
      <c r="K24" s="525"/>
      <c r="L24" s="525"/>
      <c r="M24" s="525"/>
      <c r="N24" s="525"/>
      <c r="O24" s="525"/>
      <c r="P24" s="525"/>
      <c r="Q24" s="525"/>
      <c r="R24" s="525"/>
      <c r="S24" s="525"/>
      <c r="V24" s="40"/>
      <c r="W24" s="40"/>
      <c r="X24" s="40"/>
      <c r="Y24" s="40"/>
      <c r="Z24" s="40"/>
      <c r="AA24" s="40"/>
      <c r="AB24" s="40"/>
      <c r="AC24" s="525"/>
      <c r="AD24" s="525"/>
      <c r="AE24" s="525"/>
      <c r="AF24" s="525"/>
    </row>
    <row r="25">
      <c r="A25" s="516">
        <v>21.0</v>
      </c>
      <c r="B25" s="523"/>
      <c r="C25" s="518" t="s">
        <v>67</v>
      </c>
      <c r="D25" s="27"/>
      <c r="E25" s="518" t="s">
        <v>749</v>
      </c>
      <c r="F25" s="523"/>
      <c r="G25" s="523"/>
      <c r="H25" s="525"/>
      <c r="I25" s="525"/>
      <c r="J25" s="525"/>
      <c r="K25" s="525"/>
      <c r="L25" s="525"/>
      <c r="M25" s="525"/>
      <c r="N25" s="525"/>
      <c r="O25" s="525"/>
      <c r="P25" s="525"/>
      <c r="Q25" s="525"/>
      <c r="R25" s="525"/>
      <c r="S25" s="525"/>
      <c r="V25" s="525"/>
      <c r="W25" s="525"/>
      <c r="X25" s="525"/>
      <c r="Y25" s="525"/>
      <c r="Z25" s="525"/>
      <c r="AA25" s="525"/>
      <c r="AB25" s="525"/>
      <c r="AC25" s="525"/>
      <c r="AD25" s="525"/>
      <c r="AE25" s="525"/>
      <c r="AF25" s="525"/>
    </row>
    <row r="26">
      <c r="A26" s="516">
        <v>22.0</v>
      </c>
      <c r="B26" s="523"/>
      <c r="C26" s="518" t="s">
        <v>69</v>
      </c>
      <c r="D26" s="27"/>
      <c r="E26" s="518" t="s">
        <v>750</v>
      </c>
      <c r="F26" s="523"/>
      <c r="G26" s="523"/>
      <c r="H26" s="525"/>
      <c r="I26" s="525"/>
      <c r="J26" s="525"/>
      <c r="K26" s="525"/>
      <c r="L26" s="525"/>
      <c r="M26" s="525"/>
      <c r="N26" s="525"/>
      <c r="O26" s="525"/>
      <c r="P26" s="525"/>
      <c r="Q26" s="525"/>
      <c r="R26" s="525"/>
      <c r="S26" s="525"/>
      <c r="V26" s="525"/>
      <c r="W26" s="525"/>
      <c r="X26" s="525"/>
      <c r="Y26" s="525"/>
      <c r="Z26" s="525"/>
      <c r="AA26" s="525"/>
      <c r="AB26" s="525"/>
      <c r="AC26" s="525"/>
      <c r="AD26" s="525"/>
      <c r="AE26" s="525"/>
      <c r="AF26" s="525"/>
    </row>
    <row r="27" ht="24.75" customHeight="1">
      <c r="A27" s="516">
        <v>23.0</v>
      </c>
      <c r="B27" s="523"/>
      <c r="C27" s="518" t="s">
        <v>71</v>
      </c>
      <c r="D27" s="27"/>
      <c r="E27" s="518" t="s">
        <v>751</v>
      </c>
      <c r="F27" s="523"/>
      <c r="G27" s="523"/>
      <c r="H27" s="525"/>
      <c r="I27" s="525"/>
      <c r="J27" s="525"/>
      <c r="K27" s="525"/>
      <c r="L27" s="525"/>
      <c r="M27" s="525"/>
      <c r="N27" s="525"/>
      <c r="O27" s="525"/>
      <c r="P27" s="525"/>
      <c r="Q27" s="525"/>
      <c r="R27" s="525"/>
      <c r="S27" s="525"/>
      <c r="V27" s="525"/>
      <c r="W27" s="525"/>
      <c r="X27" s="525"/>
      <c r="Y27" s="525"/>
      <c r="Z27" s="525"/>
      <c r="AA27" s="525"/>
      <c r="AB27" s="525"/>
      <c r="AC27" s="525"/>
      <c r="AD27" s="525"/>
      <c r="AE27" s="525"/>
      <c r="AF27" s="525"/>
    </row>
    <row r="28" ht="22.5" customHeight="1">
      <c r="A28" s="516">
        <v>24.0</v>
      </c>
      <c r="B28" s="523"/>
      <c r="C28" s="518" t="s">
        <v>73</v>
      </c>
      <c r="D28" s="27"/>
      <c r="E28" s="518" t="s">
        <v>752</v>
      </c>
      <c r="F28" s="523"/>
      <c r="G28" s="523"/>
      <c r="H28" s="525"/>
      <c r="I28" s="525"/>
      <c r="J28" s="525"/>
      <c r="K28" s="525"/>
      <c r="L28" s="525"/>
      <c r="M28" s="525"/>
      <c r="N28" s="525"/>
      <c r="O28" s="525"/>
      <c r="P28" s="525"/>
      <c r="Q28" s="525"/>
      <c r="R28" s="525"/>
      <c r="S28" s="525"/>
      <c r="V28" s="525"/>
      <c r="W28" s="525"/>
      <c r="X28" s="525"/>
      <c r="Y28" s="525"/>
      <c r="Z28" s="525"/>
      <c r="AA28" s="525"/>
      <c r="AB28" s="525"/>
      <c r="AC28" s="525"/>
      <c r="AD28" s="525"/>
      <c r="AE28" s="525"/>
      <c r="AF28" s="525"/>
    </row>
    <row r="29" ht="21.0" customHeight="1">
      <c r="A29" s="516">
        <v>25.0</v>
      </c>
      <c r="B29" s="523"/>
      <c r="C29" s="518" t="s">
        <v>76</v>
      </c>
      <c r="D29" s="40"/>
      <c r="E29" s="518" t="s">
        <v>753</v>
      </c>
      <c r="F29" s="523"/>
      <c r="G29" s="523"/>
      <c r="H29" s="525"/>
      <c r="I29" s="525"/>
      <c r="J29" s="525"/>
      <c r="K29" s="525"/>
      <c r="L29" s="525"/>
      <c r="M29" s="525"/>
      <c r="N29" s="525"/>
      <c r="O29" s="525"/>
      <c r="P29" s="525"/>
      <c r="Q29" s="525"/>
      <c r="R29" s="525"/>
      <c r="S29" s="525"/>
      <c r="V29" s="525"/>
      <c r="W29" s="525"/>
      <c r="X29" s="525"/>
      <c r="Y29" s="525"/>
      <c r="Z29" s="525"/>
      <c r="AA29" s="525"/>
      <c r="AB29" s="525"/>
      <c r="AC29" s="525"/>
      <c r="AD29" s="525"/>
      <c r="AE29" s="525"/>
      <c r="AF29" s="525"/>
    </row>
    <row r="30">
      <c r="A30" s="516">
        <v>26.0</v>
      </c>
      <c r="B30" s="517" t="s">
        <v>79</v>
      </c>
      <c r="C30" s="526" t="s">
        <v>80</v>
      </c>
      <c r="D30" s="519" t="s">
        <v>754</v>
      </c>
      <c r="E30" s="527" t="s">
        <v>755</v>
      </c>
      <c r="F30" s="521"/>
      <c r="G30" s="521"/>
      <c r="H30" s="522"/>
      <c r="I30" s="522"/>
      <c r="J30" s="522"/>
      <c r="K30" s="522"/>
      <c r="L30" s="522"/>
      <c r="M30" s="522"/>
      <c r="N30" s="522"/>
      <c r="O30" s="522"/>
      <c r="P30" s="522"/>
      <c r="Q30" s="522"/>
      <c r="R30" s="522"/>
      <c r="S30" s="522"/>
      <c r="V30" s="525"/>
      <c r="W30" s="525"/>
      <c r="X30" s="525"/>
      <c r="Y30" s="525"/>
      <c r="Z30" s="525"/>
      <c r="AA30" s="525"/>
      <c r="AB30" s="525"/>
      <c r="AC30" s="522"/>
      <c r="AD30" s="522"/>
      <c r="AE30" s="522"/>
      <c r="AF30" s="522"/>
    </row>
    <row r="31">
      <c r="A31" s="516">
        <v>27.0</v>
      </c>
      <c r="B31" s="523"/>
      <c r="C31" s="518" t="s">
        <v>82</v>
      </c>
      <c r="D31" s="27"/>
      <c r="E31" s="27"/>
      <c r="F31" s="27"/>
      <c r="G31" s="27"/>
      <c r="H31" s="27"/>
      <c r="I31" s="27"/>
      <c r="J31" s="27"/>
      <c r="K31" s="27"/>
      <c r="L31" s="27"/>
      <c r="M31" s="27"/>
      <c r="N31" s="27"/>
      <c r="O31" s="27"/>
      <c r="P31" s="27"/>
      <c r="Q31" s="27"/>
      <c r="R31" s="27"/>
      <c r="S31" s="27"/>
      <c r="V31" s="525"/>
      <c r="W31" s="525"/>
      <c r="X31" s="525"/>
      <c r="Y31" s="525"/>
      <c r="Z31" s="525"/>
      <c r="AA31" s="525"/>
      <c r="AB31" s="525"/>
      <c r="AC31" s="27"/>
      <c r="AD31" s="27"/>
      <c r="AE31" s="27"/>
      <c r="AF31" s="27"/>
    </row>
    <row r="32">
      <c r="A32" s="516">
        <v>28.0</v>
      </c>
      <c r="B32" s="523"/>
      <c r="C32" s="526" t="s">
        <v>84</v>
      </c>
      <c r="D32" s="27"/>
      <c r="E32" s="27"/>
      <c r="F32" s="27"/>
      <c r="G32" s="27"/>
      <c r="H32" s="27"/>
      <c r="I32" s="27"/>
      <c r="J32" s="27"/>
      <c r="K32" s="27"/>
      <c r="L32" s="27"/>
      <c r="M32" s="27"/>
      <c r="N32" s="27"/>
      <c r="O32" s="27"/>
      <c r="P32" s="27"/>
      <c r="Q32" s="27"/>
      <c r="R32" s="27"/>
      <c r="S32" s="27"/>
      <c r="V32" s="522"/>
      <c r="W32" s="522"/>
      <c r="X32" s="522"/>
      <c r="Y32" s="522"/>
      <c r="Z32" s="522"/>
      <c r="AA32" s="522"/>
      <c r="AB32" s="522"/>
      <c r="AC32" s="27"/>
      <c r="AD32" s="27"/>
      <c r="AE32" s="27"/>
      <c r="AF32" s="27"/>
    </row>
    <row r="33">
      <c r="A33" s="516">
        <v>29.0</v>
      </c>
      <c r="B33" s="523"/>
      <c r="C33" s="528" t="s">
        <v>86</v>
      </c>
      <c r="D33" s="27"/>
      <c r="E33" s="27"/>
      <c r="F33" s="27"/>
      <c r="G33" s="27"/>
      <c r="H33" s="27"/>
      <c r="I33" s="27"/>
      <c r="J33" s="27"/>
      <c r="K33" s="27"/>
      <c r="L33" s="27"/>
      <c r="M33" s="27"/>
      <c r="N33" s="27"/>
      <c r="O33" s="27"/>
      <c r="P33" s="27"/>
      <c r="Q33" s="27"/>
      <c r="R33" s="27"/>
      <c r="S33" s="27"/>
      <c r="V33" s="27"/>
      <c r="W33" s="27"/>
      <c r="X33" s="27"/>
      <c r="Y33" s="27"/>
      <c r="Z33" s="27"/>
      <c r="AA33" s="27"/>
      <c r="AB33" s="27"/>
      <c r="AC33" s="27"/>
      <c r="AD33" s="27"/>
      <c r="AE33" s="27"/>
      <c r="AF33" s="27"/>
    </row>
    <row r="34">
      <c r="A34" s="516">
        <v>30.0</v>
      </c>
      <c r="B34" s="523"/>
      <c r="C34" s="518" t="s">
        <v>88</v>
      </c>
      <c r="D34" s="27"/>
      <c r="E34" s="40"/>
      <c r="F34" s="40"/>
      <c r="G34" s="40"/>
      <c r="H34" s="40"/>
      <c r="I34" s="40"/>
      <c r="J34" s="40"/>
      <c r="K34" s="40"/>
      <c r="L34" s="40"/>
      <c r="M34" s="40"/>
      <c r="N34" s="40"/>
      <c r="O34" s="40"/>
      <c r="P34" s="40"/>
      <c r="Q34" s="40"/>
      <c r="R34" s="40"/>
      <c r="S34" s="40"/>
      <c r="V34" s="27"/>
      <c r="W34" s="27"/>
      <c r="X34" s="27"/>
      <c r="Y34" s="27"/>
      <c r="Z34" s="27"/>
      <c r="AA34" s="27"/>
      <c r="AB34" s="27"/>
      <c r="AC34" s="40"/>
      <c r="AD34" s="40"/>
      <c r="AE34" s="40"/>
      <c r="AF34" s="40"/>
    </row>
    <row r="35">
      <c r="A35" s="516">
        <v>31.0</v>
      </c>
      <c r="B35" s="523"/>
      <c r="C35" s="518" t="s">
        <v>90</v>
      </c>
      <c r="D35" s="27"/>
      <c r="E35" s="520" t="s">
        <v>756</v>
      </c>
      <c r="F35" s="521"/>
      <c r="G35" s="521"/>
      <c r="H35" s="522"/>
      <c r="I35" s="522"/>
      <c r="J35" s="522"/>
      <c r="K35" s="522"/>
      <c r="L35" s="522"/>
      <c r="M35" s="522"/>
      <c r="N35" s="522"/>
      <c r="O35" s="522"/>
      <c r="P35" s="522"/>
      <c r="Q35" s="522"/>
      <c r="R35" s="522"/>
      <c r="S35" s="522"/>
      <c r="V35" s="27"/>
      <c r="W35" s="27"/>
      <c r="X35" s="27"/>
      <c r="Y35" s="27"/>
      <c r="Z35" s="27"/>
      <c r="AA35" s="27"/>
      <c r="AB35" s="27"/>
      <c r="AC35" s="522"/>
      <c r="AD35" s="522"/>
      <c r="AE35" s="522"/>
      <c r="AF35" s="522"/>
    </row>
    <row r="36">
      <c r="A36" s="516">
        <v>32.0</v>
      </c>
      <c r="B36" s="523"/>
      <c r="C36" s="518" t="s">
        <v>92</v>
      </c>
      <c r="D36" s="27"/>
      <c r="E36" s="27"/>
      <c r="F36" s="27"/>
      <c r="G36" s="27"/>
      <c r="H36" s="27"/>
      <c r="I36" s="27"/>
      <c r="J36" s="27"/>
      <c r="K36" s="27"/>
      <c r="L36" s="27"/>
      <c r="M36" s="27"/>
      <c r="N36" s="27"/>
      <c r="O36" s="27"/>
      <c r="P36" s="27"/>
      <c r="Q36" s="27"/>
      <c r="R36" s="27"/>
      <c r="S36" s="27"/>
      <c r="V36" s="40"/>
      <c r="W36" s="40"/>
      <c r="X36" s="40"/>
      <c r="Y36" s="40"/>
      <c r="Z36" s="40"/>
      <c r="AA36" s="40"/>
      <c r="AB36" s="40"/>
      <c r="AC36" s="27"/>
      <c r="AD36" s="27"/>
      <c r="AE36" s="27"/>
      <c r="AF36" s="27"/>
    </row>
    <row r="37">
      <c r="A37" s="516">
        <v>33.0</v>
      </c>
      <c r="B37" s="523"/>
      <c r="C37" s="518" t="s">
        <v>94</v>
      </c>
      <c r="D37" s="27"/>
      <c r="E37" s="27"/>
      <c r="F37" s="27"/>
      <c r="G37" s="27"/>
      <c r="H37" s="27"/>
      <c r="I37" s="27"/>
      <c r="J37" s="27"/>
      <c r="K37" s="27"/>
      <c r="L37" s="27"/>
      <c r="M37" s="27"/>
      <c r="N37" s="27"/>
      <c r="O37" s="27"/>
      <c r="P37" s="27"/>
      <c r="Q37" s="27"/>
      <c r="R37" s="27"/>
      <c r="S37" s="27"/>
      <c r="V37" s="522"/>
      <c r="W37" s="522"/>
      <c r="X37" s="522"/>
      <c r="Y37" s="522"/>
      <c r="Z37" s="522"/>
      <c r="AA37" s="522"/>
      <c r="AB37" s="522"/>
      <c r="AC37" s="27"/>
      <c r="AD37" s="27"/>
      <c r="AE37" s="27"/>
      <c r="AF37" s="27"/>
    </row>
    <row r="38">
      <c r="A38" s="516">
        <v>34.0</v>
      </c>
      <c r="B38" s="517" t="s">
        <v>96</v>
      </c>
      <c r="C38" s="518" t="s">
        <v>97</v>
      </c>
      <c r="D38" s="27"/>
      <c r="E38" s="27"/>
      <c r="F38" s="27"/>
      <c r="G38" s="27"/>
      <c r="H38" s="27"/>
      <c r="I38" s="27"/>
      <c r="J38" s="27"/>
      <c r="K38" s="27"/>
      <c r="L38" s="27"/>
      <c r="M38" s="27"/>
      <c r="N38" s="27"/>
      <c r="O38" s="27"/>
      <c r="P38" s="27"/>
      <c r="Q38" s="27"/>
      <c r="R38" s="27"/>
      <c r="S38" s="27"/>
      <c r="V38" s="27"/>
      <c r="W38" s="27"/>
      <c r="X38" s="27"/>
      <c r="Y38" s="27"/>
      <c r="Z38" s="27"/>
      <c r="AA38" s="27"/>
      <c r="AB38" s="27"/>
      <c r="AC38" s="27"/>
      <c r="AD38" s="27"/>
      <c r="AE38" s="27"/>
      <c r="AF38" s="27"/>
    </row>
    <row r="39">
      <c r="A39" s="516">
        <v>35.0</v>
      </c>
      <c r="B39" s="523"/>
      <c r="C39" s="528" t="s">
        <v>100</v>
      </c>
      <c r="D39" s="27"/>
      <c r="E39" s="40"/>
      <c r="F39" s="40"/>
      <c r="G39" s="40"/>
      <c r="H39" s="40"/>
      <c r="I39" s="40"/>
      <c r="J39" s="40"/>
      <c r="K39" s="40"/>
      <c r="L39" s="40"/>
      <c r="M39" s="40"/>
      <c r="N39" s="40"/>
      <c r="O39" s="40"/>
      <c r="P39" s="40"/>
      <c r="Q39" s="40"/>
      <c r="R39" s="40"/>
      <c r="S39" s="40"/>
      <c r="V39" s="27"/>
      <c r="W39" s="27"/>
      <c r="X39" s="27"/>
      <c r="Y39" s="27"/>
      <c r="Z39" s="27"/>
      <c r="AA39" s="27"/>
      <c r="AB39" s="27"/>
      <c r="AC39" s="40"/>
      <c r="AD39" s="40"/>
      <c r="AE39" s="40"/>
      <c r="AF39" s="40"/>
    </row>
    <row r="40">
      <c r="A40" s="516">
        <v>36.0</v>
      </c>
      <c r="B40" s="523"/>
      <c r="C40" s="526" t="s">
        <v>102</v>
      </c>
      <c r="D40" s="27"/>
      <c r="E40" s="529" t="s">
        <v>757</v>
      </c>
      <c r="F40" s="521"/>
      <c r="G40" s="521"/>
      <c r="H40" s="522"/>
      <c r="I40" s="522"/>
      <c r="J40" s="522"/>
      <c r="K40" s="522"/>
      <c r="L40" s="522"/>
      <c r="M40" s="522"/>
      <c r="N40" s="522"/>
      <c r="O40" s="522"/>
      <c r="P40" s="522"/>
      <c r="Q40" s="522"/>
      <c r="R40" s="522"/>
      <c r="S40" s="522"/>
      <c r="V40" s="27"/>
      <c r="W40" s="27"/>
      <c r="X40" s="27"/>
      <c r="Y40" s="27"/>
      <c r="Z40" s="27"/>
      <c r="AA40" s="27"/>
      <c r="AB40" s="27"/>
      <c r="AC40" s="522"/>
      <c r="AD40" s="522"/>
      <c r="AE40" s="522"/>
      <c r="AF40" s="522"/>
    </row>
    <row r="41">
      <c r="A41" s="516">
        <v>37.0</v>
      </c>
      <c r="B41" s="523"/>
      <c r="C41" s="526" t="s">
        <v>104</v>
      </c>
      <c r="D41" s="27"/>
      <c r="E41" s="27"/>
      <c r="F41" s="27"/>
      <c r="G41" s="27"/>
      <c r="H41" s="27"/>
      <c r="I41" s="27"/>
      <c r="J41" s="27"/>
      <c r="K41" s="27"/>
      <c r="L41" s="27"/>
      <c r="M41" s="27"/>
      <c r="N41" s="27"/>
      <c r="O41" s="27"/>
      <c r="P41" s="27"/>
      <c r="Q41" s="27"/>
      <c r="R41" s="27"/>
      <c r="S41" s="27"/>
      <c r="V41" s="40"/>
      <c r="W41" s="40"/>
      <c r="X41" s="40"/>
      <c r="Y41" s="40"/>
      <c r="Z41" s="40"/>
      <c r="AA41" s="40"/>
      <c r="AB41" s="40"/>
      <c r="AC41" s="27"/>
      <c r="AD41" s="27"/>
      <c r="AE41" s="27"/>
      <c r="AF41" s="27"/>
    </row>
    <row r="42">
      <c r="A42" s="516">
        <v>38.0</v>
      </c>
      <c r="B42" s="523"/>
      <c r="C42" s="526" t="s">
        <v>105</v>
      </c>
      <c r="D42" s="27"/>
      <c r="E42" s="27"/>
      <c r="F42" s="27"/>
      <c r="G42" s="27"/>
      <c r="H42" s="27"/>
      <c r="I42" s="27"/>
      <c r="J42" s="27"/>
      <c r="K42" s="27"/>
      <c r="L42" s="27"/>
      <c r="M42" s="27"/>
      <c r="N42" s="27"/>
      <c r="O42" s="27"/>
      <c r="P42" s="27"/>
      <c r="Q42" s="27"/>
      <c r="R42" s="27"/>
      <c r="S42" s="27"/>
      <c r="V42" s="522"/>
      <c r="W42" s="522"/>
      <c r="X42" s="522"/>
      <c r="Y42" s="522"/>
      <c r="Z42" s="522"/>
      <c r="AA42" s="522"/>
      <c r="AB42" s="522"/>
      <c r="AC42" s="27"/>
      <c r="AD42" s="27"/>
      <c r="AE42" s="27"/>
      <c r="AF42" s="27"/>
    </row>
    <row r="43">
      <c r="A43" s="516">
        <v>39.0</v>
      </c>
      <c r="B43" s="523"/>
      <c r="C43" s="526" t="s">
        <v>107</v>
      </c>
      <c r="D43" s="27"/>
      <c r="E43" s="27"/>
      <c r="F43" s="27"/>
      <c r="G43" s="27"/>
      <c r="H43" s="27"/>
      <c r="I43" s="27"/>
      <c r="J43" s="27"/>
      <c r="K43" s="27"/>
      <c r="L43" s="27"/>
      <c r="M43" s="27"/>
      <c r="N43" s="27"/>
      <c r="O43" s="27"/>
      <c r="P43" s="27"/>
      <c r="Q43" s="27"/>
      <c r="R43" s="27"/>
      <c r="S43" s="27"/>
      <c r="V43" s="27"/>
      <c r="W43" s="27"/>
      <c r="X43" s="27"/>
      <c r="Y43" s="27"/>
      <c r="Z43" s="27"/>
      <c r="AA43" s="27"/>
      <c r="AB43" s="27"/>
      <c r="AC43" s="27"/>
      <c r="AD43" s="27"/>
      <c r="AE43" s="27"/>
      <c r="AF43" s="27"/>
    </row>
    <row r="44">
      <c r="A44" s="516">
        <v>40.0</v>
      </c>
      <c r="B44" s="523"/>
      <c r="C44" s="526" t="s">
        <v>109</v>
      </c>
      <c r="D44" s="27"/>
      <c r="E44" s="40"/>
      <c r="F44" s="40"/>
      <c r="G44" s="40"/>
      <c r="H44" s="40"/>
      <c r="I44" s="40"/>
      <c r="J44" s="40"/>
      <c r="K44" s="40"/>
      <c r="L44" s="40"/>
      <c r="M44" s="40"/>
      <c r="N44" s="40"/>
      <c r="O44" s="40"/>
      <c r="P44" s="40"/>
      <c r="Q44" s="40"/>
      <c r="R44" s="40"/>
      <c r="S44" s="40"/>
      <c r="V44" s="27"/>
      <c r="W44" s="27"/>
      <c r="X44" s="27"/>
      <c r="Y44" s="27"/>
      <c r="Z44" s="27"/>
      <c r="AA44" s="27"/>
      <c r="AB44" s="27"/>
      <c r="AC44" s="40"/>
      <c r="AD44" s="40"/>
      <c r="AE44" s="40"/>
      <c r="AF44" s="40"/>
    </row>
    <row r="45">
      <c r="A45" s="516">
        <v>41.0</v>
      </c>
      <c r="B45" s="523"/>
      <c r="C45" s="526" t="s">
        <v>111</v>
      </c>
      <c r="D45" s="27"/>
      <c r="E45" s="529" t="s">
        <v>758</v>
      </c>
      <c r="F45" s="521"/>
      <c r="G45" s="521"/>
      <c r="H45" s="522"/>
      <c r="I45" s="522"/>
      <c r="J45" s="522"/>
      <c r="K45" s="522"/>
      <c r="L45" s="522"/>
      <c r="M45" s="522"/>
      <c r="N45" s="522"/>
      <c r="O45" s="522"/>
      <c r="P45" s="522"/>
      <c r="Q45" s="522"/>
      <c r="R45" s="522"/>
      <c r="S45" s="522"/>
      <c r="V45" s="27"/>
      <c r="W45" s="27"/>
      <c r="X45" s="27"/>
      <c r="Y45" s="27"/>
      <c r="Z45" s="27"/>
      <c r="AA45" s="27"/>
      <c r="AB45" s="27"/>
      <c r="AC45" s="522"/>
      <c r="AD45" s="522"/>
      <c r="AE45" s="522"/>
      <c r="AF45" s="522"/>
    </row>
    <row r="46">
      <c r="A46" s="516">
        <v>42.0</v>
      </c>
      <c r="B46" s="523"/>
      <c r="C46" s="518" t="s">
        <v>113</v>
      </c>
      <c r="D46" s="27"/>
      <c r="E46" s="27"/>
      <c r="F46" s="27"/>
      <c r="G46" s="27"/>
      <c r="H46" s="27"/>
      <c r="I46" s="27"/>
      <c r="J46" s="27"/>
      <c r="K46" s="27"/>
      <c r="L46" s="27"/>
      <c r="M46" s="27"/>
      <c r="N46" s="27"/>
      <c r="O46" s="27"/>
      <c r="P46" s="27"/>
      <c r="Q46" s="27"/>
      <c r="R46" s="27"/>
      <c r="S46" s="27"/>
      <c r="V46" s="40"/>
      <c r="W46" s="40"/>
      <c r="X46" s="40"/>
      <c r="Y46" s="40"/>
      <c r="Z46" s="40"/>
      <c r="AA46" s="40"/>
      <c r="AB46" s="40"/>
      <c r="AC46" s="27"/>
      <c r="AD46" s="27"/>
      <c r="AE46" s="27"/>
      <c r="AF46" s="27"/>
    </row>
    <row r="47">
      <c r="A47" s="516">
        <v>43.0</v>
      </c>
      <c r="B47" s="517" t="s">
        <v>115</v>
      </c>
      <c r="C47" s="526" t="s">
        <v>116</v>
      </c>
      <c r="D47" s="27"/>
      <c r="E47" s="27"/>
      <c r="F47" s="27"/>
      <c r="G47" s="27"/>
      <c r="H47" s="27"/>
      <c r="I47" s="27"/>
      <c r="J47" s="27"/>
      <c r="K47" s="27"/>
      <c r="L47" s="27"/>
      <c r="M47" s="27"/>
      <c r="N47" s="27"/>
      <c r="O47" s="27"/>
      <c r="P47" s="27"/>
      <c r="Q47" s="27"/>
      <c r="R47" s="27"/>
      <c r="S47" s="27"/>
      <c r="V47" s="522"/>
      <c r="W47" s="522"/>
      <c r="X47" s="522"/>
      <c r="Y47" s="522"/>
      <c r="Z47" s="522"/>
      <c r="AA47" s="522"/>
      <c r="AB47" s="522"/>
      <c r="AC47" s="27"/>
      <c r="AD47" s="27"/>
      <c r="AE47" s="27"/>
      <c r="AF47" s="27"/>
    </row>
    <row r="48">
      <c r="A48" s="516">
        <v>44.0</v>
      </c>
      <c r="B48" s="523"/>
      <c r="C48" s="526" t="s">
        <v>118</v>
      </c>
      <c r="D48" s="27"/>
      <c r="E48" s="27"/>
      <c r="F48" s="27"/>
      <c r="G48" s="27"/>
      <c r="H48" s="27"/>
      <c r="I48" s="27"/>
      <c r="J48" s="27"/>
      <c r="K48" s="27"/>
      <c r="L48" s="27"/>
      <c r="M48" s="27"/>
      <c r="N48" s="27"/>
      <c r="O48" s="27"/>
      <c r="P48" s="27"/>
      <c r="Q48" s="27"/>
      <c r="R48" s="27"/>
      <c r="S48" s="27"/>
      <c r="V48" s="27"/>
      <c r="W48" s="27"/>
      <c r="X48" s="27"/>
      <c r="Y48" s="27"/>
      <c r="Z48" s="27"/>
      <c r="AA48" s="27"/>
      <c r="AB48" s="27"/>
      <c r="AC48" s="27"/>
      <c r="AD48" s="27"/>
      <c r="AE48" s="27"/>
      <c r="AF48" s="27"/>
    </row>
    <row r="49">
      <c r="A49" s="516">
        <v>45.0</v>
      </c>
      <c r="B49" s="523"/>
      <c r="C49" s="526" t="s">
        <v>120</v>
      </c>
      <c r="D49" s="27"/>
      <c r="E49" s="40"/>
      <c r="F49" s="40"/>
      <c r="G49" s="40"/>
      <c r="H49" s="40"/>
      <c r="I49" s="40"/>
      <c r="J49" s="40"/>
      <c r="K49" s="40"/>
      <c r="L49" s="40"/>
      <c r="M49" s="40"/>
      <c r="N49" s="40"/>
      <c r="O49" s="40"/>
      <c r="P49" s="40"/>
      <c r="Q49" s="40"/>
      <c r="R49" s="40"/>
      <c r="S49" s="40"/>
      <c r="V49" s="27"/>
      <c r="W49" s="27"/>
      <c r="X49" s="27"/>
      <c r="Y49" s="27"/>
      <c r="Z49" s="27"/>
      <c r="AA49" s="27"/>
      <c r="AB49" s="27"/>
      <c r="AC49" s="40"/>
      <c r="AD49" s="40"/>
      <c r="AE49" s="40"/>
      <c r="AF49" s="40"/>
    </row>
    <row r="50">
      <c r="A50" s="516">
        <v>46.0</v>
      </c>
      <c r="B50" s="523"/>
      <c r="C50" s="526" t="s">
        <v>122</v>
      </c>
      <c r="D50" s="27"/>
      <c r="E50" s="527" t="s">
        <v>759</v>
      </c>
      <c r="F50" s="521"/>
      <c r="G50" s="521"/>
      <c r="H50" s="522"/>
      <c r="I50" s="522"/>
      <c r="J50" s="522"/>
      <c r="K50" s="522"/>
      <c r="L50" s="522"/>
      <c r="M50" s="522"/>
      <c r="N50" s="522"/>
      <c r="O50" s="522"/>
      <c r="P50" s="522"/>
      <c r="Q50" s="522"/>
      <c r="R50" s="522"/>
      <c r="S50" s="522"/>
      <c r="V50" s="27"/>
      <c r="W50" s="27"/>
      <c r="X50" s="27"/>
      <c r="Y50" s="27"/>
      <c r="Z50" s="27"/>
      <c r="AA50" s="27"/>
      <c r="AB50" s="27"/>
      <c r="AC50" s="522"/>
      <c r="AD50" s="522"/>
      <c r="AE50" s="522"/>
      <c r="AF50" s="522"/>
    </row>
    <row r="51">
      <c r="A51" s="516">
        <v>47.0</v>
      </c>
      <c r="B51" s="523"/>
      <c r="C51" s="526" t="s">
        <v>123</v>
      </c>
      <c r="D51" s="27"/>
      <c r="E51" s="27"/>
      <c r="F51" s="27"/>
      <c r="G51" s="27"/>
      <c r="H51" s="27"/>
      <c r="I51" s="27"/>
      <c r="J51" s="27"/>
      <c r="K51" s="27"/>
      <c r="L51" s="27"/>
      <c r="M51" s="27"/>
      <c r="N51" s="27"/>
      <c r="O51" s="27"/>
      <c r="P51" s="27"/>
      <c r="Q51" s="27"/>
      <c r="R51" s="27"/>
      <c r="S51" s="27"/>
      <c r="V51" s="40"/>
      <c r="W51" s="40"/>
      <c r="X51" s="40"/>
      <c r="Y51" s="40"/>
      <c r="Z51" s="40"/>
      <c r="AA51" s="40"/>
      <c r="AB51" s="40"/>
      <c r="AC51" s="27"/>
      <c r="AD51" s="27"/>
      <c r="AE51" s="27"/>
      <c r="AF51" s="27"/>
    </row>
    <row r="52">
      <c r="A52" s="516">
        <v>48.0</v>
      </c>
      <c r="B52" s="523"/>
      <c r="C52" s="518" t="s">
        <v>125</v>
      </c>
      <c r="D52" s="27"/>
      <c r="E52" s="27"/>
      <c r="F52" s="27"/>
      <c r="G52" s="27"/>
      <c r="H52" s="27"/>
      <c r="I52" s="27"/>
      <c r="J52" s="27"/>
      <c r="K52" s="27"/>
      <c r="L52" s="27"/>
      <c r="M52" s="27"/>
      <c r="N52" s="27"/>
      <c r="O52" s="27"/>
      <c r="P52" s="27"/>
      <c r="Q52" s="27"/>
      <c r="R52" s="27"/>
      <c r="S52" s="27"/>
      <c r="V52" s="522"/>
      <c r="W52" s="522"/>
      <c r="X52" s="522"/>
      <c r="Y52" s="522"/>
      <c r="Z52" s="522"/>
      <c r="AA52" s="522"/>
      <c r="AB52" s="522"/>
      <c r="AC52" s="27"/>
      <c r="AD52" s="27"/>
      <c r="AE52" s="27"/>
      <c r="AF52" s="27"/>
    </row>
    <row r="53">
      <c r="A53" s="516">
        <v>49.0</v>
      </c>
      <c r="B53" s="523"/>
      <c r="C53" s="530" t="s">
        <v>127</v>
      </c>
      <c r="D53" s="27"/>
      <c r="E53" s="27"/>
      <c r="F53" s="27"/>
      <c r="G53" s="27"/>
      <c r="H53" s="27"/>
      <c r="I53" s="27"/>
      <c r="J53" s="27"/>
      <c r="K53" s="27"/>
      <c r="L53" s="27"/>
      <c r="M53" s="27"/>
      <c r="N53" s="27"/>
      <c r="O53" s="27"/>
      <c r="P53" s="27"/>
      <c r="Q53" s="27"/>
      <c r="R53" s="27"/>
      <c r="S53" s="27"/>
      <c r="V53" s="27"/>
      <c r="W53" s="27"/>
      <c r="X53" s="27"/>
      <c r="Y53" s="27"/>
      <c r="Z53" s="27"/>
      <c r="AA53" s="27"/>
      <c r="AB53" s="27"/>
      <c r="AC53" s="27"/>
      <c r="AD53" s="27"/>
      <c r="AE53" s="27"/>
      <c r="AF53" s="27"/>
    </row>
    <row r="54">
      <c r="A54" s="516">
        <v>50.0</v>
      </c>
      <c r="B54" s="523"/>
      <c r="C54" s="530" t="s">
        <v>129</v>
      </c>
      <c r="D54" s="40"/>
      <c r="E54" s="40"/>
      <c r="F54" s="40"/>
      <c r="G54" s="40"/>
      <c r="H54" s="40"/>
      <c r="I54" s="40"/>
      <c r="J54" s="40"/>
      <c r="K54" s="40"/>
      <c r="L54" s="40"/>
      <c r="M54" s="40"/>
      <c r="N54" s="40"/>
      <c r="O54" s="40"/>
      <c r="P54" s="40"/>
      <c r="Q54" s="40"/>
      <c r="R54" s="40"/>
      <c r="S54" s="40"/>
      <c r="V54" s="27"/>
      <c r="W54" s="27"/>
      <c r="X54" s="27"/>
      <c r="Y54" s="27"/>
      <c r="Z54" s="27"/>
      <c r="AA54" s="27"/>
      <c r="AB54" s="27"/>
      <c r="AC54" s="40"/>
      <c r="AD54" s="40"/>
      <c r="AE54" s="40"/>
      <c r="AF54" s="40"/>
    </row>
    <row r="55">
      <c r="A55" s="516">
        <v>51.0</v>
      </c>
      <c r="B55" s="517" t="s">
        <v>131</v>
      </c>
      <c r="C55" s="518" t="s">
        <v>132</v>
      </c>
      <c r="D55" s="519" t="s">
        <v>760</v>
      </c>
      <c r="E55" s="531" t="s">
        <v>761</v>
      </c>
      <c r="F55" s="523"/>
      <c r="G55" s="523"/>
      <c r="H55" s="525"/>
      <c r="I55" s="525"/>
      <c r="J55" s="525"/>
      <c r="K55" s="525"/>
      <c r="L55" s="525"/>
      <c r="M55" s="525"/>
      <c r="N55" s="525"/>
      <c r="O55" s="525"/>
      <c r="P55" s="525"/>
      <c r="Q55" s="525"/>
      <c r="R55" s="525"/>
      <c r="S55" s="525"/>
      <c r="V55" s="27"/>
      <c r="W55" s="27"/>
      <c r="X55" s="27"/>
      <c r="Y55" s="27"/>
      <c r="Z55" s="27"/>
      <c r="AA55" s="27"/>
      <c r="AB55" s="27"/>
      <c r="AC55" s="525"/>
      <c r="AD55" s="525"/>
      <c r="AE55" s="525"/>
      <c r="AF55" s="525"/>
    </row>
    <row r="56">
      <c r="A56" s="516">
        <v>52.0</v>
      </c>
      <c r="B56" s="523"/>
      <c r="C56" s="532" t="s">
        <v>134</v>
      </c>
      <c r="D56" s="27"/>
      <c r="E56" s="533" t="s">
        <v>762</v>
      </c>
      <c r="F56" s="523"/>
      <c r="G56" s="523"/>
      <c r="H56" s="525"/>
      <c r="I56" s="525"/>
      <c r="J56" s="525"/>
      <c r="K56" s="525"/>
      <c r="L56" s="525"/>
      <c r="M56" s="525"/>
      <c r="N56" s="525"/>
      <c r="O56" s="525"/>
      <c r="P56" s="525"/>
      <c r="Q56" s="525"/>
      <c r="R56" s="525"/>
      <c r="S56" s="525"/>
      <c r="V56" s="40"/>
      <c r="W56" s="40"/>
      <c r="X56" s="40"/>
      <c r="Y56" s="40"/>
      <c r="Z56" s="40"/>
      <c r="AA56" s="40"/>
      <c r="AB56" s="40"/>
      <c r="AC56" s="525"/>
      <c r="AD56" s="525"/>
      <c r="AE56" s="525"/>
      <c r="AF56" s="525"/>
    </row>
    <row r="57">
      <c r="A57" s="516">
        <v>53.0</v>
      </c>
      <c r="B57" s="523"/>
      <c r="C57" s="532" t="s">
        <v>136</v>
      </c>
      <c r="D57" s="27"/>
      <c r="E57" s="534" t="s">
        <v>763</v>
      </c>
      <c r="F57" s="523"/>
      <c r="G57" s="523"/>
      <c r="H57" s="525"/>
      <c r="I57" s="525"/>
      <c r="J57" s="525"/>
      <c r="K57" s="525"/>
      <c r="L57" s="525"/>
      <c r="M57" s="525"/>
      <c r="N57" s="525"/>
      <c r="O57" s="525"/>
      <c r="P57" s="525"/>
      <c r="Q57" s="525"/>
      <c r="R57" s="525"/>
      <c r="S57" s="525"/>
      <c r="V57" s="525"/>
      <c r="W57" s="525"/>
      <c r="X57" s="525"/>
      <c r="Y57" s="525"/>
      <c r="Z57" s="525"/>
      <c r="AA57" s="525"/>
      <c r="AB57" s="525"/>
      <c r="AC57" s="525"/>
      <c r="AD57" s="525"/>
      <c r="AE57" s="525"/>
      <c r="AF57" s="525"/>
    </row>
    <row r="58">
      <c r="A58" s="516">
        <v>54.0</v>
      </c>
      <c r="B58" s="523"/>
      <c r="C58" s="532" t="s">
        <v>137</v>
      </c>
      <c r="D58" s="27"/>
      <c r="E58" s="533" t="s">
        <v>764</v>
      </c>
      <c r="F58" s="523"/>
      <c r="G58" s="523"/>
      <c r="H58" s="525"/>
      <c r="I58" s="525"/>
      <c r="J58" s="525"/>
      <c r="K58" s="525"/>
      <c r="L58" s="525"/>
      <c r="M58" s="525"/>
      <c r="N58" s="525"/>
      <c r="O58" s="525"/>
      <c r="P58" s="525"/>
      <c r="Q58" s="525"/>
      <c r="R58" s="525"/>
      <c r="S58" s="525"/>
      <c r="V58" s="525"/>
      <c r="X58" s="525"/>
      <c r="Y58" s="525"/>
      <c r="Z58" s="525"/>
      <c r="AA58" s="525"/>
      <c r="AB58" s="525"/>
      <c r="AC58" s="525"/>
      <c r="AD58" s="525"/>
      <c r="AE58" s="525"/>
      <c r="AF58" s="525"/>
    </row>
    <row r="59">
      <c r="A59" s="516">
        <v>55.0</v>
      </c>
      <c r="B59" s="523"/>
      <c r="C59" s="526" t="s">
        <v>139</v>
      </c>
      <c r="D59" s="27"/>
      <c r="E59" s="533" t="s">
        <v>765</v>
      </c>
      <c r="F59" s="523"/>
      <c r="G59" s="523"/>
      <c r="H59" s="525"/>
      <c r="I59" s="525"/>
      <c r="J59" s="525"/>
      <c r="K59" s="525"/>
      <c r="L59" s="525"/>
      <c r="M59" s="525"/>
      <c r="N59" s="525"/>
      <c r="O59" s="525"/>
      <c r="P59" s="525"/>
      <c r="Q59" s="525"/>
      <c r="R59" s="525"/>
      <c r="S59" s="525"/>
      <c r="V59" s="525"/>
      <c r="W59" s="525"/>
      <c r="X59" s="525"/>
      <c r="Y59" s="525"/>
      <c r="Z59" s="525"/>
      <c r="AA59" s="525"/>
      <c r="AB59" s="525"/>
      <c r="AC59" s="525"/>
      <c r="AD59" s="525"/>
      <c r="AE59" s="525"/>
      <c r="AF59" s="525"/>
    </row>
    <row r="60">
      <c r="A60" s="516">
        <v>56.0</v>
      </c>
      <c r="B60" s="523"/>
      <c r="C60" s="518" t="s">
        <v>141</v>
      </c>
      <c r="D60" s="27"/>
      <c r="E60" s="531" t="s">
        <v>766</v>
      </c>
      <c r="F60" s="523"/>
      <c r="G60" s="523"/>
      <c r="H60" s="525"/>
      <c r="I60" s="525"/>
      <c r="J60" s="525"/>
      <c r="K60" s="525"/>
      <c r="L60" s="525"/>
      <c r="M60" s="525"/>
      <c r="N60" s="525"/>
      <c r="O60" s="525"/>
      <c r="P60" s="525"/>
      <c r="Q60" s="525"/>
      <c r="R60" s="525"/>
      <c r="S60" s="525"/>
      <c r="V60" s="525"/>
      <c r="W60" s="525"/>
      <c r="X60" s="525"/>
      <c r="Y60" s="525"/>
      <c r="Z60" s="525"/>
      <c r="AA60" s="525"/>
      <c r="AB60" s="525"/>
      <c r="AC60" s="525"/>
      <c r="AD60" s="525"/>
      <c r="AE60" s="525"/>
      <c r="AF60" s="525"/>
    </row>
    <row r="61">
      <c r="A61" s="516">
        <v>57.0</v>
      </c>
      <c r="B61" s="523"/>
      <c r="C61" s="518" t="s">
        <v>143</v>
      </c>
      <c r="D61" s="40"/>
      <c r="E61" s="531" t="s">
        <v>767</v>
      </c>
      <c r="F61" s="523"/>
      <c r="G61" s="523"/>
      <c r="H61" s="525"/>
      <c r="I61" s="525"/>
      <c r="J61" s="525"/>
      <c r="K61" s="525"/>
      <c r="L61" s="525"/>
      <c r="M61" s="525"/>
      <c r="N61" s="525"/>
      <c r="O61" s="525"/>
      <c r="P61" s="525"/>
      <c r="Q61" s="525"/>
      <c r="R61" s="525"/>
      <c r="S61" s="525"/>
      <c r="V61" s="525"/>
      <c r="W61" s="525"/>
      <c r="X61" s="525"/>
      <c r="Y61" s="525"/>
      <c r="Z61" s="525"/>
      <c r="AA61" s="525"/>
      <c r="AB61" s="525"/>
      <c r="AC61" s="525"/>
      <c r="AD61" s="525"/>
      <c r="AE61" s="525"/>
      <c r="AF61" s="525"/>
    </row>
    <row r="62">
      <c r="A62" s="516">
        <v>58.0</v>
      </c>
      <c r="B62" s="523"/>
      <c r="C62" s="518" t="s">
        <v>144</v>
      </c>
      <c r="D62" s="519" t="s">
        <v>768</v>
      </c>
      <c r="E62" s="531" t="s">
        <v>769</v>
      </c>
      <c r="F62" s="523"/>
      <c r="G62" s="523"/>
      <c r="H62" s="525"/>
      <c r="I62" s="525"/>
      <c r="J62" s="525"/>
      <c r="K62" s="525"/>
      <c r="L62" s="525"/>
      <c r="M62" s="525"/>
      <c r="N62" s="525"/>
      <c r="O62" s="525"/>
      <c r="P62" s="525"/>
      <c r="Q62" s="525"/>
      <c r="R62" s="525"/>
      <c r="S62" s="525"/>
      <c r="V62" s="525"/>
      <c r="W62" s="525"/>
      <c r="X62" s="525"/>
      <c r="Y62" s="525"/>
      <c r="Z62" s="525"/>
      <c r="AA62" s="525"/>
      <c r="AB62" s="525"/>
      <c r="AC62" s="525"/>
      <c r="AD62" s="525"/>
      <c r="AE62" s="525"/>
      <c r="AF62" s="525"/>
    </row>
    <row r="63">
      <c r="A63" s="516">
        <v>59.0</v>
      </c>
      <c r="B63" s="523"/>
      <c r="C63" s="532" t="s">
        <v>146</v>
      </c>
      <c r="D63" s="27"/>
      <c r="E63" s="534" t="s">
        <v>770</v>
      </c>
      <c r="F63" s="523"/>
      <c r="G63" s="523"/>
      <c r="H63" s="525"/>
      <c r="I63" s="525"/>
      <c r="J63" s="525"/>
      <c r="K63" s="525"/>
      <c r="L63" s="525"/>
      <c r="M63" s="525"/>
      <c r="N63" s="525"/>
      <c r="O63" s="525"/>
      <c r="P63" s="525"/>
      <c r="Q63" s="525"/>
      <c r="R63" s="525"/>
      <c r="S63" s="525"/>
      <c r="V63" s="525"/>
      <c r="W63" s="525"/>
      <c r="X63" s="525"/>
      <c r="Y63" s="525"/>
      <c r="Z63" s="525"/>
      <c r="AA63" s="525"/>
      <c r="AB63" s="525"/>
      <c r="AC63" s="525"/>
      <c r="AD63" s="525"/>
      <c r="AE63" s="525"/>
      <c r="AF63" s="525"/>
    </row>
    <row r="64">
      <c r="A64" s="516">
        <v>60.0</v>
      </c>
      <c r="B64" s="523"/>
      <c r="C64" s="518" t="s">
        <v>147</v>
      </c>
      <c r="D64" s="27"/>
      <c r="E64" s="531" t="s">
        <v>771</v>
      </c>
      <c r="F64" s="523"/>
      <c r="G64" s="523"/>
      <c r="H64" s="525"/>
      <c r="I64" s="525"/>
      <c r="J64" s="525"/>
      <c r="K64" s="525"/>
      <c r="L64" s="525"/>
      <c r="M64" s="525"/>
      <c r="N64" s="525"/>
      <c r="O64" s="525"/>
      <c r="P64" s="525"/>
      <c r="Q64" s="525"/>
      <c r="R64" s="525"/>
      <c r="S64" s="525"/>
      <c r="V64" s="525"/>
      <c r="W64" s="525"/>
      <c r="X64" s="525"/>
      <c r="Y64" s="525"/>
      <c r="Z64" s="525"/>
      <c r="AA64" s="525"/>
      <c r="AB64" s="525"/>
      <c r="AC64" s="525"/>
      <c r="AD64" s="525"/>
      <c r="AE64" s="525"/>
      <c r="AF64" s="525"/>
    </row>
    <row r="65">
      <c r="A65" s="516">
        <v>61.0</v>
      </c>
      <c r="B65" s="523"/>
      <c r="C65" s="532" t="s">
        <v>149</v>
      </c>
      <c r="D65" s="27"/>
      <c r="E65" s="533" t="s">
        <v>772</v>
      </c>
      <c r="F65" s="523"/>
      <c r="G65" s="523"/>
      <c r="H65" s="525"/>
      <c r="I65" s="525"/>
      <c r="J65" s="525"/>
      <c r="K65" s="525"/>
      <c r="L65" s="525"/>
      <c r="M65" s="525"/>
      <c r="N65" s="525"/>
      <c r="O65" s="525"/>
      <c r="P65" s="525"/>
      <c r="Q65" s="525"/>
      <c r="R65" s="525"/>
      <c r="S65" s="525"/>
      <c r="V65" s="525"/>
      <c r="W65" s="525"/>
      <c r="X65" s="525"/>
      <c r="Y65" s="525"/>
      <c r="Z65" s="525"/>
      <c r="AA65" s="525"/>
      <c r="AB65" s="525"/>
      <c r="AC65" s="525"/>
      <c r="AD65" s="525"/>
      <c r="AE65" s="525"/>
      <c r="AF65" s="525"/>
    </row>
    <row r="66">
      <c r="A66" s="516">
        <v>62.0</v>
      </c>
      <c r="B66" s="523"/>
      <c r="C66" s="518" t="s">
        <v>151</v>
      </c>
      <c r="D66" s="40"/>
      <c r="E66" s="531" t="s">
        <v>773</v>
      </c>
      <c r="F66" s="523"/>
      <c r="G66" s="523"/>
      <c r="H66" s="525"/>
      <c r="I66" s="525"/>
      <c r="J66" s="525"/>
      <c r="K66" s="525"/>
      <c r="L66" s="525"/>
      <c r="M66" s="525"/>
      <c r="N66" s="525"/>
      <c r="O66" s="525"/>
      <c r="P66" s="525"/>
      <c r="Q66" s="525"/>
      <c r="R66" s="525"/>
      <c r="S66" s="525"/>
      <c r="V66" s="525"/>
      <c r="W66" s="525"/>
      <c r="X66" s="525"/>
      <c r="Y66" s="525"/>
      <c r="Z66" s="525"/>
      <c r="AA66" s="525"/>
      <c r="AB66" s="525"/>
      <c r="AC66" s="525"/>
      <c r="AD66" s="525"/>
      <c r="AE66" s="525"/>
      <c r="AF66" s="525"/>
    </row>
    <row r="67">
      <c r="A67" s="516">
        <v>63.0</v>
      </c>
      <c r="B67" s="523"/>
      <c r="C67" s="518" t="s">
        <v>153</v>
      </c>
      <c r="D67" s="519" t="s">
        <v>774</v>
      </c>
      <c r="E67" s="518" t="s">
        <v>775</v>
      </c>
      <c r="F67" s="523"/>
      <c r="G67" s="523"/>
      <c r="H67" s="525"/>
      <c r="I67" s="525"/>
      <c r="J67" s="525"/>
      <c r="K67" s="525"/>
      <c r="L67" s="525"/>
      <c r="M67" s="525"/>
      <c r="N67" s="525"/>
      <c r="O67" s="525"/>
      <c r="P67" s="525"/>
      <c r="Q67" s="525"/>
      <c r="R67" s="525"/>
      <c r="S67" s="525"/>
      <c r="V67" s="525"/>
      <c r="W67" s="525"/>
      <c r="X67" s="525"/>
      <c r="Y67" s="525"/>
      <c r="Z67" s="525"/>
      <c r="AA67" s="525"/>
      <c r="AB67" s="525"/>
      <c r="AC67" s="525"/>
      <c r="AD67" s="525"/>
      <c r="AE67" s="525"/>
      <c r="AF67" s="525"/>
    </row>
    <row r="68">
      <c r="A68" s="516">
        <v>64.0</v>
      </c>
      <c r="B68" s="517" t="s">
        <v>156</v>
      </c>
      <c r="C68" s="518" t="s">
        <v>157</v>
      </c>
      <c r="D68" s="27"/>
      <c r="E68" s="518" t="s">
        <v>776</v>
      </c>
      <c r="F68" s="523"/>
      <c r="G68" s="523"/>
      <c r="H68" s="525"/>
      <c r="I68" s="525"/>
      <c r="J68" s="525"/>
      <c r="K68" s="525"/>
      <c r="L68" s="525"/>
      <c r="M68" s="525"/>
      <c r="N68" s="525"/>
      <c r="O68" s="525"/>
      <c r="P68" s="525"/>
      <c r="Q68" s="525"/>
      <c r="R68" s="525"/>
      <c r="S68" s="525"/>
      <c r="V68" s="525"/>
      <c r="W68" s="525"/>
      <c r="X68" s="525"/>
      <c r="Y68" s="525"/>
      <c r="Z68" s="525"/>
      <c r="AA68" s="525"/>
      <c r="AB68" s="525"/>
      <c r="AC68" s="525"/>
      <c r="AD68" s="525"/>
      <c r="AE68" s="525"/>
      <c r="AF68" s="525"/>
    </row>
    <row r="69">
      <c r="A69" s="516">
        <v>65.0</v>
      </c>
      <c r="B69" s="523"/>
      <c r="C69" s="518" t="s">
        <v>160</v>
      </c>
      <c r="D69" s="27"/>
      <c r="E69" s="518" t="s">
        <v>777</v>
      </c>
      <c r="F69" s="523"/>
      <c r="G69" s="523"/>
      <c r="H69" s="525"/>
      <c r="I69" s="525"/>
      <c r="J69" s="525"/>
      <c r="K69" s="525"/>
      <c r="L69" s="525"/>
      <c r="M69" s="525"/>
      <c r="N69" s="525"/>
      <c r="O69" s="525"/>
      <c r="P69" s="525"/>
      <c r="Q69" s="525"/>
      <c r="R69" s="525"/>
      <c r="S69" s="525"/>
      <c r="V69" s="525"/>
      <c r="W69" s="525"/>
      <c r="X69" s="525"/>
      <c r="Y69" s="525"/>
      <c r="Z69" s="525"/>
      <c r="AA69" s="525"/>
      <c r="AB69" s="525"/>
      <c r="AC69" s="525"/>
      <c r="AD69" s="525"/>
      <c r="AE69" s="525"/>
      <c r="AF69" s="525"/>
    </row>
    <row r="70">
      <c r="A70" s="516">
        <v>66.0</v>
      </c>
      <c r="B70" s="523"/>
      <c r="C70" s="518" t="s">
        <v>162</v>
      </c>
      <c r="D70" s="27"/>
      <c r="E70" s="518" t="s">
        <v>778</v>
      </c>
      <c r="F70" s="523"/>
      <c r="G70" s="523"/>
      <c r="H70" s="525"/>
      <c r="I70" s="525"/>
      <c r="J70" s="525"/>
      <c r="K70" s="525"/>
      <c r="L70" s="525"/>
      <c r="M70" s="525"/>
      <c r="N70" s="525"/>
      <c r="O70" s="525"/>
      <c r="P70" s="525"/>
      <c r="Q70" s="525"/>
      <c r="R70" s="525"/>
      <c r="S70" s="525"/>
      <c r="V70" s="525"/>
      <c r="W70" s="525"/>
      <c r="X70" s="525"/>
      <c r="Y70" s="525"/>
      <c r="Z70" s="525"/>
      <c r="AA70" s="525"/>
      <c r="AB70" s="525"/>
      <c r="AC70" s="525"/>
      <c r="AD70" s="525"/>
      <c r="AE70" s="525"/>
      <c r="AF70" s="525"/>
    </row>
    <row r="71">
      <c r="A71" s="516">
        <v>67.0</v>
      </c>
      <c r="B71" s="523"/>
      <c r="C71" s="518" t="s">
        <v>164</v>
      </c>
      <c r="D71" s="40"/>
      <c r="E71" s="518" t="s">
        <v>779</v>
      </c>
      <c r="F71" s="523"/>
      <c r="G71" s="523"/>
      <c r="H71" s="525"/>
      <c r="I71" s="525"/>
      <c r="J71" s="525"/>
      <c r="K71" s="525"/>
      <c r="L71" s="525"/>
      <c r="M71" s="525"/>
      <c r="N71" s="525"/>
      <c r="O71" s="525"/>
      <c r="P71" s="525"/>
      <c r="Q71" s="525"/>
      <c r="R71" s="525"/>
      <c r="S71" s="525"/>
      <c r="V71" s="525"/>
      <c r="W71" s="525"/>
      <c r="X71" s="525"/>
      <c r="Y71" s="525"/>
      <c r="Z71" s="525"/>
      <c r="AA71" s="525"/>
      <c r="AB71" s="525"/>
      <c r="AC71" s="525"/>
      <c r="AD71" s="525"/>
      <c r="AE71" s="525"/>
      <c r="AF71" s="525"/>
    </row>
    <row r="72">
      <c r="A72" s="516">
        <v>68.0</v>
      </c>
      <c r="B72" s="517" t="s">
        <v>166</v>
      </c>
      <c r="C72" s="535" t="s">
        <v>167</v>
      </c>
      <c r="D72" s="519" t="s">
        <v>780</v>
      </c>
      <c r="E72" s="536" t="s">
        <v>781</v>
      </c>
      <c r="F72" s="523"/>
      <c r="G72" s="523"/>
      <c r="H72" s="525"/>
      <c r="I72" s="525"/>
      <c r="J72" s="525"/>
      <c r="K72" s="525"/>
      <c r="L72" s="525"/>
      <c r="M72" s="525"/>
      <c r="N72" s="525"/>
      <c r="O72" s="525"/>
      <c r="P72" s="525"/>
      <c r="Q72" s="525"/>
      <c r="R72" s="525"/>
      <c r="S72" s="525"/>
      <c r="V72" s="525"/>
      <c r="W72" s="525"/>
      <c r="X72" s="525"/>
      <c r="Y72" s="525"/>
      <c r="Z72" s="525"/>
      <c r="AA72" s="525"/>
      <c r="AB72" s="525"/>
      <c r="AC72" s="525"/>
      <c r="AD72" s="525"/>
      <c r="AE72" s="525"/>
      <c r="AF72" s="525"/>
    </row>
    <row r="73">
      <c r="A73" s="516">
        <v>69.0</v>
      </c>
      <c r="B73" s="523"/>
      <c r="C73" s="518" t="s">
        <v>169</v>
      </c>
      <c r="D73" s="27"/>
      <c r="E73" s="518" t="s">
        <v>782</v>
      </c>
      <c r="F73" s="523"/>
      <c r="G73" s="523"/>
      <c r="H73" s="525"/>
      <c r="I73" s="525"/>
      <c r="J73" s="525"/>
      <c r="K73" s="525"/>
      <c r="L73" s="525"/>
      <c r="M73" s="525"/>
      <c r="N73" s="525"/>
      <c r="O73" s="525"/>
      <c r="P73" s="525"/>
      <c r="Q73" s="525"/>
      <c r="R73" s="525"/>
      <c r="S73" s="525"/>
      <c r="V73" s="525"/>
      <c r="W73" s="525"/>
      <c r="X73" s="525"/>
      <c r="Y73" s="525"/>
      <c r="Z73" s="525"/>
      <c r="AA73" s="525"/>
      <c r="AB73" s="525"/>
      <c r="AC73" s="525"/>
      <c r="AD73" s="525"/>
      <c r="AE73" s="525"/>
      <c r="AF73" s="525"/>
    </row>
    <row r="74">
      <c r="A74" s="516">
        <v>70.0</v>
      </c>
      <c r="B74" s="523"/>
      <c r="C74" s="518" t="s">
        <v>171</v>
      </c>
      <c r="D74" s="27"/>
      <c r="E74" s="518" t="s">
        <v>783</v>
      </c>
      <c r="F74" s="523"/>
      <c r="G74" s="523"/>
      <c r="H74" s="525"/>
      <c r="I74" s="525"/>
      <c r="J74" s="525"/>
      <c r="K74" s="525"/>
      <c r="L74" s="525"/>
      <c r="M74" s="525"/>
      <c r="N74" s="525"/>
      <c r="O74" s="525"/>
      <c r="P74" s="525"/>
      <c r="Q74" s="525"/>
      <c r="R74" s="525"/>
      <c r="S74" s="525"/>
      <c r="T74" s="525"/>
      <c r="U74" s="525"/>
      <c r="V74" s="525"/>
      <c r="W74" s="525"/>
      <c r="X74" s="525"/>
      <c r="Y74" s="525"/>
      <c r="Z74" s="525"/>
      <c r="AA74" s="525"/>
      <c r="AB74" s="525"/>
      <c r="AC74" s="525"/>
      <c r="AD74" s="525"/>
      <c r="AE74" s="525"/>
      <c r="AF74" s="525"/>
    </row>
    <row r="75">
      <c r="A75" s="516">
        <v>71.0</v>
      </c>
      <c r="B75" s="523"/>
      <c r="C75" s="518" t="s">
        <v>173</v>
      </c>
      <c r="D75" s="27"/>
      <c r="E75" s="518" t="s">
        <v>784</v>
      </c>
      <c r="F75" s="523"/>
      <c r="G75" s="523"/>
      <c r="H75" s="525"/>
      <c r="I75" s="525"/>
      <c r="J75" s="525"/>
      <c r="K75" s="525"/>
      <c r="L75" s="525"/>
      <c r="M75" s="525"/>
      <c r="N75" s="525"/>
      <c r="O75" s="525"/>
      <c r="P75" s="525"/>
      <c r="Q75" s="525"/>
      <c r="R75" s="525"/>
      <c r="S75" s="525"/>
      <c r="T75" s="525"/>
      <c r="U75" s="525"/>
      <c r="V75" s="525"/>
      <c r="W75" s="525"/>
      <c r="X75" s="525"/>
      <c r="Y75" s="525"/>
      <c r="Z75" s="525"/>
      <c r="AA75" s="525"/>
      <c r="AB75" s="525"/>
      <c r="AC75" s="525"/>
      <c r="AD75" s="525"/>
      <c r="AE75" s="525"/>
      <c r="AF75" s="525"/>
    </row>
    <row r="76">
      <c r="A76" s="516">
        <v>72.0</v>
      </c>
      <c r="B76" s="523"/>
      <c r="C76" s="518" t="s">
        <v>175</v>
      </c>
      <c r="D76" s="40"/>
      <c r="E76" s="518" t="s">
        <v>785</v>
      </c>
      <c r="F76" s="523"/>
      <c r="G76" s="523"/>
      <c r="H76" s="525"/>
      <c r="I76" s="525"/>
      <c r="J76" s="525"/>
      <c r="K76" s="525"/>
      <c r="L76" s="525"/>
      <c r="M76" s="525"/>
      <c r="N76" s="525"/>
      <c r="O76" s="525"/>
      <c r="P76" s="525"/>
      <c r="Q76" s="525"/>
      <c r="R76" s="525"/>
      <c r="S76" s="525"/>
      <c r="T76" s="525"/>
      <c r="U76" s="525"/>
      <c r="V76" s="525"/>
      <c r="W76" s="525"/>
      <c r="X76" s="525"/>
      <c r="Y76" s="525"/>
      <c r="Z76" s="525"/>
      <c r="AA76" s="525"/>
      <c r="AB76" s="525"/>
      <c r="AC76" s="525"/>
      <c r="AD76" s="525"/>
      <c r="AE76" s="525"/>
      <c r="AF76" s="525"/>
    </row>
    <row r="77">
      <c r="A77" s="516">
        <v>73.0</v>
      </c>
      <c r="B77" s="523"/>
      <c r="C77" s="518" t="s">
        <v>177</v>
      </c>
      <c r="D77" s="519" t="s">
        <v>786</v>
      </c>
      <c r="E77" s="518" t="s">
        <v>787</v>
      </c>
      <c r="F77" s="523"/>
      <c r="G77" s="523"/>
      <c r="H77" s="525"/>
      <c r="I77" s="525"/>
      <c r="J77" s="525"/>
      <c r="K77" s="525"/>
      <c r="L77" s="525"/>
      <c r="M77" s="525"/>
      <c r="N77" s="525"/>
      <c r="O77" s="525"/>
      <c r="P77" s="525"/>
      <c r="Q77" s="525"/>
      <c r="R77" s="525"/>
      <c r="S77" s="525"/>
      <c r="T77" s="525"/>
      <c r="U77" s="525"/>
      <c r="V77" s="525"/>
      <c r="W77" s="525"/>
      <c r="X77" s="525"/>
      <c r="Y77" s="525"/>
      <c r="Z77" s="525"/>
      <c r="AA77" s="525"/>
      <c r="AB77" s="525"/>
      <c r="AC77" s="525"/>
      <c r="AD77" s="525"/>
      <c r="AE77" s="525"/>
      <c r="AF77" s="525"/>
    </row>
    <row r="78">
      <c r="A78" s="516">
        <v>74.0</v>
      </c>
      <c r="B78" s="523"/>
      <c r="C78" s="518" t="s">
        <v>179</v>
      </c>
      <c r="D78" s="27"/>
      <c r="E78" s="518" t="s">
        <v>788</v>
      </c>
      <c r="F78" s="523"/>
      <c r="G78" s="523"/>
      <c r="H78" s="525"/>
      <c r="I78" s="525"/>
      <c r="J78" s="525"/>
      <c r="K78" s="525"/>
      <c r="L78" s="525"/>
      <c r="M78" s="525"/>
      <c r="N78" s="525"/>
      <c r="O78" s="525"/>
      <c r="P78" s="525"/>
      <c r="Q78" s="525"/>
      <c r="R78" s="525"/>
      <c r="S78" s="525"/>
      <c r="T78" s="525"/>
      <c r="U78" s="525"/>
      <c r="V78" s="525"/>
      <c r="W78" s="525"/>
      <c r="X78" s="525"/>
      <c r="Y78" s="525"/>
      <c r="Z78" s="525"/>
      <c r="AA78" s="525"/>
      <c r="AB78" s="525"/>
      <c r="AC78" s="525"/>
      <c r="AD78" s="525"/>
      <c r="AE78" s="525"/>
      <c r="AF78" s="525"/>
    </row>
    <row r="79">
      <c r="A79" s="516">
        <v>75.0</v>
      </c>
      <c r="B79" s="523"/>
      <c r="C79" s="518" t="s">
        <v>181</v>
      </c>
      <c r="D79" s="27"/>
      <c r="E79" s="518" t="s">
        <v>789</v>
      </c>
      <c r="F79" s="523"/>
      <c r="G79" s="523"/>
      <c r="H79" s="525"/>
      <c r="I79" s="525"/>
      <c r="J79" s="525"/>
      <c r="K79" s="525"/>
      <c r="L79" s="525"/>
      <c r="M79" s="525"/>
      <c r="N79" s="525"/>
      <c r="O79" s="525"/>
      <c r="P79" s="525"/>
      <c r="Q79" s="525"/>
      <c r="R79" s="525"/>
      <c r="S79" s="525"/>
      <c r="T79" s="525"/>
      <c r="U79" s="525"/>
      <c r="V79" s="525"/>
      <c r="W79" s="525"/>
      <c r="X79" s="525"/>
      <c r="Y79" s="525"/>
      <c r="Z79" s="525"/>
      <c r="AA79" s="525"/>
      <c r="AB79" s="525"/>
      <c r="AC79" s="525"/>
      <c r="AD79" s="525"/>
      <c r="AE79" s="525"/>
      <c r="AF79" s="525"/>
    </row>
    <row r="80">
      <c r="A80" s="516">
        <v>76.0</v>
      </c>
      <c r="B80" s="523"/>
      <c r="C80" s="518" t="s">
        <v>184</v>
      </c>
      <c r="D80" s="40"/>
      <c r="E80" s="518" t="s">
        <v>790</v>
      </c>
      <c r="F80" s="523"/>
      <c r="G80" s="523"/>
      <c r="H80" s="525"/>
      <c r="I80" s="525"/>
      <c r="J80" s="525"/>
      <c r="K80" s="525"/>
      <c r="L80" s="525"/>
      <c r="M80" s="525"/>
      <c r="N80" s="525"/>
      <c r="O80" s="525"/>
      <c r="P80" s="525"/>
      <c r="Q80" s="525"/>
      <c r="R80" s="525"/>
      <c r="S80" s="525"/>
      <c r="T80" s="525"/>
      <c r="U80" s="525"/>
      <c r="V80" s="525"/>
      <c r="W80" s="525"/>
      <c r="X80" s="525"/>
      <c r="Y80" s="525"/>
      <c r="Z80" s="525"/>
      <c r="AA80" s="525"/>
      <c r="AB80" s="525"/>
      <c r="AC80" s="525"/>
      <c r="AD80" s="525"/>
      <c r="AE80" s="525"/>
      <c r="AF80" s="525"/>
    </row>
    <row r="81">
      <c r="A81" s="516">
        <v>77.0</v>
      </c>
      <c r="B81" s="517" t="s">
        <v>186</v>
      </c>
      <c r="C81" s="518" t="s">
        <v>187</v>
      </c>
      <c r="D81" s="519" t="s">
        <v>791</v>
      </c>
      <c r="E81" s="527" t="s">
        <v>792</v>
      </c>
      <c r="F81" s="521"/>
      <c r="G81" s="521"/>
      <c r="H81" s="522"/>
      <c r="I81" s="522"/>
      <c r="J81" s="522"/>
      <c r="K81" s="522"/>
      <c r="L81" s="522"/>
      <c r="M81" s="522"/>
      <c r="N81" s="522"/>
      <c r="O81" s="522"/>
      <c r="P81" s="522"/>
      <c r="Q81" s="522"/>
      <c r="R81" s="522"/>
      <c r="S81" s="522"/>
      <c r="T81" s="522"/>
      <c r="U81" s="522"/>
      <c r="V81" s="522"/>
      <c r="W81" s="522"/>
      <c r="X81" s="522"/>
      <c r="Y81" s="522"/>
      <c r="Z81" s="522"/>
      <c r="AA81" s="522"/>
      <c r="AB81" s="522"/>
      <c r="AC81" s="522"/>
      <c r="AD81" s="522"/>
      <c r="AE81" s="522"/>
      <c r="AF81" s="522"/>
    </row>
    <row r="82">
      <c r="A82" s="516">
        <v>78.0</v>
      </c>
      <c r="B82" s="523"/>
      <c r="C82" s="518" t="s">
        <v>189</v>
      </c>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c r="A83" s="516">
        <v>79.0</v>
      </c>
      <c r="B83" s="523"/>
      <c r="C83" s="537" t="s">
        <v>190</v>
      </c>
      <c r="D83" s="27"/>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row>
    <row r="84">
      <c r="A84" s="516">
        <v>80.0</v>
      </c>
      <c r="B84" s="523"/>
      <c r="C84" s="518" t="s">
        <v>191</v>
      </c>
      <c r="D84" s="27"/>
      <c r="E84" s="520" t="s">
        <v>793</v>
      </c>
      <c r="F84" s="521"/>
      <c r="G84" s="521"/>
      <c r="H84" s="522"/>
      <c r="I84" s="522"/>
      <c r="J84" s="522"/>
      <c r="K84" s="522"/>
      <c r="L84" s="522"/>
      <c r="M84" s="522"/>
      <c r="N84" s="522"/>
      <c r="O84" s="522"/>
      <c r="P84" s="522"/>
      <c r="Q84" s="522"/>
      <c r="R84" s="522"/>
      <c r="S84" s="522"/>
      <c r="T84" s="522"/>
      <c r="U84" s="522"/>
      <c r="V84" s="522"/>
      <c r="W84" s="522"/>
      <c r="X84" s="522"/>
      <c r="Y84" s="522"/>
      <c r="Z84" s="522"/>
      <c r="AA84" s="522"/>
      <c r="AB84" s="522"/>
      <c r="AC84" s="522"/>
      <c r="AD84" s="522"/>
      <c r="AE84" s="522"/>
      <c r="AF84" s="522"/>
    </row>
    <row r="85">
      <c r="A85" s="516">
        <v>81.0</v>
      </c>
      <c r="B85" s="523"/>
      <c r="C85" s="518" t="s">
        <v>193</v>
      </c>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c r="A86" s="516">
        <v>82.0</v>
      </c>
      <c r="B86" s="523"/>
      <c r="C86" s="518" t="s">
        <v>194</v>
      </c>
      <c r="D86" s="27"/>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row>
    <row r="87">
      <c r="A87" s="516">
        <v>83.0</v>
      </c>
      <c r="B87" s="523"/>
      <c r="C87" s="518" t="s">
        <v>196</v>
      </c>
      <c r="D87" s="27"/>
      <c r="E87" s="520" t="s">
        <v>794</v>
      </c>
      <c r="F87" s="521"/>
      <c r="G87" s="521"/>
      <c r="H87" s="522"/>
      <c r="I87" s="522"/>
      <c r="J87" s="522"/>
      <c r="K87" s="522"/>
      <c r="L87" s="522"/>
      <c r="M87" s="522"/>
      <c r="N87" s="522"/>
      <c r="O87" s="522"/>
      <c r="P87" s="522"/>
      <c r="Q87" s="522"/>
      <c r="R87" s="522"/>
      <c r="S87" s="522"/>
      <c r="T87" s="522"/>
      <c r="U87" s="522"/>
      <c r="V87" s="522"/>
      <c r="W87" s="522"/>
      <c r="X87" s="522"/>
      <c r="Y87" s="522"/>
      <c r="Z87" s="522"/>
      <c r="AA87" s="522"/>
      <c r="AB87" s="522"/>
      <c r="AC87" s="522"/>
      <c r="AD87" s="522"/>
      <c r="AE87" s="522"/>
      <c r="AF87" s="522"/>
    </row>
    <row r="88">
      <c r="A88" s="516">
        <v>84.0</v>
      </c>
      <c r="B88" s="523"/>
      <c r="C88" s="518" t="s">
        <v>198</v>
      </c>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c r="A89" s="516">
        <v>85.0</v>
      </c>
      <c r="B89" s="523"/>
      <c r="C89" s="518" t="s">
        <v>200</v>
      </c>
      <c r="D89" s="27"/>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row>
    <row r="90">
      <c r="A90" s="516">
        <v>86.0</v>
      </c>
      <c r="B90" s="523"/>
      <c r="C90" s="518" t="s">
        <v>202</v>
      </c>
      <c r="D90" s="27"/>
      <c r="E90" s="520" t="s">
        <v>795</v>
      </c>
      <c r="F90" s="521"/>
      <c r="G90" s="521"/>
      <c r="H90" s="522"/>
      <c r="I90" s="522"/>
      <c r="J90" s="522"/>
      <c r="K90" s="522"/>
      <c r="L90" s="522"/>
      <c r="M90" s="522"/>
      <c r="N90" s="522"/>
      <c r="O90" s="522"/>
      <c r="P90" s="522"/>
      <c r="Q90" s="522"/>
      <c r="R90" s="522"/>
      <c r="S90" s="522"/>
      <c r="T90" s="522"/>
      <c r="U90" s="522"/>
      <c r="V90" s="522"/>
      <c r="W90" s="522"/>
      <c r="X90" s="522"/>
      <c r="Y90" s="522"/>
      <c r="Z90" s="522"/>
      <c r="AA90" s="522"/>
      <c r="AB90" s="522"/>
      <c r="AC90" s="522"/>
      <c r="AD90" s="522"/>
      <c r="AE90" s="522"/>
      <c r="AF90" s="522"/>
    </row>
    <row r="91">
      <c r="A91" s="516">
        <v>87.0</v>
      </c>
      <c r="B91" s="523"/>
      <c r="C91" s="518" t="s">
        <v>203</v>
      </c>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c r="A92" s="516">
        <v>88.0</v>
      </c>
      <c r="B92" s="523"/>
      <c r="C92" s="518" t="s">
        <v>205</v>
      </c>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row>
    <row r="93">
      <c r="A93" s="516">
        <v>89.0</v>
      </c>
      <c r="B93" s="523"/>
      <c r="C93" s="532" t="s">
        <v>206</v>
      </c>
      <c r="D93" s="519" t="s">
        <v>796</v>
      </c>
      <c r="E93" s="527" t="s">
        <v>797</v>
      </c>
      <c r="F93" s="521"/>
      <c r="G93" s="521"/>
      <c r="H93" s="522"/>
      <c r="I93" s="522"/>
      <c r="J93" s="522"/>
      <c r="K93" s="522"/>
      <c r="L93" s="522"/>
      <c r="M93" s="522"/>
      <c r="N93" s="522"/>
      <c r="O93" s="522"/>
      <c r="P93" s="522"/>
      <c r="Q93" s="522"/>
      <c r="R93" s="522"/>
      <c r="S93" s="522"/>
      <c r="T93" s="522"/>
      <c r="U93" s="522"/>
      <c r="V93" s="522"/>
      <c r="W93" s="522"/>
      <c r="X93" s="522"/>
      <c r="Y93" s="522"/>
      <c r="Z93" s="522"/>
      <c r="AA93" s="522"/>
      <c r="AB93" s="522"/>
      <c r="AC93" s="522"/>
      <c r="AD93" s="522"/>
      <c r="AE93" s="522"/>
      <c r="AF93" s="522"/>
    </row>
    <row r="94">
      <c r="A94" s="516">
        <v>90.0</v>
      </c>
      <c r="B94" s="523"/>
      <c r="C94" s="532" t="s">
        <v>209</v>
      </c>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c r="A95" s="516">
        <v>91.0</v>
      </c>
      <c r="B95" s="523"/>
      <c r="C95" s="532" t="s">
        <v>211</v>
      </c>
      <c r="D95" s="27"/>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row>
    <row r="96">
      <c r="A96" s="516">
        <v>92.0</v>
      </c>
      <c r="B96" s="517" t="s">
        <v>798</v>
      </c>
      <c r="C96" s="518" t="s">
        <v>214</v>
      </c>
      <c r="D96" s="27"/>
      <c r="E96" s="520" t="s">
        <v>799</v>
      </c>
      <c r="F96" s="521"/>
      <c r="G96" s="521"/>
      <c r="H96" s="522"/>
      <c r="I96" s="522"/>
      <c r="J96" s="522"/>
      <c r="K96" s="522"/>
      <c r="L96" s="522"/>
      <c r="M96" s="522"/>
      <c r="N96" s="522"/>
      <c r="O96" s="522"/>
      <c r="P96" s="522"/>
      <c r="Q96" s="522"/>
      <c r="R96" s="522"/>
      <c r="S96" s="522"/>
      <c r="T96" s="522"/>
      <c r="U96" s="522"/>
      <c r="V96" s="522"/>
      <c r="W96" s="522"/>
      <c r="X96" s="522"/>
      <c r="Y96" s="522"/>
      <c r="Z96" s="522"/>
      <c r="AA96" s="522"/>
      <c r="AB96" s="522"/>
      <c r="AC96" s="522"/>
      <c r="AD96" s="522"/>
      <c r="AE96" s="522"/>
      <c r="AF96" s="522"/>
    </row>
    <row r="97">
      <c r="A97" s="516">
        <v>93.0</v>
      </c>
      <c r="B97" s="523"/>
      <c r="C97" s="518" t="s">
        <v>217</v>
      </c>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c r="A98" s="516">
        <v>94.0</v>
      </c>
      <c r="B98" s="523"/>
      <c r="C98" s="518" t="s">
        <v>219</v>
      </c>
      <c r="D98" s="27"/>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row>
    <row r="99">
      <c r="A99" s="516">
        <v>95.0</v>
      </c>
      <c r="B99" s="523"/>
      <c r="C99" s="532" t="s">
        <v>221</v>
      </c>
      <c r="D99" s="27"/>
      <c r="E99" s="527" t="s">
        <v>800</v>
      </c>
      <c r="F99" s="521"/>
      <c r="G99" s="521"/>
      <c r="H99" s="522"/>
      <c r="I99" s="522"/>
      <c r="J99" s="522"/>
      <c r="K99" s="522"/>
      <c r="L99" s="522"/>
      <c r="M99" s="522"/>
      <c r="N99" s="522"/>
      <c r="O99" s="522"/>
      <c r="P99" s="522"/>
      <c r="Q99" s="522"/>
      <c r="R99" s="522"/>
      <c r="S99" s="522"/>
      <c r="T99" s="522"/>
      <c r="U99" s="522"/>
      <c r="V99" s="522"/>
      <c r="W99" s="522"/>
      <c r="X99" s="522"/>
      <c r="Y99" s="522"/>
      <c r="Z99" s="522"/>
      <c r="AA99" s="522"/>
      <c r="AB99" s="522"/>
      <c r="AC99" s="522"/>
      <c r="AD99" s="522"/>
      <c r="AE99" s="522"/>
      <c r="AF99" s="522"/>
    </row>
    <row r="100">
      <c r="A100" s="516">
        <v>96.0</v>
      </c>
      <c r="B100" s="523"/>
      <c r="C100" s="518" t="s">
        <v>225</v>
      </c>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c r="A101" s="516">
        <v>97.0</v>
      </c>
      <c r="B101" s="523"/>
      <c r="C101" s="518" t="s">
        <v>228</v>
      </c>
      <c r="D101" s="27"/>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row>
    <row r="102">
      <c r="A102" s="516">
        <v>98.0</v>
      </c>
      <c r="B102" s="523"/>
      <c r="C102" s="518" t="s">
        <v>232</v>
      </c>
      <c r="D102" s="27"/>
      <c r="E102" s="520" t="s">
        <v>801</v>
      </c>
      <c r="F102" s="521"/>
      <c r="G102" s="521"/>
      <c r="H102" s="522"/>
      <c r="I102" s="522"/>
      <c r="J102" s="522"/>
      <c r="K102" s="522"/>
      <c r="L102" s="522"/>
      <c r="M102" s="522"/>
      <c r="N102" s="522"/>
      <c r="O102" s="522"/>
      <c r="P102" s="522"/>
      <c r="Q102" s="522"/>
      <c r="R102" s="522"/>
      <c r="S102" s="522"/>
      <c r="T102" s="522"/>
      <c r="U102" s="522"/>
      <c r="V102" s="522"/>
      <c r="W102" s="522"/>
      <c r="X102" s="522"/>
      <c r="Y102" s="522"/>
      <c r="Z102" s="522"/>
      <c r="AA102" s="522"/>
      <c r="AB102" s="522"/>
      <c r="AC102" s="522"/>
      <c r="AD102" s="522"/>
      <c r="AE102" s="522"/>
      <c r="AF102" s="522"/>
    </row>
    <row r="103">
      <c r="A103" s="516">
        <v>99.0</v>
      </c>
      <c r="B103" s="523"/>
      <c r="C103" s="518" t="s">
        <v>235</v>
      </c>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c r="A104" s="516">
        <v>100.0</v>
      </c>
      <c r="B104" s="523"/>
      <c r="C104" s="518" t="s">
        <v>238</v>
      </c>
      <c r="D104" s="27"/>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row>
    <row r="105">
      <c r="A105" s="516">
        <v>101.0</v>
      </c>
      <c r="B105" s="523"/>
      <c r="C105" s="518" t="s">
        <v>241</v>
      </c>
      <c r="D105" s="27"/>
      <c r="E105" s="520" t="s">
        <v>802</v>
      </c>
      <c r="F105" s="521"/>
      <c r="G105" s="521"/>
      <c r="H105" s="522"/>
      <c r="I105" s="522"/>
      <c r="J105" s="522"/>
      <c r="K105" s="522"/>
      <c r="L105" s="522"/>
      <c r="M105" s="522"/>
      <c r="N105" s="522"/>
      <c r="O105" s="522"/>
      <c r="P105" s="522"/>
      <c r="Q105" s="522"/>
      <c r="R105" s="522"/>
      <c r="S105" s="522"/>
      <c r="T105" s="522"/>
      <c r="U105" s="522"/>
      <c r="V105" s="522"/>
      <c r="W105" s="522"/>
      <c r="X105" s="522"/>
      <c r="Y105" s="522"/>
      <c r="Z105" s="522"/>
      <c r="AA105" s="522"/>
      <c r="AB105" s="522"/>
      <c r="AC105" s="522"/>
      <c r="AD105" s="522"/>
      <c r="AE105" s="522"/>
      <c r="AF105" s="522"/>
    </row>
    <row r="106">
      <c r="A106" s="516">
        <v>102.0</v>
      </c>
      <c r="B106" s="523"/>
      <c r="C106" s="518" t="s">
        <v>243</v>
      </c>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c r="A107" s="516">
        <v>103.0</v>
      </c>
      <c r="B107" s="523"/>
      <c r="C107" s="518" t="s">
        <v>245</v>
      </c>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row>
    <row r="108">
      <c r="A108" s="516">
        <v>104.0</v>
      </c>
      <c r="B108" s="523"/>
      <c r="C108" s="518" t="s">
        <v>247</v>
      </c>
      <c r="D108" s="538" t="s">
        <v>786</v>
      </c>
      <c r="E108" s="518" t="s">
        <v>803</v>
      </c>
      <c r="F108" s="523"/>
      <c r="G108" s="523"/>
      <c r="H108" s="525"/>
      <c r="I108" s="525"/>
      <c r="J108" s="525"/>
      <c r="K108" s="525"/>
      <c r="L108" s="525"/>
      <c r="M108" s="525"/>
      <c r="N108" s="525"/>
      <c r="O108" s="525"/>
      <c r="P108" s="525"/>
      <c r="Q108" s="525"/>
      <c r="R108" s="525"/>
      <c r="S108" s="525"/>
      <c r="T108" s="525"/>
      <c r="U108" s="525"/>
      <c r="V108" s="525"/>
      <c r="W108" s="525"/>
      <c r="X108" s="525"/>
      <c r="Y108" s="525"/>
      <c r="Z108" s="525"/>
      <c r="AA108" s="525"/>
      <c r="AB108" s="525"/>
      <c r="AC108" s="525"/>
      <c r="AD108" s="525"/>
      <c r="AE108" s="525"/>
      <c r="AF108" s="525"/>
    </row>
    <row r="109">
      <c r="A109" s="516">
        <v>105.0</v>
      </c>
      <c r="B109" s="523"/>
      <c r="C109" s="518" t="s">
        <v>249</v>
      </c>
      <c r="D109" s="539" t="s">
        <v>804</v>
      </c>
      <c r="E109" s="540" t="s">
        <v>805</v>
      </c>
      <c r="F109" s="523"/>
      <c r="G109" s="523"/>
      <c r="H109" s="525"/>
      <c r="I109" s="525"/>
      <c r="J109" s="525"/>
      <c r="K109" s="525"/>
      <c r="L109" s="525"/>
      <c r="M109" s="525"/>
      <c r="N109" s="525"/>
      <c r="O109" s="525"/>
      <c r="P109" s="525"/>
      <c r="Q109" s="525"/>
      <c r="R109" s="525"/>
      <c r="S109" s="525"/>
      <c r="T109" s="525"/>
      <c r="U109" s="525"/>
      <c r="V109" s="525"/>
      <c r="W109" s="525"/>
      <c r="X109" s="525"/>
      <c r="Y109" s="525"/>
      <c r="Z109" s="525"/>
      <c r="AA109" s="525"/>
      <c r="AB109" s="525"/>
      <c r="AC109" s="525"/>
      <c r="AD109" s="525"/>
      <c r="AE109" s="525"/>
      <c r="AF109" s="525"/>
    </row>
    <row r="110">
      <c r="A110" s="516">
        <v>106.0</v>
      </c>
      <c r="B110" s="523"/>
      <c r="C110" s="518" t="s">
        <v>252</v>
      </c>
      <c r="D110" s="541"/>
      <c r="E110" s="542" t="s">
        <v>806</v>
      </c>
      <c r="F110" s="543"/>
      <c r="G110" s="544"/>
      <c r="H110" s="525"/>
      <c r="I110" s="525"/>
      <c r="J110" s="525"/>
      <c r="K110" s="525"/>
      <c r="L110" s="525"/>
      <c r="M110" s="525"/>
      <c r="N110" s="525"/>
      <c r="O110" s="525"/>
      <c r="P110" s="525"/>
      <c r="Q110" s="525"/>
      <c r="R110" s="525"/>
      <c r="S110" s="525"/>
      <c r="T110" s="525"/>
      <c r="U110" s="525"/>
      <c r="V110" s="525"/>
      <c r="W110" s="525"/>
      <c r="X110" s="525"/>
      <c r="Y110" s="525"/>
      <c r="Z110" s="525"/>
      <c r="AA110" s="525"/>
      <c r="AB110" s="525"/>
      <c r="AC110" s="525"/>
      <c r="AD110" s="525"/>
      <c r="AE110" s="525"/>
      <c r="AF110" s="525"/>
    </row>
    <row r="111">
      <c r="A111" s="516">
        <v>107.0</v>
      </c>
      <c r="B111" s="523"/>
      <c r="C111" s="518" t="s">
        <v>254</v>
      </c>
      <c r="D111" s="541"/>
      <c r="E111" s="545" t="s">
        <v>807</v>
      </c>
      <c r="F111" s="543"/>
      <c r="G111" s="544"/>
      <c r="H111" s="525"/>
      <c r="I111" s="525"/>
      <c r="J111" s="525"/>
      <c r="K111" s="525"/>
      <c r="L111" s="525"/>
      <c r="M111" s="525"/>
      <c r="N111" s="525"/>
      <c r="O111" s="525"/>
      <c r="P111" s="525"/>
      <c r="Q111" s="525"/>
      <c r="R111" s="525"/>
      <c r="S111" s="525"/>
      <c r="T111" s="525"/>
      <c r="U111" s="525"/>
      <c r="V111" s="525"/>
      <c r="W111" s="525"/>
      <c r="X111" s="525"/>
      <c r="Y111" s="525"/>
      <c r="Z111" s="525"/>
      <c r="AA111" s="525"/>
      <c r="AB111" s="525"/>
      <c r="AC111" s="525"/>
      <c r="AD111" s="525"/>
      <c r="AE111" s="525"/>
      <c r="AF111" s="525"/>
    </row>
    <row r="112">
      <c r="A112" s="516">
        <v>108.0</v>
      </c>
      <c r="B112" s="523"/>
      <c r="C112" s="518" t="s">
        <v>256</v>
      </c>
      <c r="D112" s="541"/>
      <c r="E112" s="545" t="s">
        <v>808</v>
      </c>
      <c r="F112" s="543"/>
      <c r="G112" s="544"/>
      <c r="H112" s="525"/>
      <c r="I112" s="525"/>
      <c r="J112" s="525"/>
      <c r="K112" s="525"/>
      <c r="L112" s="525"/>
      <c r="M112" s="525"/>
      <c r="N112" s="525"/>
      <c r="O112" s="525"/>
      <c r="P112" s="525"/>
      <c r="Q112" s="525"/>
      <c r="R112" s="525"/>
      <c r="S112" s="525"/>
      <c r="T112" s="525"/>
      <c r="U112" s="525"/>
      <c r="V112" s="525"/>
      <c r="W112" s="525"/>
      <c r="X112" s="525"/>
      <c r="Y112" s="525"/>
      <c r="Z112" s="525"/>
      <c r="AA112" s="525"/>
      <c r="AB112" s="525"/>
      <c r="AC112" s="525"/>
      <c r="AD112" s="525"/>
      <c r="AE112" s="525"/>
      <c r="AF112" s="525"/>
    </row>
    <row r="113">
      <c r="A113" s="516">
        <v>109.0</v>
      </c>
      <c r="B113" s="523"/>
      <c r="C113" s="518" t="s">
        <v>258</v>
      </c>
      <c r="D113" s="541"/>
      <c r="E113" s="545" t="s">
        <v>809</v>
      </c>
      <c r="F113" s="543"/>
      <c r="G113" s="544"/>
      <c r="H113" s="525"/>
      <c r="I113" s="525"/>
      <c r="J113" s="525"/>
      <c r="K113" s="525"/>
      <c r="L113" s="525"/>
      <c r="M113" s="525"/>
      <c r="N113" s="525"/>
      <c r="O113" s="525"/>
      <c r="P113" s="525"/>
      <c r="Q113" s="525"/>
      <c r="R113" s="525"/>
      <c r="S113" s="525"/>
      <c r="T113" s="525"/>
      <c r="U113" s="525"/>
      <c r="V113" s="525"/>
      <c r="W113" s="525"/>
      <c r="X113" s="525"/>
      <c r="Y113" s="525"/>
      <c r="Z113" s="525"/>
      <c r="AA113" s="525"/>
      <c r="AB113" s="525"/>
      <c r="AC113" s="525"/>
      <c r="AD113" s="525"/>
      <c r="AE113" s="525"/>
      <c r="AF113" s="525"/>
    </row>
    <row r="114">
      <c r="A114" s="516">
        <v>110.0</v>
      </c>
      <c r="B114" s="523"/>
      <c r="C114" s="518" t="s">
        <v>260</v>
      </c>
      <c r="D114" s="30"/>
      <c r="E114" s="545" t="s">
        <v>810</v>
      </c>
      <c r="F114" s="543"/>
      <c r="G114" s="544"/>
      <c r="H114" s="525"/>
      <c r="I114" s="525"/>
      <c r="J114" s="525"/>
      <c r="K114" s="525"/>
      <c r="L114" s="525"/>
      <c r="M114" s="525"/>
      <c r="N114" s="525"/>
      <c r="O114" s="525"/>
      <c r="P114" s="525"/>
      <c r="Q114" s="525"/>
      <c r="R114" s="525"/>
      <c r="S114" s="525"/>
      <c r="T114" s="525"/>
      <c r="U114" s="525"/>
      <c r="V114" s="525"/>
      <c r="W114" s="525"/>
      <c r="X114" s="525"/>
      <c r="Y114" s="525"/>
      <c r="Z114" s="525"/>
      <c r="AA114" s="546">
        <v>1221.0</v>
      </c>
      <c r="AB114" s="525"/>
      <c r="AC114" s="525"/>
      <c r="AD114" s="525"/>
      <c r="AE114" s="525"/>
      <c r="AF114" s="525"/>
    </row>
    <row r="115">
      <c r="A115" s="516">
        <v>111.0</v>
      </c>
      <c r="B115" s="523"/>
      <c r="C115" s="532" t="s">
        <v>263</v>
      </c>
      <c r="D115" s="547" t="s">
        <v>811</v>
      </c>
      <c r="E115" s="548" t="s">
        <v>812</v>
      </c>
      <c r="F115" s="543"/>
      <c r="G115" s="544"/>
      <c r="H115" s="525"/>
      <c r="I115" s="525"/>
      <c r="J115" s="525"/>
      <c r="K115" s="525"/>
      <c r="L115" s="525"/>
      <c r="M115" s="525"/>
      <c r="N115" s="525"/>
      <c r="O115" s="525"/>
      <c r="P115" s="525"/>
      <c r="Q115" s="525"/>
      <c r="R115" s="525"/>
      <c r="S115" s="525"/>
      <c r="T115" s="525"/>
      <c r="U115" s="525"/>
      <c r="V115" s="525"/>
      <c r="W115" s="525"/>
      <c r="X115" s="525"/>
      <c r="Y115" s="525"/>
      <c r="Z115" s="525"/>
      <c r="AA115" s="525"/>
      <c r="AB115" s="525"/>
      <c r="AC115" s="525"/>
      <c r="AD115" s="525"/>
      <c r="AE115" s="525"/>
      <c r="AF115" s="525"/>
    </row>
    <row r="116">
      <c r="A116" s="516">
        <v>112.0</v>
      </c>
      <c r="B116" s="523"/>
      <c r="C116" s="518" t="s">
        <v>265</v>
      </c>
      <c r="D116" s="541"/>
      <c r="E116" s="549" t="s">
        <v>813</v>
      </c>
      <c r="F116" s="543"/>
      <c r="G116" s="544"/>
      <c r="H116" s="525"/>
      <c r="I116" s="525"/>
      <c r="J116" s="525"/>
      <c r="K116" s="525"/>
      <c r="L116" s="525"/>
      <c r="M116" s="525"/>
      <c r="N116" s="525"/>
      <c r="O116" s="525"/>
      <c r="P116" s="525"/>
      <c r="Q116" s="525"/>
      <c r="R116" s="525"/>
      <c r="S116" s="525"/>
      <c r="T116" s="525"/>
      <c r="U116" s="525"/>
      <c r="V116" s="525"/>
      <c r="W116" s="525"/>
      <c r="X116" s="525"/>
      <c r="Y116" s="525"/>
      <c r="Z116" s="525"/>
      <c r="AA116" s="546">
        <v>53.0</v>
      </c>
      <c r="AB116" s="525"/>
      <c r="AC116" s="525"/>
      <c r="AD116" s="525"/>
      <c r="AE116" s="525"/>
      <c r="AF116" s="525"/>
    </row>
    <row r="117">
      <c r="A117" s="516">
        <v>113.0</v>
      </c>
      <c r="B117" s="523"/>
      <c r="C117" s="518" t="s">
        <v>268</v>
      </c>
      <c r="D117" s="541"/>
      <c r="E117" s="549" t="s">
        <v>814</v>
      </c>
      <c r="F117" s="543"/>
      <c r="G117" s="544"/>
      <c r="H117" s="525"/>
      <c r="I117" s="525"/>
      <c r="J117" s="525"/>
      <c r="K117" s="525"/>
      <c r="L117" s="525"/>
      <c r="M117" s="525"/>
      <c r="N117" s="525"/>
      <c r="O117" s="525"/>
      <c r="P117" s="525"/>
      <c r="Q117" s="525"/>
      <c r="R117" s="525"/>
      <c r="S117" s="525"/>
      <c r="T117" s="525"/>
      <c r="U117" s="525"/>
      <c r="V117" s="525"/>
      <c r="W117" s="525"/>
      <c r="X117" s="525"/>
      <c r="Y117" s="525"/>
      <c r="Z117" s="525"/>
      <c r="AA117" s="525"/>
      <c r="AB117" s="525"/>
      <c r="AC117" s="525"/>
      <c r="AD117" s="525"/>
      <c r="AE117" s="525"/>
      <c r="AF117" s="525"/>
    </row>
    <row r="118">
      <c r="A118" s="516">
        <v>114.0</v>
      </c>
      <c r="B118" s="523"/>
      <c r="C118" s="518" t="s">
        <v>271</v>
      </c>
      <c r="D118" s="541"/>
      <c r="E118" s="549" t="s">
        <v>815</v>
      </c>
      <c r="F118" s="543"/>
      <c r="G118" s="544"/>
      <c r="H118" s="525"/>
      <c r="I118" s="525"/>
      <c r="J118" s="525"/>
      <c r="K118" s="525"/>
      <c r="L118" s="525"/>
      <c r="M118" s="525"/>
      <c r="N118" s="525"/>
      <c r="O118" s="525"/>
      <c r="P118" s="525"/>
      <c r="Q118" s="525"/>
      <c r="R118" s="525"/>
      <c r="S118" s="525"/>
      <c r="T118" s="525"/>
      <c r="U118" s="525"/>
      <c r="V118" s="525"/>
      <c r="W118" s="525"/>
      <c r="X118" s="525"/>
      <c r="Y118" s="525"/>
      <c r="Z118" s="525"/>
      <c r="AA118" s="525"/>
      <c r="AB118" s="525"/>
      <c r="AC118" s="525"/>
      <c r="AD118" s="525"/>
      <c r="AE118" s="525"/>
      <c r="AF118" s="525"/>
    </row>
    <row r="119">
      <c r="A119" s="516">
        <v>115.0</v>
      </c>
      <c r="B119" s="523"/>
      <c r="C119" s="532" t="s">
        <v>274</v>
      </c>
      <c r="D119" s="30"/>
      <c r="E119" s="548" t="s">
        <v>816</v>
      </c>
      <c r="F119" s="543"/>
      <c r="G119" s="544"/>
      <c r="H119" s="525"/>
      <c r="I119" s="525"/>
      <c r="J119" s="525"/>
      <c r="K119" s="525"/>
      <c r="L119" s="525"/>
      <c r="M119" s="525"/>
      <c r="N119" s="525"/>
      <c r="O119" s="525"/>
      <c r="P119" s="525"/>
      <c r="Q119" s="525"/>
      <c r="R119" s="525"/>
      <c r="S119" s="525"/>
      <c r="T119" s="525"/>
      <c r="U119" s="525"/>
      <c r="V119" s="525"/>
      <c r="W119" s="525"/>
      <c r="X119" s="525"/>
      <c r="Y119" s="525"/>
      <c r="Z119" s="525"/>
      <c r="AA119" s="525"/>
      <c r="AB119" s="525"/>
      <c r="AC119" s="525"/>
      <c r="AD119" s="525"/>
      <c r="AE119" s="525"/>
      <c r="AF119" s="525"/>
    </row>
    <row r="120">
      <c r="A120" s="516">
        <v>116.0</v>
      </c>
      <c r="B120" s="523"/>
      <c r="C120" s="518" t="s">
        <v>277</v>
      </c>
      <c r="D120" s="550" t="s">
        <v>817</v>
      </c>
      <c r="E120" s="549" t="s">
        <v>818</v>
      </c>
      <c r="F120" s="543"/>
      <c r="G120" s="544"/>
      <c r="H120" s="525"/>
      <c r="I120" s="525"/>
      <c r="J120" s="525"/>
      <c r="K120" s="525"/>
      <c r="L120" s="525"/>
      <c r="M120" s="525"/>
      <c r="N120" s="525"/>
      <c r="O120" s="525"/>
      <c r="P120" s="525"/>
      <c r="Q120" s="525"/>
      <c r="R120" s="525"/>
      <c r="S120" s="525"/>
      <c r="T120" s="525"/>
      <c r="U120" s="525"/>
      <c r="V120" s="525"/>
      <c r="W120" s="525"/>
      <c r="X120" s="525"/>
      <c r="Y120" s="525"/>
      <c r="Z120" s="525"/>
      <c r="AA120" s="546">
        <v>170.0</v>
      </c>
      <c r="AB120" s="525"/>
      <c r="AC120" s="525"/>
      <c r="AD120" s="525"/>
      <c r="AE120" s="525"/>
      <c r="AF120" s="525"/>
    </row>
    <row r="121">
      <c r="A121" s="516">
        <v>117.0</v>
      </c>
      <c r="B121" s="523"/>
      <c r="C121" s="518" t="s">
        <v>279</v>
      </c>
      <c r="D121" s="27"/>
      <c r="E121" s="551" t="s">
        <v>819</v>
      </c>
      <c r="F121" s="543"/>
      <c r="G121" s="544"/>
      <c r="H121" s="525"/>
      <c r="I121" s="525"/>
      <c r="J121" s="525"/>
      <c r="K121" s="525"/>
      <c r="L121" s="525"/>
      <c r="M121" s="525"/>
      <c r="N121" s="525"/>
      <c r="O121" s="525"/>
      <c r="P121" s="525"/>
      <c r="Q121" s="525"/>
      <c r="R121" s="525"/>
      <c r="S121" s="525"/>
      <c r="T121" s="525"/>
      <c r="U121" s="525"/>
      <c r="V121" s="525"/>
      <c r="W121" s="525"/>
      <c r="X121" s="525"/>
      <c r="Y121" s="525"/>
      <c r="Z121" s="525"/>
      <c r="AA121" s="546">
        <v>496.0</v>
      </c>
      <c r="AB121" s="525"/>
      <c r="AC121" s="525"/>
      <c r="AD121" s="525"/>
      <c r="AE121" s="525"/>
      <c r="AF121" s="525"/>
    </row>
    <row r="122">
      <c r="A122" s="516">
        <v>118.0</v>
      </c>
      <c r="B122" s="517" t="s">
        <v>281</v>
      </c>
      <c r="C122" s="518" t="s">
        <v>282</v>
      </c>
      <c r="D122" s="27"/>
      <c r="E122" s="549" t="s">
        <v>820</v>
      </c>
      <c r="F122" s="543"/>
      <c r="G122" s="544"/>
      <c r="H122" s="525"/>
      <c r="I122" s="525"/>
      <c r="J122" s="525"/>
      <c r="K122" s="525"/>
      <c r="L122" s="525"/>
      <c r="M122" s="525"/>
      <c r="N122" s="525"/>
      <c r="O122" s="525"/>
      <c r="P122" s="525"/>
      <c r="Q122" s="525"/>
      <c r="R122" s="525"/>
      <c r="S122" s="525"/>
      <c r="T122" s="525"/>
      <c r="U122" s="525"/>
      <c r="V122" s="525"/>
      <c r="W122" s="525"/>
      <c r="X122" s="525"/>
      <c r="Y122" s="525"/>
      <c r="Z122" s="525"/>
      <c r="AA122" s="525"/>
      <c r="AB122" s="525"/>
      <c r="AC122" s="525"/>
      <c r="AD122" s="525"/>
      <c r="AE122" s="525"/>
      <c r="AF122" s="525"/>
    </row>
    <row r="123">
      <c r="A123" s="516">
        <v>119.0</v>
      </c>
      <c r="B123" s="523"/>
      <c r="C123" s="518" t="s">
        <v>284</v>
      </c>
      <c r="D123" s="27"/>
      <c r="E123" s="549" t="s">
        <v>821</v>
      </c>
      <c r="F123" s="543"/>
      <c r="G123" s="544"/>
      <c r="H123" s="525"/>
      <c r="I123" s="525"/>
      <c r="J123" s="525"/>
      <c r="K123" s="525"/>
      <c r="L123" s="525"/>
      <c r="M123" s="525"/>
      <c r="N123" s="525"/>
      <c r="O123" s="525"/>
      <c r="P123" s="525"/>
      <c r="Q123" s="525"/>
      <c r="R123" s="525"/>
      <c r="S123" s="525"/>
      <c r="T123" s="525"/>
      <c r="U123" s="525"/>
      <c r="V123" s="525"/>
      <c r="W123" s="525"/>
      <c r="X123" s="525"/>
      <c r="Y123" s="525"/>
      <c r="Z123" s="525"/>
      <c r="AA123" s="525"/>
      <c r="AB123" s="525"/>
      <c r="AC123" s="525"/>
      <c r="AD123" s="525"/>
      <c r="AE123" s="525"/>
      <c r="AF123" s="525"/>
    </row>
    <row r="124">
      <c r="A124" s="516">
        <v>120.0</v>
      </c>
      <c r="B124" s="523"/>
      <c r="C124" s="518" t="s">
        <v>286</v>
      </c>
      <c r="D124" s="40"/>
      <c r="E124" s="549" t="s">
        <v>822</v>
      </c>
      <c r="F124" s="543"/>
      <c r="G124" s="544"/>
      <c r="H124" s="525"/>
      <c r="I124" s="525"/>
      <c r="J124" s="525"/>
      <c r="K124" s="525"/>
      <c r="L124" s="525"/>
      <c r="M124" s="525"/>
      <c r="N124" s="525"/>
      <c r="O124" s="525"/>
      <c r="P124" s="525"/>
      <c r="Q124" s="525"/>
      <c r="R124" s="525"/>
      <c r="S124" s="525"/>
      <c r="T124" s="525"/>
      <c r="U124" s="525"/>
      <c r="V124" s="525"/>
      <c r="W124" s="525"/>
      <c r="X124" s="525"/>
      <c r="Y124" s="525"/>
      <c r="Z124" s="525"/>
      <c r="AA124" s="525"/>
      <c r="AB124" s="525"/>
      <c r="AC124" s="525"/>
      <c r="AD124" s="525"/>
      <c r="AE124" s="525"/>
      <c r="AF124" s="525"/>
    </row>
    <row r="125">
      <c r="A125" s="516">
        <v>121.0</v>
      </c>
      <c r="B125" s="523"/>
      <c r="C125" s="518" t="s">
        <v>288</v>
      </c>
      <c r="D125" s="550" t="s">
        <v>823</v>
      </c>
      <c r="E125" s="552" t="s">
        <v>824</v>
      </c>
      <c r="F125" s="553"/>
      <c r="G125" s="553"/>
      <c r="H125" s="525"/>
      <c r="I125" s="525"/>
      <c r="J125" s="525"/>
      <c r="K125" s="525"/>
      <c r="L125" s="525"/>
      <c r="M125" s="525"/>
      <c r="N125" s="525"/>
      <c r="O125" s="525"/>
      <c r="P125" s="525"/>
      <c r="Q125" s="525"/>
      <c r="R125" s="525"/>
      <c r="S125" s="525"/>
      <c r="T125" s="525"/>
      <c r="U125" s="525"/>
      <c r="V125" s="525"/>
      <c r="W125" s="525"/>
      <c r="X125" s="525"/>
      <c r="Y125" s="525"/>
      <c r="Z125" s="525"/>
      <c r="AA125" s="525"/>
      <c r="AB125" s="525"/>
      <c r="AC125" s="525"/>
      <c r="AD125" s="525"/>
      <c r="AE125" s="525"/>
      <c r="AF125" s="525"/>
    </row>
    <row r="126">
      <c r="A126" s="516">
        <v>122.0</v>
      </c>
      <c r="B126" s="517" t="s">
        <v>290</v>
      </c>
      <c r="C126" s="518" t="s">
        <v>291</v>
      </c>
      <c r="D126" s="27"/>
      <c r="E126" s="549" t="s">
        <v>825</v>
      </c>
      <c r="F126" s="544"/>
      <c r="G126" s="544"/>
      <c r="H126" s="525"/>
      <c r="I126" s="525"/>
      <c r="J126" s="525"/>
      <c r="K126" s="525"/>
      <c r="L126" s="525"/>
      <c r="M126" s="525"/>
      <c r="N126" s="525"/>
      <c r="O126" s="525"/>
      <c r="P126" s="525"/>
      <c r="Q126" s="525"/>
      <c r="R126" s="525"/>
      <c r="S126" s="525"/>
      <c r="T126" s="525"/>
      <c r="U126" s="525"/>
      <c r="V126" s="525"/>
      <c r="W126" s="525"/>
      <c r="X126" s="525"/>
      <c r="Y126" s="525"/>
      <c r="Z126" s="525"/>
      <c r="AA126" s="525"/>
      <c r="AB126" s="525"/>
      <c r="AC126" s="525"/>
      <c r="AD126" s="525"/>
      <c r="AE126" s="525"/>
      <c r="AF126" s="525"/>
    </row>
    <row r="127">
      <c r="A127" s="516">
        <v>123.0</v>
      </c>
      <c r="B127" s="523"/>
      <c r="C127" s="518" t="s">
        <v>293</v>
      </c>
      <c r="D127" s="40"/>
      <c r="E127" s="549" t="s">
        <v>826</v>
      </c>
      <c r="F127" s="544"/>
      <c r="G127" s="544"/>
      <c r="H127" s="525"/>
      <c r="I127" s="525"/>
      <c r="J127" s="525"/>
      <c r="K127" s="525"/>
      <c r="L127" s="525"/>
      <c r="M127" s="525"/>
      <c r="N127" s="525"/>
      <c r="O127" s="525"/>
      <c r="P127" s="525"/>
      <c r="Q127" s="525"/>
      <c r="R127" s="525"/>
      <c r="S127" s="525"/>
      <c r="T127" s="525"/>
      <c r="U127" s="525"/>
      <c r="V127" s="525"/>
      <c r="W127" s="525"/>
      <c r="X127" s="525"/>
      <c r="Y127" s="525"/>
      <c r="Z127" s="525"/>
      <c r="AA127" s="525"/>
      <c r="AB127" s="525"/>
      <c r="AC127" s="525"/>
      <c r="AD127" s="525"/>
      <c r="AE127" s="525"/>
      <c r="AF127" s="525"/>
    </row>
    <row r="128">
      <c r="A128" s="516">
        <v>124.0</v>
      </c>
      <c r="B128" s="523"/>
      <c r="C128" s="518" t="s">
        <v>295</v>
      </c>
      <c r="D128" s="550" t="s">
        <v>827</v>
      </c>
      <c r="E128" s="549" t="s">
        <v>828</v>
      </c>
      <c r="F128" s="544"/>
      <c r="G128" s="544"/>
      <c r="H128" s="525"/>
      <c r="I128" s="525"/>
      <c r="J128" s="525"/>
      <c r="K128" s="525"/>
      <c r="L128" s="525"/>
      <c r="M128" s="525"/>
      <c r="N128" s="525"/>
      <c r="O128" s="525"/>
      <c r="P128" s="525"/>
      <c r="Q128" s="525"/>
      <c r="R128" s="525"/>
      <c r="S128" s="525"/>
      <c r="T128" s="525"/>
      <c r="U128" s="525"/>
      <c r="V128" s="525"/>
      <c r="W128" s="525"/>
      <c r="X128" s="525"/>
      <c r="Y128" s="525"/>
      <c r="Z128" s="525"/>
      <c r="AA128" s="525"/>
      <c r="AB128" s="525"/>
      <c r="AC128" s="525"/>
      <c r="AD128" s="525"/>
      <c r="AE128" s="525"/>
      <c r="AF128" s="525"/>
    </row>
    <row r="129">
      <c r="A129" s="516">
        <v>125.0</v>
      </c>
      <c r="B129" s="523"/>
      <c r="C129" s="518" t="s">
        <v>297</v>
      </c>
      <c r="D129" s="27"/>
      <c r="E129" s="549" t="s">
        <v>829</v>
      </c>
      <c r="F129" s="544"/>
      <c r="G129" s="544"/>
      <c r="H129" s="525"/>
      <c r="I129" s="525"/>
      <c r="J129" s="525"/>
      <c r="K129" s="525"/>
      <c r="L129" s="525"/>
      <c r="M129" s="525"/>
      <c r="N129" s="525"/>
      <c r="O129" s="525"/>
      <c r="P129" s="525"/>
      <c r="Q129" s="525"/>
      <c r="R129" s="525"/>
      <c r="S129" s="525"/>
      <c r="T129" s="525"/>
      <c r="U129" s="525"/>
      <c r="V129" s="525"/>
      <c r="W129" s="525"/>
      <c r="X129" s="525"/>
      <c r="Y129" s="525"/>
      <c r="Z129" s="525"/>
      <c r="AA129" s="525"/>
      <c r="AB129" s="525"/>
      <c r="AC129" s="525"/>
      <c r="AD129" s="525"/>
      <c r="AE129" s="525"/>
      <c r="AF129" s="525"/>
    </row>
    <row r="130">
      <c r="A130" s="516">
        <v>126.0</v>
      </c>
      <c r="B130" s="523"/>
      <c r="C130" s="518" t="s">
        <v>300</v>
      </c>
      <c r="D130" s="40"/>
      <c r="E130" s="549" t="s">
        <v>830</v>
      </c>
      <c r="F130" s="544"/>
      <c r="G130" s="544"/>
      <c r="H130" s="525"/>
      <c r="I130" s="525"/>
      <c r="J130" s="525"/>
      <c r="K130" s="525"/>
      <c r="L130" s="525"/>
      <c r="M130" s="525"/>
      <c r="N130" s="525"/>
      <c r="O130" s="525"/>
      <c r="P130" s="525"/>
      <c r="Q130" s="525"/>
      <c r="R130" s="525"/>
      <c r="S130" s="525"/>
      <c r="T130" s="525"/>
      <c r="U130" s="525"/>
      <c r="V130" s="525"/>
      <c r="W130" s="525"/>
      <c r="X130" s="525"/>
      <c r="Y130" s="525"/>
      <c r="Z130" s="525"/>
      <c r="AA130" s="525"/>
      <c r="AB130" s="525"/>
      <c r="AC130" s="525"/>
      <c r="AD130" s="525"/>
      <c r="AE130" s="525"/>
      <c r="AF130" s="525"/>
    </row>
    <row r="131">
      <c r="A131" s="516">
        <v>127.0</v>
      </c>
      <c r="B131" s="523"/>
      <c r="C131" s="518" t="s">
        <v>302</v>
      </c>
      <c r="D131" s="547" t="s">
        <v>831</v>
      </c>
      <c r="E131" s="554" t="s">
        <v>832</v>
      </c>
      <c r="F131" s="553"/>
      <c r="G131" s="553"/>
      <c r="H131" s="525"/>
      <c r="I131" s="525"/>
      <c r="J131" s="525"/>
      <c r="K131" s="525"/>
      <c r="L131" s="525"/>
      <c r="M131" s="525"/>
      <c r="N131" s="525"/>
      <c r="O131" s="525"/>
      <c r="P131" s="525"/>
      <c r="Q131" s="525"/>
      <c r="R131" s="525"/>
      <c r="S131" s="525"/>
      <c r="T131" s="525"/>
      <c r="U131" s="525"/>
      <c r="V131" s="525"/>
      <c r="W131" s="525"/>
      <c r="X131" s="525"/>
      <c r="Y131" s="525"/>
      <c r="Z131" s="525"/>
      <c r="AA131" s="525"/>
      <c r="AB131" s="525"/>
      <c r="AC131" s="525"/>
      <c r="AD131" s="525"/>
      <c r="AE131" s="525"/>
      <c r="AF131" s="525"/>
    </row>
    <row r="132">
      <c r="A132" s="516">
        <v>128.0</v>
      </c>
      <c r="B132" s="523"/>
      <c r="C132" s="518" t="s">
        <v>304</v>
      </c>
      <c r="D132" s="541"/>
      <c r="E132" s="545" t="s">
        <v>833</v>
      </c>
      <c r="F132" s="543"/>
      <c r="G132" s="544"/>
      <c r="H132" s="525"/>
      <c r="I132" s="525"/>
      <c r="J132" s="525"/>
      <c r="K132" s="525"/>
      <c r="L132" s="525"/>
      <c r="M132" s="525"/>
      <c r="N132" s="525"/>
      <c r="O132" s="525"/>
      <c r="P132" s="525"/>
      <c r="Q132" s="525"/>
      <c r="R132" s="525"/>
      <c r="S132" s="525"/>
      <c r="T132" s="525"/>
      <c r="U132" s="525"/>
      <c r="V132" s="525"/>
      <c r="W132" s="525"/>
      <c r="X132" s="525"/>
      <c r="Y132" s="525"/>
      <c r="Z132" s="525"/>
      <c r="AA132" s="525"/>
      <c r="AB132" s="525"/>
      <c r="AC132" s="525"/>
      <c r="AD132" s="525"/>
      <c r="AE132" s="525"/>
      <c r="AF132" s="525"/>
    </row>
    <row r="133">
      <c r="A133" s="516">
        <v>129.0</v>
      </c>
      <c r="B133" s="523"/>
      <c r="C133" s="518" t="s">
        <v>306</v>
      </c>
      <c r="D133" s="541"/>
      <c r="E133" s="545" t="s">
        <v>834</v>
      </c>
      <c r="F133" s="543"/>
      <c r="G133" s="544"/>
      <c r="H133" s="525"/>
      <c r="I133" s="525"/>
      <c r="J133" s="525"/>
      <c r="K133" s="525"/>
      <c r="L133" s="525"/>
      <c r="M133" s="525"/>
      <c r="N133" s="525"/>
      <c r="O133" s="525"/>
      <c r="P133" s="525"/>
      <c r="Q133" s="525"/>
      <c r="R133" s="525"/>
      <c r="S133" s="525"/>
      <c r="T133" s="525"/>
      <c r="U133" s="525"/>
      <c r="V133" s="525"/>
      <c r="W133" s="525"/>
      <c r="X133" s="525"/>
      <c r="Y133" s="525"/>
      <c r="Z133" s="525"/>
      <c r="AA133" s="525"/>
      <c r="AB133" s="525"/>
      <c r="AC133" s="525"/>
      <c r="AD133" s="525"/>
      <c r="AE133" s="525"/>
      <c r="AF133" s="525"/>
    </row>
    <row r="134">
      <c r="A134" s="516">
        <v>130.0</v>
      </c>
      <c r="B134" s="523"/>
      <c r="C134" s="518" t="s">
        <v>309</v>
      </c>
      <c r="D134" s="541"/>
      <c r="E134" s="545" t="s">
        <v>835</v>
      </c>
      <c r="F134" s="543"/>
      <c r="G134" s="544"/>
      <c r="H134" s="525"/>
      <c r="I134" s="525"/>
      <c r="J134" s="525"/>
      <c r="K134" s="525"/>
      <c r="L134" s="525"/>
      <c r="M134" s="525"/>
      <c r="N134" s="525"/>
      <c r="O134" s="525"/>
      <c r="P134" s="525"/>
      <c r="Q134" s="525"/>
      <c r="R134" s="525"/>
      <c r="S134" s="525"/>
      <c r="T134" s="525"/>
      <c r="U134" s="525"/>
      <c r="V134" s="525"/>
      <c r="W134" s="525"/>
      <c r="X134" s="525"/>
      <c r="Y134" s="525"/>
      <c r="Z134" s="525"/>
      <c r="AA134" s="525"/>
      <c r="AB134" s="525"/>
      <c r="AC134" s="525"/>
      <c r="AD134" s="525"/>
      <c r="AE134" s="525"/>
      <c r="AF134" s="525"/>
    </row>
    <row r="135">
      <c r="A135" s="516">
        <v>131.0</v>
      </c>
      <c r="B135" s="523"/>
      <c r="C135" s="536" t="s">
        <v>311</v>
      </c>
      <c r="D135" s="541"/>
      <c r="E135" s="545" t="s">
        <v>836</v>
      </c>
      <c r="F135" s="543"/>
      <c r="G135" s="544"/>
      <c r="H135" s="525"/>
      <c r="I135" s="525"/>
      <c r="J135" s="525"/>
      <c r="K135" s="525"/>
      <c r="L135" s="525"/>
      <c r="M135" s="525"/>
      <c r="N135" s="525"/>
      <c r="O135" s="525"/>
      <c r="P135" s="525"/>
      <c r="Q135" s="525"/>
      <c r="R135" s="525"/>
      <c r="S135" s="525"/>
      <c r="T135" s="525"/>
      <c r="U135" s="525"/>
      <c r="V135" s="525"/>
      <c r="W135" s="525"/>
      <c r="X135" s="525"/>
      <c r="Y135" s="525"/>
      <c r="Z135" s="525"/>
      <c r="AA135" s="525"/>
      <c r="AB135" s="525"/>
      <c r="AC135" s="525"/>
      <c r="AD135" s="525"/>
      <c r="AE135" s="525"/>
      <c r="AF135" s="525"/>
    </row>
    <row r="136">
      <c r="A136" s="516">
        <v>132.0</v>
      </c>
      <c r="B136" s="523"/>
      <c r="C136" s="518" t="s">
        <v>313</v>
      </c>
      <c r="D136" s="30"/>
      <c r="E136" s="545" t="s">
        <v>837</v>
      </c>
      <c r="F136" s="543"/>
      <c r="G136" s="544"/>
      <c r="H136" s="525"/>
      <c r="I136" s="525"/>
      <c r="J136" s="525"/>
      <c r="K136" s="525"/>
      <c r="L136" s="525"/>
      <c r="M136" s="525"/>
      <c r="N136" s="525"/>
      <c r="O136" s="525"/>
      <c r="P136" s="525"/>
      <c r="Q136" s="525"/>
      <c r="R136" s="525"/>
      <c r="S136" s="525"/>
      <c r="T136" s="525"/>
      <c r="U136" s="525"/>
      <c r="V136" s="525"/>
      <c r="W136" s="525"/>
      <c r="X136" s="525"/>
      <c r="Y136" s="525"/>
      <c r="Z136" s="525"/>
      <c r="AA136" s="525"/>
      <c r="AB136" s="525"/>
      <c r="AC136" s="525"/>
      <c r="AD136" s="525"/>
      <c r="AE136" s="525"/>
      <c r="AF136" s="525"/>
    </row>
    <row r="137">
      <c r="A137" s="516">
        <v>133.0</v>
      </c>
      <c r="B137" s="523"/>
      <c r="C137" s="518" t="s">
        <v>315</v>
      </c>
      <c r="D137" s="547" t="s">
        <v>838</v>
      </c>
      <c r="E137" s="542" t="s">
        <v>839</v>
      </c>
      <c r="F137" s="544"/>
      <c r="G137" s="544"/>
      <c r="H137" s="525"/>
      <c r="I137" s="525"/>
      <c r="J137" s="525"/>
      <c r="K137" s="525"/>
      <c r="L137" s="525"/>
      <c r="M137" s="525"/>
      <c r="N137" s="525"/>
      <c r="O137" s="525"/>
      <c r="P137" s="525"/>
      <c r="Q137" s="525"/>
      <c r="R137" s="525"/>
      <c r="S137" s="525"/>
      <c r="T137" s="525"/>
      <c r="U137" s="525"/>
      <c r="V137" s="525"/>
      <c r="W137" s="525"/>
      <c r="X137" s="525"/>
      <c r="Y137" s="525"/>
      <c r="Z137" s="525"/>
      <c r="AA137" s="525"/>
      <c r="AB137" s="525"/>
      <c r="AC137" s="525"/>
      <c r="AD137" s="525"/>
      <c r="AE137" s="525"/>
      <c r="AF137" s="525"/>
    </row>
    <row r="138">
      <c r="A138" s="516">
        <v>134.0</v>
      </c>
      <c r="B138" s="523"/>
      <c r="C138" s="518" t="s">
        <v>317</v>
      </c>
      <c r="D138" s="541"/>
      <c r="E138" s="545" t="s">
        <v>840</v>
      </c>
      <c r="F138" s="543"/>
      <c r="G138" s="544"/>
      <c r="H138" s="525"/>
      <c r="I138" s="525"/>
      <c r="J138" s="525"/>
      <c r="K138" s="525"/>
      <c r="L138" s="525"/>
      <c r="M138" s="525"/>
      <c r="N138" s="525"/>
      <c r="O138" s="525"/>
      <c r="P138" s="525"/>
      <c r="Q138" s="525"/>
      <c r="R138" s="525"/>
      <c r="S138" s="525"/>
      <c r="T138" s="525"/>
      <c r="U138" s="525"/>
      <c r="V138" s="525"/>
      <c r="W138" s="525"/>
      <c r="X138" s="525"/>
      <c r="Y138" s="525"/>
      <c r="Z138" s="525"/>
      <c r="AA138" s="525"/>
      <c r="AB138" s="525"/>
      <c r="AC138" s="525"/>
      <c r="AD138" s="525"/>
      <c r="AE138" s="525"/>
      <c r="AF138" s="525"/>
    </row>
    <row r="139">
      <c r="A139" s="516">
        <v>135.0</v>
      </c>
      <c r="B139" s="523"/>
      <c r="C139" s="518" t="s">
        <v>319</v>
      </c>
      <c r="D139" s="541"/>
      <c r="E139" s="545" t="s">
        <v>841</v>
      </c>
      <c r="F139" s="543"/>
      <c r="G139" s="544"/>
      <c r="H139" s="525"/>
      <c r="I139" s="525"/>
      <c r="J139" s="525"/>
      <c r="K139" s="525"/>
      <c r="L139" s="525"/>
      <c r="M139" s="525"/>
      <c r="N139" s="555">
        <v>4.48E9</v>
      </c>
      <c r="O139" s="525"/>
      <c r="P139" s="525"/>
      <c r="Q139" s="525"/>
      <c r="R139" s="525"/>
      <c r="S139" s="525"/>
      <c r="T139" s="525"/>
      <c r="U139" s="525"/>
      <c r="V139" s="525"/>
      <c r="W139" s="525"/>
      <c r="X139" s="525"/>
      <c r="Y139" s="525"/>
      <c r="Z139" s="525"/>
      <c r="AA139" s="525"/>
      <c r="AB139" s="525"/>
      <c r="AC139" s="525"/>
      <c r="AD139" s="525"/>
      <c r="AE139" s="525"/>
      <c r="AF139" s="525"/>
    </row>
    <row r="140">
      <c r="A140" s="516">
        <v>136.0</v>
      </c>
      <c r="B140" s="523"/>
      <c r="C140" s="532" t="s">
        <v>321</v>
      </c>
      <c r="D140" s="541"/>
      <c r="E140" s="556" t="s">
        <v>842</v>
      </c>
      <c r="F140" s="543"/>
      <c r="G140" s="544"/>
      <c r="H140" s="557">
        <f>4*30000000</f>
        <v>120000000</v>
      </c>
      <c r="I140" s="525"/>
      <c r="J140" s="525"/>
      <c r="K140" s="525"/>
      <c r="L140" s="525"/>
      <c r="M140" s="525"/>
      <c r="N140" s="557">
        <f>(282+29)*20000000</f>
        <v>6220000000</v>
      </c>
      <c r="O140" s="557">
        <f>159*15000000</f>
        <v>2385000000</v>
      </c>
      <c r="P140" s="557">
        <f>1588475000</f>
        <v>1588475000</v>
      </c>
      <c r="Q140" s="557">
        <f>20*10000000</f>
        <v>200000000</v>
      </c>
      <c r="R140" s="525"/>
      <c r="S140" s="525"/>
      <c r="T140" s="525"/>
      <c r="U140" s="525"/>
      <c r="V140" s="525"/>
      <c r="W140" s="525"/>
      <c r="X140" s="525"/>
      <c r="Y140" s="525"/>
      <c r="Z140" s="525"/>
      <c r="AA140" s="525"/>
      <c r="AB140" s="525"/>
      <c r="AC140" s="525"/>
      <c r="AD140" s="525"/>
      <c r="AE140" s="525"/>
      <c r="AF140" s="525"/>
    </row>
    <row r="141">
      <c r="A141" s="516">
        <v>137.0</v>
      </c>
      <c r="B141" s="523"/>
      <c r="C141" s="518" t="s">
        <v>323</v>
      </c>
      <c r="D141" s="541"/>
      <c r="E141" s="545" t="s">
        <v>843</v>
      </c>
      <c r="F141" s="543"/>
      <c r="G141" s="544"/>
      <c r="H141" s="525"/>
      <c r="I141" s="525"/>
      <c r="J141" s="525"/>
      <c r="K141" s="525"/>
      <c r="L141" s="525"/>
      <c r="M141" s="525"/>
      <c r="N141" s="525"/>
      <c r="O141" s="525"/>
      <c r="P141" s="525"/>
      <c r="Q141" s="525"/>
      <c r="R141" s="525"/>
      <c r="S141" s="525"/>
      <c r="T141" s="525"/>
      <c r="U141" s="525"/>
      <c r="V141" s="525"/>
      <c r="W141" s="525"/>
      <c r="X141" s="525"/>
      <c r="Y141" s="525"/>
      <c r="Z141" s="525"/>
      <c r="AA141" s="525"/>
      <c r="AB141" s="525"/>
      <c r="AC141" s="525"/>
      <c r="AD141" s="525"/>
      <c r="AE141" s="525"/>
      <c r="AF141" s="525"/>
    </row>
    <row r="142">
      <c r="A142" s="516">
        <v>138.0</v>
      </c>
      <c r="B142" s="523"/>
      <c r="C142" s="518" t="s">
        <v>325</v>
      </c>
      <c r="D142" s="541"/>
      <c r="E142" s="545" t="s">
        <v>844</v>
      </c>
      <c r="F142" s="543"/>
      <c r="G142" s="544"/>
      <c r="H142" s="525"/>
      <c r="I142" s="525"/>
      <c r="J142" s="525"/>
      <c r="K142" s="525"/>
      <c r="L142" s="525"/>
      <c r="M142" s="525"/>
      <c r="N142" s="558" t="s">
        <v>845</v>
      </c>
      <c r="O142" s="525"/>
      <c r="P142" s="525"/>
      <c r="Q142" s="525"/>
      <c r="R142" s="525"/>
      <c r="S142" s="525"/>
      <c r="T142" s="525"/>
      <c r="U142" s="525"/>
      <c r="V142" s="525"/>
      <c r="W142" s="525"/>
      <c r="X142" s="525"/>
      <c r="Y142" s="525"/>
      <c r="Z142" s="525"/>
      <c r="AA142" s="525"/>
      <c r="AB142" s="525"/>
      <c r="AC142" s="525"/>
      <c r="AD142" s="525"/>
      <c r="AE142" s="525"/>
      <c r="AF142" s="525"/>
    </row>
    <row r="143">
      <c r="A143" s="516">
        <v>139.0</v>
      </c>
      <c r="B143" s="523"/>
      <c r="C143" s="532" t="s">
        <v>327</v>
      </c>
      <c r="D143" s="541"/>
      <c r="E143" s="556" t="s">
        <v>846</v>
      </c>
      <c r="F143" s="543"/>
      <c r="G143" s="544"/>
      <c r="H143" s="525"/>
      <c r="I143" s="525"/>
      <c r="J143" s="525"/>
      <c r="K143" s="525"/>
      <c r="L143" s="525"/>
      <c r="M143" s="525"/>
      <c r="N143" s="525"/>
      <c r="O143" s="525"/>
      <c r="P143" s="525"/>
      <c r="Q143" s="525"/>
      <c r="R143" s="525"/>
      <c r="S143" s="525"/>
      <c r="T143" s="525"/>
      <c r="U143" s="525"/>
      <c r="V143" s="525"/>
      <c r="W143" s="525"/>
      <c r="X143" s="525"/>
      <c r="Y143" s="525"/>
      <c r="Z143" s="525"/>
      <c r="AA143" s="525"/>
      <c r="AB143" s="525"/>
      <c r="AC143" s="525"/>
      <c r="AD143" s="525"/>
      <c r="AE143" s="525"/>
      <c r="AF143" s="525"/>
    </row>
    <row r="144">
      <c r="A144" s="516">
        <v>140.0</v>
      </c>
      <c r="B144" s="523"/>
      <c r="C144" s="518" t="s">
        <v>328</v>
      </c>
      <c r="D144" s="541"/>
      <c r="E144" s="545" t="s">
        <v>847</v>
      </c>
      <c r="F144" s="543"/>
      <c r="G144" s="544"/>
      <c r="H144" s="525"/>
      <c r="I144" s="559">
        <f>133*200000000</f>
        <v>26600000000</v>
      </c>
      <c r="J144" s="525"/>
      <c r="K144" s="525"/>
      <c r="L144" s="525"/>
      <c r="M144" s="525"/>
      <c r="N144" s="559">
        <f>1168*30000000</f>
        <v>35040000000</v>
      </c>
      <c r="O144" s="525"/>
      <c r="P144" s="525"/>
      <c r="Q144" s="525"/>
      <c r="R144" s="525"/>
      <c r="S144" s="525"/>
      <c r="T144" s="525"/>
      <c r="U144" s="525"/>
      <c r="V144" s="525"/>
      <c r="W144" s="525"/>
      <c r="X144" s="525"/>
      <c r="Y144" s="525"/>
      <c r="Z144" s="525"/>
      <c r="AA144" s="525"/>
      <c r="AB144" s="525"/>
      <c r="AC144" s="525"/>
      <c r="AD144" s="525"/>
      <c r="AE144" s="525"/>
      <c r="AF144" s="525"/>
    </row>
    <row r="145">
      <c r="A145" s="516">
        <v>141.0</v>
      </c>
      <c r="B145" s="523"/>
      <c r="C145" s="518" t="s">
        <v>330</v>
      </c>
      <c r="D145" s="541"/>
      <c r="E145" s="545" t="s">
        <v>848</v>
      </c>
      <c r="F145" s="543"/>
      <c r="G145" s="544"/>
      <c r="H145" s="525"/>
      <c r="I145" s="525"/>
      <c r="J145" s="525"/>
      <c r="K145" s="525"/>
      <c r="L145" s="525"/>
      <c r="M145" s="525"/>
      <c r="N145" s="560">
        <v>6.75E8</v>
      </c>
      <c r="O145" s="525"/>
      <c r="P145" s="525"/>
      <c r="Q145" s="525"/>
      <c r="R145" s="525"/>
      <c r="S145" s="525"/>
      <c r="T145" s="525"/>
      <c r="U145" s="525"/>
      <c r="V145" s="525"/>
      <c r="W145" s="525"/>
      <c r="X145" s="525"/>
      <c r="Y145" s="525"/>
      <c r="Z145" s="525"/>
      <c r="AA145" s="525"/>
      <c r="AB145" s="525"/>
      <c r="AC145" s="525"/>
      <c r="AD145" s="525"/>
      <c r="AE145" s="525"/>
      <c r="AF145" s="525"/>
    </row>
    <row r="146">
      <c r="A146" s="516">
        <v>142.0</v>
      </c>
      <c r="B146" s="523"/>
      <c r="C146" s="532" t="s">
        <v>332</v>
      </c>
      <c r="D146" s="541"/>
      <c r="E146" s="556" t="s">
        <v>849</v>
      </c>
      <c r="F146" s="543"/>
      <c r="G146" s="544"/>
      <c r="H146" s="525"/>
      <c r="I146" s="525"/>
      <c r="J146" s="525"/>
      <c r="K146" s="525"/>
      <c r="L146" s="525"/>
      <c r="M146" s="525"/>
      <c r="N146" s="525"/>
      <c r="O146" s="525"/>
      <c r="P146" s="525"/>
      <c r="Q146" s="525"/>
      <c r="R146" s="525"/>
      <c r="S146" s="525"/>
      <c r="T146" s="525"/>
      <c r="U146" s="525"/>
      <c r="V146" s="525"/>
      <c r="W146" s="525"/>
      <c r="X146" s="525"/>
      <c r="Y146" s="525"/>
      <c r="Z146" s="525"/>
      <c r="AA146" s="525"/>
      <c r="AB146" s="525"/>
      <c r="AC146" s="525"/>
      <c r="AD146" s="525"/>
      <c r="AE146" s="525"/>
      <c r="AF146" s="525"/>
    </row>
    <row r="147">
      <c r="A147" s="516">
        <v>143.0</v>
      </c>
      <c r="B147" s="517" t="s">
        <v>334</v>
      </c>
      <c r="C147" s="532" t="s">
        <v>335</v>
      </c>
      <c r="D147" s="30"/>
      <c r="E147" s="556" t="s">
        <v>850</v>
      </c>
      <c r="F147" s="543"/>
      <c r="G147" s="544"/>
      <c r="H147" s="525"/>
      <c r="I147" s="525"/>
      <c r="J147" s="525"/>
      <c r="K147" s="525"/>
      <c r="L147" s="525"/>
      <c r="M147" s="525"/>
      <c r="N147" s="525"/>
      <c r="O147" s="525"/>
      <c r="P147" s="525"/>
      <c r="Q147" s="525"/>
      <c r="R147" s="525"/>
      <c r="S147" s="525"/>
      <c r="T147" s="525"/>
      <c r="U147" s="525"/>
      <c r="V147" s="525"/>
      <c r="W147" s="525"/>
      <c r="X147" s="525"/>
      <c r="Y147" s="525"/>
      <c r="Z147" s="525"/>
      <c r="AA147" s="525"/>
      <c r="AB147" s="525"/>
      <c r="AC147" s="525"/>
      <c r="AD147" s="525"/>
      <c r="AE147" s="525"/>
      <c r="AF147" s="525"/>
    </row>
    <row r="148">
      <c r="A148" s="516">
        <v>144.0</v>
      </c>
      <c r="B148" s="523"/>
      <c r="C148" s="532" t="s">
        <v>337</v>
      </c>
      <c r="D148" s="550" t="s">
        <v>851</v>
      </c>
      <c r="E148" s="548" t="s">
        <v>852</v>
      </c>
      <c r="F148" s="543"/>
      <c r="G148" s="544"/>
      <c r="H148" s="525"/>
      <c r="I148" s="525"/>
      <c r="J148" s="525"/>
      <c r="K148" s="525"/>
      <c r="L148" s="525"/>
      <c r="M148" s="525"/>
      <c r="N148" s="525"/>
      <c r="O148" s="525"/>
      <c r="P148" s="525"/>
      <c r="Q148" s="525"/>
      <c r="R148" s="525"/>
      <c r="S148" s="525"/>
      <c r="T148" s="525"/>
      <c r="U148" s="525"/>
      <c r="V148" s="525"/>
      <c r="W148" s="525"/>
      <c r="X148" s="525"/>
      <c r="Y148" s="525"/>
      <c r="Z148" s="525"/>
      <c r="AA148" s="525"/>
      <c r="AB148" s="525"/>
      <c r="AC148" s="525"/>
      <c r="AD148" s="525"/>
      <c r="AE148" s="525"/>
      <c r="AF148" s="525"/>
    </row>
    <row r="149">
      <c r="A149" s="516">
        <v>145.0</v>
      </c>
      <c r="B149" s="523"/>
      <c r="C149" s="532" t="s">
        <v>339</v>
      </c>
      <c r="D149" s="27"/>
      <c r="E149" s="548" t="s">
        <v>853</v>
      </c>
      <c r="F149" s="543"/>
      <c r="G149" s="544"/>
      <c r="H149" s="525"/>
      <c r="I149" s="525"/>
      <c r="J149" s="525"/>
      <c r="K149" s="525"/>
      <c r="L149" s="525"/>
      <c r="M149" s="525"/>
      <c r="N149" s="525"/>
      <c r="O149" s="525"/>
      <c r="P149" s="525"/>
      <c r="Q149" s="525"/>
      <c r="R149" s="525"/>
      <c r="S149" s="525"/>
      <c r="T149" s="525"/>
      <c r="U149" s="525"/>
      <c r="V149" s="525"/>
      <c r="W149" s="525"/>
      <c r="X149" s="525"/>
      <c r="Y149" s="525"/>
      <c r="Z149" s="525"/>
      <c r="AA149" s="525"/>
      <c r="AB149" s="525"/>
      <c r="AC149" s="525"/>
      <c r="AD149" s="525"/>
      <c r="AE149" s="525"/>
      <c r="AF149" s="525"/>
    </row>
    <row r="150">
      <c r="A150" s="516">
        <v>146.0</v>
      </c>
      <c r="B150" s="517" t="s">
        <v>341</v>
      </c>
      <c r="C150" s="518" t="s">
        <v>342</v>
      </c>
      <c r="D150" s="27"/>
      <c r="E150" s="549" t="s">
        <v>854</v>
      </c>
      <c r="F150" s="543"/>
      <c r="G150" s="544"/>
      <c r="H150" s="525"/>
      <c r="I150" s="525"/>
      <c r="J150" s="525"/>
      <c r="K150" s="525"/>
      <c r="L150" s="525"/>
      <c r="M150" s="525"/>
      <c r="N150" s="525"/>
      <c r="O150" s="525"/>
      <c r="P150" s="525"/>
      <c r="Q150" s="525"/>
      <c r="R150" s="525"/>
      <c r="S150" s="525"/>
      <c r="T150" s="525"/>
      <c r="U150" s="525"/>
      <c r="V150" s="525"/>
      <c r="W150" s="525"/>
      <c r="X150" s="525"/>
      <c r="Y150" s="525"/>
      <c r="Z150" s="525"/>
      <c r="AA150" s="525"/>
      <c r="AB150" s="525"/>
      <c r="AC150" s="525"/>
      <c r="AD150" s="525"/>
      <c r="AE150" s="525"/>
      <c r="AF150" s="525"/>
    </row>
    <row r="151">
      <c r="A151" s="516">
        <v>147.0</v>
      </c>
      <c r="B151" s="523"/>
      <c r="C151" s="518" t="s">
        <v>344</v>
      </c>
      <c r="D151" s="27"/>
      <c r="E151" s="549" t="s">
        <v>855</v>
      </c>
      <c r="F151" s="543"/>
      <c r="G151" s="544"/>
      <c r="H151" s="525"/>
      <c r="I151" s="525"/>
      <c r="J151" s="525"/>
      <c r="K151" s="525"/>
      <c r="L151" s="525"/>
      <c r="M151" s="525"/>
      <c r="N151" s="525"/>
      <c r="O151" s="525"/>
      <c r="P151" s="525"/>
      <c r="Q151" s="525"/>
      <c r="R151" s="525"/>
      <c r="S151" s="525"/>
      <c r="T151" s="525"/>
      <c r="U151" s="525"/>
      <c r="V151" s="525"/>
      <c r="W151" s="525"/>
      <c r="X151" s="525"/>
      <c r="Y151" s="525"/>
      <c r="Z151" s="525"/>
      <c r="AA151" s="525"/>
      <c r="AB151" s="525"/>
      <c r="AC151" s="525"/>
      <c r="AD151" s="525"/>
      <c r="AE151" s="525"/>
      <c r="AF151" s="525"/>
    </row>
    <row r="152">
      <c r="A152" s="516">
        <v>148.0</v>
      </c>
      <c r="B152" s="523"/>
      <c r="C152" s="532" t="s">
        <v>346</v>
      </c>
      <c r="D152" s="27"/>
      <c r="E152" s="548" t="s">
        <v>856</v>
      </c>
      <c r="F152" s="543"/>
      <c r="G152" s="544"/>
      <c r="H152" s="525"/>
      <c r="I152" s="525"/>
      <c r="J152" s="525"/>
      <c r="K152" s="525"/>
      <c r="L152" s="525"/>
      <c r="M152" s="525"/>
      <c r="N152" s="525"/>
      <c r="O152" s="525"/>
      <c r="P152" s="525"/>
      <c r="Q152" s="525"/>
      <c r="R152" s="525"/>
      <c r="S152" s="525"/>
      <c r="T152" s="525"/>
      <c r="U152" s="525"/>
      <c r="V152" s="525"/>
      <c r="W152" s="525"/>
      <c r="X152" s="525"/>
      <c r="Y152" s="525"/>
      <c r="Z152" s="525"/>
      <c r="AA152" s="525"/>
      <c r="AB152" s="525"/>
      <c r="AC152" s="525"/>
      <c r="AD152" s="525"/>
      <c r="AE152" s="525"/>
      <c r="AF152" s="525"/>
    </row>
    <row r="153">
      <c r="A153" s="516">
        <v>149.0</v>
      </c>
      <c r="B153" s="523"/>
      <c r="C153" s="532" t="s">
        <v>348</v>
      </c>
      <c r="D153" s="40"/>
      <c r="E153" s="548" t="s">
        <v>857</v>
      </c>
      <c r="F153" s="543"/>
      <c r="G153" s="544"/>
      <c r="H153" s="525"/>
      <c r="I153" s="525"/>
      <c r="J153" s="525"/>
      <c r="K153" s="525"/>
      <c r="L153" s="525"/>
      <c r="M153" s="525"/>
      <c r="N153" s="525"/>
      <c r="O153" s="525"/>
      <c r="P153" s="525"/>
      <c r="Q153" s="525"/>
      <c r="R153" s="525"/>
      <c r="S153" s="525"/>
      <c r="T153" s="525"/>
      <c r="U153" s="525"/>
      <c r="V153" s="525"/>
      <c r="W153" s="525"/>
      <c r="X153" s="525"/>
      <c r="Y153" s="525"/>
      <c r="Z153" s="525"/>
      <c r="AA153" s="525"/>
      <c r="AB153" s="525"/>
      <c r="AC153" s="525"/>
      <c r="AD153" s="525"/>
      <c r="AE153" s="525"/>
      <c r="AF153" s="525"/>
    </row>
    <row r="154">
      <c r="A154" s="516">
        <v>150.0</v>
      </c>
      <c r="B154" s="517" t="s">
        <v>349</v>
      </c>
      <c r="C154" s="518" t="s">
        <v>350</v>
      </c>
      <c r="D154" s="519" t="s">
        <v>858</v>
      </c>
      <c r="E154" s="561" t="s">
        <v>859</v>
      </c>
      <c r="F154" s="562"/>
      <c r="G154" s="562"/>
      <c r="H154" s="522"/>
      <c r="I154" s="522"/>
      <c r="J154" s="522"/>
      <c r="K154" s="522"/>
      <c r="L154" s="522"/>
      <c r="M154" s="522"/>
      <c r="N154" s="522"/>
      <c r="O154" s="522"/>
      <c r="P154" s="522"/>
      <c r="Q154" s="522"/>
      <c r="R154" s="522"/>
      <c r="S154" s="522"/>
      <c r="T154" s="522"/>
      <c r="U154" s="522"/>
      <c r="V154" s="522"/>
      <c r="W154" s="522"/>
      <c r="X154" s="522"/>
      <c r="Y154" s="522"/>
      <c r="Z154" s="522"/>
      <c r="AA154" s="522"/>
      <c r="AB154" s="522"/>
      <c r="AC154" s="522"/>
      <c r="AD154" s="522"/>
      <c r="AE154" s="522"/>
      <c r="AF154" s="522"/>
    </row>
    <row r="155">
      <c r="A155" s="516">
        <v>151.0</v>
      </c>
      <c r="B155" s="523"/>
      <c r="C155" s="518" t="s">
        <v>352</v>
      </c>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c r="A156" s="516">
        <v>152.0</v>
      </c>
      <c r="B156" s="523"/>
      <c r="C156" s="518" t="s">
        <v>354</v>
      </c>
      <c r="D156" s="27"/>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row>
    <row r="157">
      <c r="A157" s="516">
        <v>153.0</v>
      </c>
      <c r="B157" s="523"/>
      <c r="C157" s="532" t="s">
        <v>356</v>
      </c>
      <c r="D157" s="27"/>
      <c r="E157" s="563" t="s">
        <v>860</v>
      </c>
      <c r="F157" s="562"/>
      <c r="G157" s="562"/>
      <c r="H157" s="522"/>
      <c r="I157" s="522"/>
      <c r="J157" s="522"/>
      <c r="K157" s="522"/>
      <c r="L157" s="522"/>
      <c r="M157" s="522"/>
      <c r="N157" s="522"/>
      <c r="O157" s="522"/>
      <c r="P157" s="522"/>
      <c r="Q157" s="522"/>
      <c r="R157" s="522"/>
      <c r="S157" s="522"/>
      <c r="T157" s="522"/>
      <c r="U157" s="522"/>
      <c r="V157" s="522"/>
      <c r="W157" s="522"/>
      <c r="X157" s="522"/>
      <c r="Y157" s="522"/>
      <c r="Z157" s="522"/>
      <c r="AA157" s="522"/>
      <c r="AB157" s="522"/>
      <c r="AC157" s="522"/>
      <c r="AD157" s="522"/>
      <c r="AE157" s="522"/>
      <c r="AF157" s="522"/>
    </row>
    <row r="158">
      <c r="A158" s="516">
        <v>154.0</v>
      </c>
      <c r="B158" s="523"/>
      <c r="C158" s="532" t="s">
        <v>357</v>
      </c>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c r="A159" s="516">
        <v>155.0</v>
      </c>
      <c r="B159" s="523"/>
      <c r="C159" s="532" t="s">
        <v>359</v>
      </c>
      <c r="D159" s="27"/>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row>
    <row r="160">
      <c r="A160" s="516">
        <v>156.0</v>
      </c>
      <c r="B160" s="523"/>
      <c r="C160" s="518" t="s">
        <v>361</v>
      </c>
      <c r="D160" s="27"/>
      <c r="E160" s="564" t="s">
        <v>861</v>
      </c>
      <c r="F160" s="562"/>
      <c r="G160" s="562"/>
      <c r="H160" s="522"/>
      <c r="I160" s="522"/>
      <c r="J160" s="522"/>
      <c r="K160" s="522"/>
      <c r="L160" s="522"/>
      <c r="M160" s="522"/>
      <c r="N160" s="522"/>
      <c r="O160" s="522"/>
      <c r="P160" s="522"/>
      <c r="Q160" s="522"/>
      <c r="R160" s="522"/>
      <c r="S160" s="522"/>
      <c r="T160" s="522"/>
      <c r="U160" s="522"/>
      <c r="V160" s="522"/>
      <c r="W160" s="522"/>
      <c r="X160" s="522"/>
      <c r="Y160" s="522"/>
      <c r="Z160" s="522"/>
      <c r="AA160" s="522"/>
      <c r="AB160" s="522"/>
      <c r="AC160" s="522"/>
      <c r="AD160" s="522"/>
      <c r="AE160" s="522"/>
      <c r="AF160" s="522"/>
    </row>
    <row r="161">
      <c r="A161" s="516">
        <v>157.0</v>
      </c>
      <c r="B161" s="523"/>
      <c r="C161" s="518" t="s">
        <v>363</v>
      </c>
      <c r="D161" s="27"/>
      <c r="E161" s="561" t="s">
        <v>862</v>
      </c>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c r="A162" s="516">
        <v>158.0</v>
      </c>
      <c r="B162" s="517" t="s">
        <v>365</v>
      </c>
      <c r="C162" s="518" t="s">
        <v>366</v>
      </c>
      <c r="D162" s="27"/>
      <c r="E162" s="545" t="s">
        <v>863</v>
      </c>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row>
    <row r="163">
      <c r="A163" s="516">
        <v>159.0</v>
      </c>
      <c r="B163" s="523"/>
      <c r="C163" s="518" t="s">
        <v>368</v>
      </c>
      <c r="D163" s="27"/>
      <c r="E163" s="561" t="s">
        <v>864</v>
      </c>
      <c r="F163" s="562"/>
      <c r="G163" s="562"/>
      <c r="H163" s="522"/>
      <c r="I163" s="522"/>
      <c r="J163" s="522"/>
      <c r="K163" s="522"/>
      <c r="L163" s="522"/>
      <c r="M163" s="522"/>
      <c r="N163" s="522"/>
      <c r="O163" s="522"/>
      <c r="P163" s="522"/>
      <c r="Q163" s="522"/>
      <c r="R163" s="522"/>
      <c r="S163" s="522"/>
      <c r="T163" s="522"/>
      <c r="U163" s="522"/>
      <c r="V163" s="522"/>
      <c r="W163" s="522"/>
      <c r="X163" s="522"/>
      <c r="Y163" s="522"/>
      <c r="Z163" s="522"/>
      <c r="AA163" s="522"/>
      <c r="AB163" s="522"/>
      <c r="AC163" s="522"/>
      <c r="AD163" s="522"/>
      <c r="AE163" s="522"/>
      <c r="AF163" s="522"/>
    </row>
    <row r="164">
      <c r="A164" s="516">
        <v>160.0</v>
      </c>
      <c r="B164" s="523"/>
      <c r="C164" s="518" t="s">
        <v>371</v>
      </c>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c r="A165" s="516">
        <v>161.0</v>
      </c>
      <c r="B165" s="523"/>
      <c r="C165" s="518" t="s">
        <v>373</v>
      </c>
      <c r="D165" s="27"/>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row>
    <row r="166">
      <c r="A166" s="516">
        <v>162.0</v>
      </c>
      <c r="B166" s="523"/>
      <c r="C166" s="518" t="s">
        <v>375</v>
      </c>
      <c r="D166" s="27"/>
      <c r="E166" s="561" t="s">
        <v>865</v>
      </c>
      <c r="F166" s="562"/>
      <c r="G166" s="562"/>
      <c r="H166" s="522"/>
      <c r="I166" s="522"/>
      <c r="J166" s="522"/>
      <c r="K166" s="522"/>
      <c r="L166" s="522"/>
      <c r="M166" s="522"/>
      <c r="N166" s="522"/>
      <c r="O166" s="522"/>
      <c r="P166" s="522"/>
      <c r="Q166" s="522"/>
      <c r="R166" s="522"/>
      <c r="S166" s="522"/>
      <c r="T166" s="522"/>
      <c r="U166" s="522"/>
      <c r="V166" s="522"/>
      <c r="W166" s="522"/>
      <c r="X166" s="522"/>
      <c r="Y166" s="522"/>
      <c r="Z166" s="522"/>
      <c r="AA166" s="522"/>
      <c r="AB166" s="522"/>
      <c r="AC166" s="522"/>
      <c r="AD166" s="522"/>
      <c r="AE166" s="522"/>
      <c r="AF166" s="522"/>
    </row>
    <row r="167">
      <c r="A167" s="516">
        <v>163.0</v>
      </c>
      <c r="B167" s="523"/>
      <c r="C167" s="518" t="s">
        <v>377</v>
      </c>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c r="A168" s="516">
        <v>164.0</v>
      </c>
      <c r="B168" s="523"/>
      <c r="C168" s="518" t="s">
        <v>379</v>
      </c>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row>
    <row r="169">
      <c r="A169" s="516">
        <v>165.0</v>
      </c>
      <c r="B169" s="523"/>
      <c r="C169" s="532" t="s">
        <v>381</v>
      </c>
      <c r="D169" s="550" t="s">
        <v>866</v>
      </c>
      <c r="E169" s="565" t="s">
        <v>867</v>
      </c>
      <c r="F169" s="562"/>
      <c r="G169" s="562"/>
      <c r="H169" s="522"/>
      <c r="I169" s="522"/>
      <c r="J169" s="522"/>
      <c r="K169" s="522"/>
      <c r="L169" s="522"/>
      <c r="M169" s="522"/>
      <c r="N169" s="522"/>
      <c r="O169" s="522"/>
      <c r="P169" s="522"/>
      <c r="Q169" s="522"/>
      <c r="R169" s="522"/>
      <c r="S169" s="522"/>
      <c r="T169" s="522"/>
      <c r="U169" s="522"/>
      <c r="V169" s="522"/>
      <c r="W169" s="522"/>
      <c r="X169" s="522"/>
      <c r="Y169" s="522"/>
      <c r="Z169" s="522"/>
      <c r="AA169" s="522"/>
      <c r="AB169" s="522"/>
      <c r="AC169" s="522"/>
      <c r="AD169" s="522"/>
      <c r="AE169" s="522"/>
      <c r="AF169" s="522"/>
    </row>
    <row r="170">
      <c r="A170" s="516">
        <v>166.0</v>
      </c>
      <c r="B170" s="523"/>
      <c r="C170" s="532" t="s">
        <v>383</v>
      </c>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c r="A171" s="516">
        <v>167.0</v>
      </c>
      <c r="B171" s="523"/>
      <c r="C171" s="532" t="s">
        <v>384</v>
      </c>
      <c r="D171" s="27"/>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row>
    <row r="172">
      <c r="A172" s="516">
        <v>168.0</v>
      </c>
      <c r="B172" s="523"/>
      <c r="C172" s="532" t="s">
        <v>386</v>
      </c>
      <c r="D172" s="27"/>
      <c r="E172" s="563" t="s">
        <v>868</v>
      </c>
      <c r="F172" s="562"/>
      <c r="G172" s="562"/>
      <c r="H172" s="522"/>
      <c r="I172" s="522"/>
      <c r="J172" s="522"/>
      <c r="K172" s="522"/>
      <c r="L172" s="522"/>
      <c r="M172" s="522"/>
      <c r="N172" s="522"/>
      <c r="O172" s="522"/>
      <c r="P172" s="522"/>
      <c r="Q172" s="522"/>
      <c r="R172" s="522"/>
      <c r="S172" s="522"/>
      <c r="T172" s="522"/>
      <c r="U172" s="522"/>
      <c r="V172" s="522"/>
      <c r="W172" s="522"/>
      <c r="X172" s="522"/>
      <c r="Y172" s="522"/>
      <c r="Z172" s="522"/>
      <c r="AA172" s="522"/>
      <c r="AB172" s="522"/>
      <c r="AC172" s="522"/>
      <c r="AD172" s="522"/>
      <c r="AE172" s="522"/>
      <c r="AF172" s="522"/>
    </row>
    <row r="173">
      <c r="A173" s="516">
        <v>169.0</v>
      </c>
      <c r="B173" s="523"/>
      <c r="C173" s="518" t="s">
        <v>387</v>
      </c>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c r="A174" s="516">
        <v>170.0</v>
      </c>
      <c r="B174" s="523"/>
      <c r="C174" s="532" t="s">
        <v>389</v>
      </c>
      <c r="D174" s="27"/>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row>
    <row r="175">
      <c r="A175" s="516">
        <v>171.0</v>
      </c>
      <c r="B175" s="517" t="s">
        <v>391</v>
      </c>
      <c r="C175" s="518" t="s">
        <v>392</v>
      </c>
      <c r="D175" s="27"/>
      <c r="E175" s="561" t="s">
        <v>869</v>
      </c>
      <c r="F175" s="562"/>
      <c r="G175" s="562"/>
      <c r="H175" s="522"/>
      <c r="I175" s="522"/>
      <c r="J175" s="522"/>
      <c r="K175" s="522"/>
      <c r="L175" s="522"/>
      <c r="M175" s="522"/>
      <c r="N175" s="522"/>
      <c r="O175" s="522"/>
      <c r="P175" s="522"/>
      <c r="Q175" s="522"/>
      <c r="R175" s="522"/>
      <c r="S175" s="522"/>
      <c r="T175" s="522"/>
      <c r="U175" s="522"/>
      <c r="V175" s="522"/>
      <c r="W175" s="522"/>
      <c r="X175" s="522"/>
      <c r="Y175" s="522"/>
      <c r="Z175" s="522"/>
      <c r="AA175" s="522"/>
      <c r="AB175" s="522"/>
      <c r="AC175" s="522"/>
      <c r="AD175" s="522"/>
      <c r="AE175" s="522"/>
      <c r="AF175" s="522"/>
    </row>
    <row r="176">
      <c r="A176" s="516">
        <v>172.0</v>
      </c>
      <c r="B176" s="523"/>
      <c r="C176" s="518" t="s">
        <v>395</v>
      </c>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c r="A177" s="516">
        <v>173.0</v>
      </c>
      <c r="B177" s="523"/>
      <c r="C177" s="518" t="s">
        <v>398</v>
      </c>
      <c r="D177" s="27"/>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row>
    <row r="178">
      <c r="A178" s="516">
        <v>174.0</v>
      </c>
      <c r="B178" s="523"/>
      <c r="C178" s="532" t="s">
        <v>400</v>
      </c>
      <c r="D178" s="27"/>
      <c r="E178" s="563" t="s">
        <v>870</v>
      </c>
      <c r="F178" s="562"/>
      <c r="G178" s="562"/>
      <c r="H178" s="522"/>
      <c r="I178" s="522"/>
      <c r="J178" s="522"/>
      <c r="K178" s="522"/>
      <c r="L178" s="522"/>
      <c r="M178" s="522"/>
      <c r="N178" s="522"/>
      <c r="O178" s="522"/>
      <c r="P178" s="522"/>
      <c r="Q178" s="522"/>
      <c r="R178" s="522"/>
      <c r="S178" s="522"/>
      <c r="T178" s="522"/>
      <c r="U178" s="522"/>
      <c r="V178" s="522"/>
      <c r="W178" s="522"/>
      <c r="X178" s="522"/>
      <c r="Y178" s="522"/>
      <c r="Z178" s="522"/>
      <c r="AA178" s="522"/>
      <c r="AB178" s="522"/>
      <c r="AC178" s="522"/>
      <c r="AD178" s="522"/>
      <c r="AE178" s="522"/>
      <c r="AF178" s="522"/>
    </row>
    <row r="179">
      <c r="A179" s="516">
        <v>175.0</v>
      </c>
      <c r="B179" s="523"/>
      <c r="C179" s="532" t="s">
        <v>402</v>
      </c>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c r="A180" s="516">
        <v>176.0</v>
      </c>
      <c r="B180" s="523"/>
      <c r="C180" s="532" t="s">
        <v>403</v>
      </c>
      <c r="D180" s="27"/>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row>
    <row r="181">
      <c r="A181" s="516">
        <v>177.0</v>
      </c>
      <c r="B181" s="523"/>
      <c r="C181" s="532" t="s">
        <v>405</v>
      </c>
      <c r="D181" s="27"/>
      <c r="E181" s="561" t="s">
        <v>871</v>
      </c>
      <c r="F181" s="562"/>
      <c r="G181" s="562"/>
      <c r="H181" s="522"/>
      <c r="I181" s="522"/>
      <c r="J181" s="522"/>
      <c r="K181" s="522"/>
      <c r="L181" s="522"/>
      <c r="M181" s="522"/>
      <c r="N181" s="522"/>
      <c r="O181" s="522"/>
      <c r="P181" s="522"/>
      <c r="Q181" s="522"/>
      <c r="R181" s="522"/>
      <c r="S181" s="522"/>
      <c r="T181" s="522"/>
      <c r="U181" s="522"/>
      <c r="V181" s="522"/>
      <c r="W181" s="522"/>
      <c r="X181" s="522"/>
      <c r="Y181" s="522"/>
      <c r="Z181" s="522"/>
      <c r="AA181" s="522"/>
      <c r="AB181" s="522"/>
      <c r="AC181" s="522"/>
      <c r="AD181" s="522"/>
      <c r="AE181" s="522"/>
      <c r="AF181" s="522"/>
    </row>
    <row r="182">
      <c r="A182" s="516">
        <v>178.0</v>
      </c>
      <c r="B182" s="523"/>
      <c r="C182" s="532" t="s">
        <v>407</v>
      </c>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c r="A183" s="516">
        <v>179.0</v>
      </c>
      <c r="B183" s="523"/>
      <c r="C183" s="518" t="s">
        <v>408</v>
      </c>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row>
    <row r="184">
      <c r="A184" s="516">
        <v>180.0</v>
      </c>
      <c r="B184" s="517" t="s">
        <v>410</v>
      </c>
      <c r="C184" s="532" t="s">
        <v>411</v>
      </c>
      <c r="D184" s="566" t="s">
        <v>851</v>
      </c>
      <c r="E184" s="556" t="s">
        <v>872</v>
      </c>
      <c r="F184" s="543"/>
      <c r="G184" s="544"/>
      <c r="H184" s="525"/>
      <c r="I184" s="525"/>
      <c r="J184" s="525"/>
      <c r="K184" s="525"/>
      <c r="L184" s="525"/>
      <c r="M184" s="525"/>
      <c r="N184" s="525"/>
      <c r="O184" s="525"/>
      <c r="P184" s="525"/>
      <c r="Q184" s="525"/>
      <c r="R184" s="525"/>
      <c r="S184" s="525"/>
      <c r="T184" s="525"/>
      <c r="U184" s="525"/>
      <c r="V184" s="525"/>
      <c r="W184" s="525"/>
      <c r="X184" s="525"/>
      <c r="Y184" s="525"/>
      <c r="Z184" s="525"/>
      <c r="AA184" s="525"/>
      <c r="AB184" s="525"/>
      <c r="AC184" s="525"/>
      <c r="AD184" s="525"/>
      <c r="AE184" s="525"/>
      <c r="AF184" s="525"/>
    </row>
    <row r="185">
      <c r="A185" s="516">
        <v>181.0</v>
      </c>
      <c r="B185" s="523"/>
      <c r="C185" s="532" t="s">
        <v>412</v>
      </c>
      <c r="D185" s="547" t="s">
        <v>873</v>
      </c>
      <c r="E185" s="556" t="s">
        <v>874</v>
      </c>
      <c r="F185" s="543"/>
      <c r="G185" s="544"/>
      <c r="H185" s="546"/>
      <c r="I185" s="525"/>
      <c r="J185" s="525"/>
      <c r="K185" s="525"/>
      <c r="L185" s="525"/>
      <c r="M185" s="525"/>
      <c r="N185" s="525"/>
      <c r="O185" s="525"/>
      <c r="P185" s="525"/>
      <c r="Q185" s="525"/>
      <c r="R185" s="525"/>
      <c r="S185" s="525"/>
      <c r="T185" s="525"/>
      <c r="U185" s="525"/>
      <c r="V185" s="525"/>
      <c r="W185" s="525"/>
      <c r="X185" s="525"/>
      <c r="Y185" s="525"/>
      <c r="Z185" s="525"/>
      <c r="AA185" s="525"/>
      <c r="AB185" s="525"/>
      <c r="AC185" s="525"/>
      <c r="AD185" s="525"/>
      <c r="AE185" s="525"/>
      <c r="AF185" s="525"/>
    </row>
    <row r="186">
      <c r="A186" s="516">
        <v>182.0</v>
      </c>
      <c r="B186" s="523"/>
      <c r="C186" s="532" t="s">
        <v>414</v>
      </c>
      <c r="D186" s="541"/>
      <c r="E186" s="556" t="s">
        <v>875</v>
      </c>
      <c r="F186" s="543"/>
      <c r="G186" s="544"/>
      <c r="H186" s="525"/>
      <c r="I186" s="525"/>
      <c r="J186" s="525"/>
      <c r="K186" s="525"/>
      <c r="L186" s="525"/>
      <c r="M186" s="525"/>
      <c r="N186" s="525"/>
      <c r="O186" s="525"/>
      <c r="P186" s="525"/>
      <c r="Q186" s="525"/>
      <c r="R186" s="525"/>
      <c r="S186" s="525"/>
      <c r="T186" s="525"/>
      <c r="U186" s="525"/>
      <c r="V186" s="525"/>
      <c r="W186" s="525"/>
      <c r="X186" s="525"/>
      <c r="Y186" s="525"/>
      <c r="Z186" s="525"/>
      <c r="AA186" s="525"/>
      <c r="AB186" s="525"/>
      <c r="AC186" s="525"/>
      <c r="AD186" s="525"/>
      <c r="AE186" s="525"/>
      <c r="AF186" s="525"/>
    </row>
    <row r="187">
      <c r="A187" s="516">
        <v>183.0</v>
      </c>
      <c r="B187" s="523"/>
      <c r="C187" s="532" t="s">
        <v>415</v>
      </c>
      <c r="D187" s="541"/>
      <c r="E187" s="556" t="s">
        <v>876</v>
      </c>
      <c r="F187" s="543"/>
      <c r="G187" s="544"/>
      <c r="H187" s="525"/>
      <c r="I187" s="525"/>
      <c r="J187" s="525"/>
      <c r="K187" s="525"/>
      <c r="L187" s="525"/>
      <c r="M187" s="525"/>
      <c r="N187" s="525"/>
      <c r="O187" s="525"/>
      <c r="P187" s="525"/>
      <c r="Q187" s="525"/>
      <c r="R187" s="525"/>
      <c r="S187" s="525"/>
      <c r="T187" s="525"/>
      <c r="U187" s="525"/>
      <c r="V187" s="525"/>
      <c r="W187" s="525"/>
      <c r="X187" s="525"/>
      <c r="Y187" s="525"/>
      <c r="Z187" s="525"/>
      <c r="AA187" s="525"/>
      <c r="AB187" s="525"/>
      <c r="AC187" s="525"/>
      <c r="AD187" s="525"/>
      <c r="AE187" s="525"/>
      <c r="AF187" s="525"/>
    </row>
    <row r="188">
      <c r="A188" s="516">
        <v>184.0</v>
      </c>
      <c r="B188" s="523"/>
      <c r="C188" s="532" t="s">
        <v>416</v>
      </c>
      <c r="D188" s="541"/>
      <c r="E188" s="556" t="s">
        <v>877</v>
      </c>
      <c r="F188" s="543"/>
      <c r="G188" s="544"/>
      <c r="H188" s="525"/>
      <c r="I188" s="525"/>
      <c r="J188" s="525"/>
      <c r="K188" s="525"/>
      <c r="L188" s="525"/>
      <c r="M188" s="525"/>
      <c r="N188" s="525"/>
      <c r="O188" s="525"/>
      <c r="P188" s="525"/>
      <c r="Q188" s="525"/>
      <c r="R188" s="525"/>
      <c r="S188" s="525"/>
      <c r="T188" s="525"/>
      <c r="U188" s="525"/>
      <c r="V188" s="525"/>
      <c r="W188" s="525"/>
      <c r="X188" s="525"/>
      <c r="Y188" s="525"/>
      <c r="Z188" s="525"/>
      <c r="AA188" s="525"/>
      <c r="AB188" s="525"/>
      <c r="AC188" s="525"/>
      <c r="AD188" s="525"/>
      <c r="AE188" s="525"/>
      <c r="AF188" s="525"/>
    </row>
    <row r="189">
      <c r="A189" s="516">
        <v>185.0</v>
      </c>
      <c r="B189" s="523"/>
      <c r="C189" s="518" t="s">
        <v>418</v>
      </c>
      <c r="D189" s="541"/>
      <c r="E189" s="545" t="s">
        <v>878</v>
      </c>
      <c r="F189" s="543"/>
      <c r="G189" s="544"/>
      <c r="H189" s="525"/>
      <c r="I189" s="525"/>
      <c r="J189" s="525"/>
      <c r="K189" s="525"/>
      <c r="L189" s="525"/>
      <c r="M189" s="525"/>
      <c r="N189" s="525"/>
      <c r="O189" s="525"/>
      <c r="P189" s="525"/>
      <c r="Q189" s="525"/>
      <c r="R189" s="525"/>
      <c r="S189" s="525"/>
      <c r="T189" s="525"/>
      <c r="U189" s="525"/>
      <c r="V189" s="525"/>
      <c r="W189" s="525"/>
      <c r="X189" s="525"/>
      <c r="Y189" s="525"/>
      <c r="Z189" s="525"/>
      <c r="AA189" s="525"/>
      <c r="AB189" s="525"/>
      <c r="AC189" s="525"/>
      <c r="AD189" s="525"/>
      <c r="AE189" s="525"/>
      <c r="AF189" s="525"/>
    </row>
    <row r="190">
      <c r="A190" s="516">
        <v>186.0</v>
      </c>
      <c r="B190" s="517" t="s">
        <v>420</v>
      </c>
      <c r="C190" s="532" t="s">
        <v>421</v>
      </c>
      <c r="D190" s="541"/>
      <c r="E190" s="556" t="s">
        <v>879</v>
      </c>
      <c r="F190" s="543"/>
      <c r="G190" s="544"/>
      <c r="H190" s="525"/>
      <c r="I190" s="525"/>
      <c r="J190" s="525"/>
      <c r="K190" s="525"/>
      <c r="L190" s="525"/>
      <c r="M190" s="525"/>
      <c r="N190" s="525"/>
      <c r="O190" s="525"/>
      <c r="P190" s="525"/>
      <c r="Q190" s="525"/>
      <c r="R190" s="525"/>
      <c r="S190" s="525"/>
      <c r="T190" s="525"/>
      <c r="U190" s="525"/>
      <c r="V190" s="525"/>
      <c r="W190" s="525"/>
      <c r="X190" s="525"/>
      <c r="Y190" s="525"/>
      <c r="Z190" s="525"/>
      <c r="AA190" s="525"/>
      <c r="AB190" s="525"/>
      <c r="AC190" s="525"/>
      <c r="AD190" s="525"/>
      <c r="AE190" s="525"/>
      <c r="AF190" s="525"/>
    </row>
    <row r="191">
      <c r="A191" s="516">
        <v>187.0</v>
      </c>
      <c r="B191" s="523"/>
      <c r="C191" s="532" t="s">
        <v>423</v>
      </c>
      <c r="D191" s="541"/>
      <c r="E191" s="556" t="s">
        <v>880</v>
      </c>
      <c r="F191" s="543"/>
      <c r="G191" s="544"/>
      <c r="H191" s="525"/>
      <c r="I191" s="525"/>
      <c r="J191" s="525"/>
      <c r="K191" s="525"/>
      <c r="L191" s="525"/>
      <c r="M191" s="525"/>
      <c r="N191" s="525"/>
      <c r="O191" s="525"/>
      <c r="P191" s="525"/>
      <c r="Q191" s="525"/>
      <c r="R191" s="525"/>
      <c r="S191" s="525"/>
      <c r="T191" s="525"/>
      <c r="U191" s="525"/>
      <c r="V191" s="525"/>
      <c r="W191" s="525"/>
      <c r="X191" s="525"/>
      <c r="Y191" s="525"/>
      <c r="Z191" s="525"/>
      <c r="AA191" s="525"/>
      <c r="AB191" s="525"/>
      <c r="AC191" s="525"/>
      <c r="AD191" s="525"/>
      <c r="AE191" s="525"/>
      <c r="AF191" s="525"/>
    </row>
    <row r="192">
      <c r="A192" s="516">
        <v>188.0</v>
      </c>
      <c r="B192" s="523"/>
      <c r="C192" s="518" t="s">
        <v>425</v>
      </c>
      <c r="D192" s="541"/>
      <c r="E192" s="545" t="s">
        <v>881</v>
      </c>
      <c r="F192" s="543"/>
      <c r="G192" s="544"/>
      <c r="H192" s="525"/>
      <c r="I192" s="525"/>
      <c r="J192" s="525"/>
      <c r="K192" s="525"/>
      <c r="L192" s="525"/>
      <c r="M192" s="525"/>
      <c r="N192" s="525"/>
      <c r="O192" s="525"/>
      <c r="P192" s="525"/>
      <c r="Q192" s="525"/>
      <c r="R192" s="525"/>
      <c r="S192" s="525"/>
      <c r="T192" s="525"/>
      <c r="U192" s="525"/>
      <c r="V192" s="525"/>
      <c r="W192" s="525"/>
      <c r="X192" s="525"/>
      <c r="Y192" s="525"/>
      <c r="Z192" s="525"/>
      <c r="AA192" s="525"/>
      <c r="AB192" s="525"/>
      <c r="AC192" s="525"/>
      <c r="AD192" s="525"/>
      <c r="AE192" s="525"/>
      <c r="AF192" s="525"/>
    </row>
    <row r="193">
      <c r="A193" s="516">
        <v>189.0</v>
      </c>
      <c r="B193" s="517" t="s">
        <v>428</v>
      </c>
      <c r="C193" s="518" t="s">
        <v>429</v>
      </c>
      <c r="D193" s="541"/>
      <c r="E193" s="545" t="s">
        <v>882</v>
      </c>
      <c r="F193" s="543"/>
      <c r="G193" s="544"/>
      <c r="H193" s="525"/>
      <c r="I193" s="525"/>
      <c r="J193" s="525"/>
      <c r="K193" s="525"/>
      <c r="L193" s="525"/>
      <c r="M193" s="525"/>
      <c r="N193" s="525"/>
      <c r="O193" s="525"/>
      <c r="P193" s="525"/>
      <c r="Q193" s="525"/>
      <c r="R193" s="525"/>
      <c r="S193" s="525"/>
      <c r="T193" s="525"/>
      <c r="U193" s="525"/>
      <c r="V193" s="525"/>
      <c r="W193" s="525"/>
      <c r="X193" s="525"/>
      <c r="Y193" s="525"/>
      <c r="Z193" s="525"/>
      <c r="AA193" s="525"/>
      <c r="AB193" s="525"/>
      <c r="AC193" s="525"/>
      <c r="AD193" s="525"/>
      <c r="AE193" s="525"/>
      <c r="AF193" s="525"/>
    </row>
    <row r="194">
      <c r="A194" s="516">
        <v>190.0</v>
      </c>
      <c r="B194" s="517" t="s">
        <v>431</v>
      </c>
      <c r="C194" s="518" t="s">
        <v>432</v>
      </c>
      <c r="D194" s="30"/>
      <c r="E194" s="545" t="s">
        <v>883</v>
      </c>
      <c r="F194" s="543"/>
      <c r="G194" s="544"/>
      <c r="H194" s="525"/>
      <c r="I194" s="525"/>
      <c r="J194" s="525"/>
      <c r="K194" s="525"/>
      <c r="L194" s="525"/>
      <c r="M194" s="525"/>
      <c r="N194" s="525"/>
      <c r="O194" s="525"/>
      <c r="P194" s="525"/>
      <c r="Q194" s="525"/>
      <c r="R194" s="525"/>
      <c r="S194" s="525"/>
      <c r="T194" s="525"/>
      <c r="U194" s="525"/>
      <c r="V194" s="525"/>
      <c r="W194" s="525"/>
      <c r="X194" s="525"/>
      <c r="Y194" s="525"/>
      <c r="Z194" s="525"/>
      <c r="AA194" s="525"/>
      <c r="AB194" s="525"/>
      <c r="AC194" s="525"/>
      <c r="AD194" s="525"/>
      <c r="AE194" s="525"/>
      <c r="AF194" s="525"/>
    </row>
    <row r="195">
      <c r="A195" s="516">
        <v>191.0</v>
      </c>
      <c r="B195" s="523"/>
      <c r="C195" s="518" t="s">
        <v>884</v>
      </c>
      <c r="D195" s="547" t="s">
        <v>885</v>
      </c>
      <c r="E195" s="545" t="s">
        <v>886</v>
      </c>
      <c r="F195" s="544"/>
      <c r="G195" s="544"/>
      <c r="H195" s="525"/>
      <c r="I195" s="525"/>
      <c r="J195" s="525"/>
      <c r="K195" s="525"/>
      <c r="L195" s="525"/>
      <c r="M195" s="525"/>
      <c r="N195" s="525"/>
      <c r="O195" s="525"/>
      <c r="P195" s="525"/>
      <c r="Q195" s="525"/>
      <c r="R195" s="525"/>
      <c r="S195" s="525"/>
      <c r="T195" s="525"/>
      <c r="U195" s="525"/>
      <c r="V195" s="525"/>
      <c r="W195" s="525"/>
      <c r="X195" s="525"/>
      <c r="Y195" s="525"/>
      <c r="Z195" s="525"/>
      <c r="AA195" s="525"/>
      <c r="AB195" s="525"/>
      <c r="AC195" s="525"/>
      <c r="AD195" s="525"/>
      <c r="AE195" s="525"/>
      <c r="AF195" s="525"/>
    </row>
    <row r="196">
      <c r="A196" s="516">
        <v>192.0</v>
      </c>
      <c r="B196" s="523"/>
      <c r="C196" s="518" t="s">
        <v>436</v>
      </c>
      <c r="D196" s="541"/>
      <c r="E196" s="549" t="s">
        <v>887</v>
      </c>
      <c r="F196" s="544"/>
      <c r="G196" s="544"/>
      <c r="H196" s="525"/>
      <c r="I196" s="525"/>
      <c r="J196" s="525"/>
      <c r="K196" s="525"/>
      <c r="L196" s="525"/>
      <c r="M196" s="525"/>
      <c r="N196" s="525"/>
      <c r="O196" s="525"/>
      <c r="P196" s="525"/>
      <c r="Q196" s="525"/>
      <c r="R196" s="525"/>
      <c r="S196" s="525"/>
      <c r="T196" s="525"/>
      <c r="U196" s="525"/>
      <c r="V196" s="525"/>
      <c r="W196" s="525"/>
      <c r="X196" s="525"/>
      <c r="Y196" s="525"/>
      <c r="Z196" s="525"/>
      <c r="AA196" s="525"/>
      <c r="AB196" s="525"/>
      <c r="AC196" s="525"/>
      <c r="AD196" s="525"/>
      <c r="AE196" s="525"/>
      <c r="AF196" s="525"/>
    </row>
    <row r="197">
      <c r="A197" s="516">
        <v>193.0</v>
      </c>
      <c r="B197" s="523"/>
      <c r="C197" s="518" t="s">
        <v>438</v>
      </c>
      <c r="D197" s="30"/>
      <c r="E197" s="545" t="s">
        <v>888</v>
      </c>
      <c r="F197" s="544"/>
      <c r="G197" s="544"/>
      <c r="H197" s="525"/>
      <c r="I197" s="525"/>
      <c r="J197" s="525"/>
      <c r="K197" s="525"/>
      <c r="L197" s="525"/>
      <c r="M197" s="525"/>
      <c r="N197" s="525"/>
      <c r="O197" s="525"/>
      <c r="P197" s="525"/>
      <c r="Q197" s="525"/>
      <c r="R197" s="525"/>
      <c r="S197" s="525"/>
      <c r="T197" s="525"/>
      <c r="U197" s="525"/>
      <c r="V197" s="525"/>
      <c r="W197" s="525"/>
      <c r="X197" s="525"/>
      <c r="Y197" s="525"/>
      <c r="Z197" s="525"/>
      <c r="AA197" s="525"/>
      <c r="AB197" s="525"/>
      <c r="AC197" s="525"/>
      <c r="AD197" s="525"/>
      <c r="AE197" s="525"/>
      <c r="AF197" s="525"/>
    </row>
    <row r="198">
      <c r="A198" s="516">
        <v>194.0</v>
      </c>
      <c r="B198" s="523"/>
      <c r="C198" s="518" t="s">
        <v>440</v>
      </c>
      <c r="D198" s="550" t="s">
        <v>889</v>
      </c>
      <c r="E198" s="549" t="s">
        <v>890</v>
      </c>
      <c r="F198" s="543"/>
      <c r="G198" s="544"/>
      <c r="H198" s="525"/>
      <c r="I198" s="525"/>
      <c r="J198" s="525"/>
      <c r="K198" s="525"/>
      <c r="L198" s="525"/>
      <c r="M198" s="525"/>
      <c r="N198" s="525"/>
      <c r="O198" s="525"/>
      <c r="P198" s="525"/>
      <c r="Q198" s="525"/>
      <c r="R198" s="525"/>
      <c r="S198" s="525"/>
      <c r="T198" s="525"/>
      <c r="U198" s="525"/>
      <c r="V198" s="525"/>
      <c r="W198" s="525"/>
      <c r="X198" s="525"/>
      <c r="Y198" s="525"/>
      <c r="Z198" s="525"/>
      <c r="AA198" s="525"/>
      <c r="AB198" s="525"/>
      <c r="AC198" s="525"/>
      <c r="AD198" s="525"/>
      <c r="AE198" s="525"/>
      <c r="AF198" s="525"/>
    </row>
    <row r="199">
      <c r="A199" s="516">
        <v>195.0</v>
      </c>
      <c r="B199" s="517" t="s">
        <v>443</v>
      </c>
      <c r="C199" s="518" t="s">
        <v>444</v>
      </c>
      <c r="D199" s="27"/>
      <c r="E199" s="549" t="s">
        <v>891</v>
      </c>
      <c r="F199" s="543"/>
      <c r="G199" s="544"/>
      <c r="H199" s="525"/>
      <c r="I199" s="525"/>
      <c r="J199" s="525"/>
      <c r="K199" s="525"/>
      <c r="L199" s="525"/>
      <c r="M199" s="525"/>
      <c r="N199" s="525"/>
      <c r="O199" s="525"/>
      <c r="P199" s="525"/>
      <c r="Q199" s="525"/>
      <c r="R199" s="525"/>
      <c r="S199" s="525"/>
      <c r="T199" s="525"/>
      <c r="U199" s="525"/>
      <c r="V199" s="525"/>
      <c r="W199" s="525"/>
      <c r="X199" s="525"/>
      <c r="Y199" s="525"/>
      <c r="Z199" s="525"/>
      <c r="AA199" s="525"/>
      <c r="AB199" s="525"/>
      <c r="AC199" s="525"/>
      <c r="AD199" s="525"/>
      <c r="AE199" s="525"/>
      <c r="AF199" s="525"/>
    </row>
    <row r="200" ht="33.75" customHeight="1">
      <c r="A200" s="516">
        <v>196.0</v>
      </c>
      <c r="B200" s="523"/>
      <c r="C200" s="518" t="s">
        <v>445</v>
      </c>
      <c r="D200" s="40"/>
      <c r="E200" s="549" t="s">
        <v>892</v>
      </c>
      <c r="F200" s="543"/>
      <c r="G200" s="544"/>
      <c r="H200" s="525"/>
      <c r="I200" s="525"/>
      <c r="J200" s="525"/>
      <c r="K200" s="525"/>
      <c r="L200" s="525"/>
      <c r="M200" s="525"/>
      <c r="N200" s="525"/>
      <c r="O200" s="525"/>
      <c r="P200" s="525"/>
      <c r="Q200" s="525"/>
      <c r="R200" s="525"/>
      <c r="S200" s="525"/>
      <c r="T200" s="525"/>
      <c r="U200" s="525"/>
      <c r="V200" s="525"/>
      <c r="W200" s="525"/>
      <c r="X200" s="525"/>
      <c r="Y200" s="525"/>
      <c r="Z200" s="525"/>
      <c r="AA200" s="525"/>
      <c r="AB200" s="525"/>
      <c r="AC200" s="525"/>
      <c r="AD200" s="525"/>
      <c r="AE200" s="525"/>
      <c r="AF200" s="525"/>
    </row>
    <row r="201">
      <c r="A201" s="516">
        <v>197.0</v>
      </c>
      <c r="B201" s="517" t="s">
        <v>446</v>
      </c>
      <c r="C201" s="518" t="s">
        <v>447</v>
      </c>
      <c r="D201" s="550" t="s">
        <v>893</v>
      </c>
      <c r="E201" s="549" t="s">
        <v>894</v>
      </c>
      <c r="F201" s="543"/>
      <c r="G201" s="544"/>
      <c r="H201" s="525"/>
      <c r="I201" s="525"/>
      <c r="J201" s="525"/>
      <c r="K201" s="525"/>
      <c r="L201" s="525"/>
      <c r="M201" s="525"/>
      <c r="N201" s="525"/>
      <c r="O201" s="525"/>
      <c r="P201" s="525"/>
      <c r="Q201" s="525"/>
      <c r="R201" s="525"/>
      <c r="S201" s="525"/>
      <c r="T201" s="525"/>
      <c r="U201" s="525"/>
      <c r="V201" s="525"/>
      <c r="W201" s="525"/>
      <c r="X201" s="525"/>
      <c r="Y201" s="525"/>
      <c r="Z201" s="525"/>
      <c r="AA201" s="525"/>
      <c r="AB201" s="525"/>
      <c r="AC201" s="525"/>
      <c r="AD201" s="525"/>
      <c r="AE201" s="525"/>
      <c r="AF201" s="525"/>
    </row>
    <row r="202">
      <c r="A202" s="516">
        <v>198.0</v>
      </c>
      <c r="B202" s="517" t="s">
        <v>449</v>
      </c>
      <c r="C202" s="518" t="s">
        <v>450</v>
      </c>
      <c r="D202" s="27"/>
      <c r="E202" s="549" t="s">
        <v>895</v>
      </c>
      <c r="F202" s="543"/>
      <c r="G202" s="544"/>
      <c r="H202" s="525"/>
      <c r="I202" s="525"/>
      <c r="J202" s="525"/>
      <c r="K202" s="525"/>
      <c r="L202" s="525"/>
      <c r="M202" s="525"/>
      <c r="N202" s="525"/>
      <c r="O202" s="525"/>
      <c r="P202" s="525"/>
      <c r="Q202" s="525"/>
      <c r="R202" s="525"/>
      <c r="S202" s="525"/>
      <c r="T202" s="525"/>
      <c r="U202" s="525"/>
      <c r="V202" s="525"/>
      <c r="W202" s="525"/>
      <c r="X202" s="525"/>
      <c r="Y202" s="525"/>
      <c r="Z202" s="525"/>
      <c r="AA202" s="525"/>
      <c r="AB202" s="525"/>
      <c r="AC202" s="525"/>
      <c r="AD202" s="525"/>
      <c r="AE202" s="525"/>
      <c r="AF202" s="525"/>
    </row>
    <row r="203">
      <c r="A203" s="516">
        <v>199.0</v>
      </c>
      <c r="B203" s="523"/>
      <c r="C203" s="518" t="s">
        <v>452</v>
      </c>
      <c r="D203" s="40"/>
      <c r="E203" s="549" t="s">
        <v>896</v>
      </c>
      <c r="F203" s="543"/>
      <c r="G203" s="544"/>
      <c r="H203" s="525"/>
      <c r="I203" s="525"/>
      <c r="J203" s="525"/>
      <c r="K203" s="525"/>
      <c r="L203" s="525"/>
      <c r="M203" s="525"/>
      <c r="N203" s="525"/>
      <c r="O203" s="525"/>
      <c r="P203" s="525"/>
      <c r="Q203" s="525"/>
      <c r="R203" s="525"/>
      <c r="S203" s="525"/>
      <c r="T203" s="525"/>
      <c r="U203" s="525"/>
      <c r="V203" s="525"/>
      <c r="W203" s="525"/>
      <c r="X203" s="525"/>
      <c r="Y203" s="525"/>
      <c r="Z203" s="525"/>
      <c r="AA203" s="525"/>
      <c r="AB203" s="525"/>
      <c r="AC203" s="525"/>
      <c r="AD203" s="525"/>
      <c r="AE203" s="525"/>
      <c r="AF203" s="525"/>
    </row>
    <row r="204">
      <c r="A204" s="516">
        <v>200.0</v>
      </c>
      <c r="B204" s="517" t="s">
        <v>454</v>
      </c>
      <c r="C204" s="532" t="s">
        <v>455</v>
      </c>
      <c r="D204" s="550" t="s">
        <v>897</v>
      </c>
      <c r="E204" s="567" t="s">
        <v>898</v>
      </c>
      <c r="F204" s="544"/>
      <c r="G204" s="544"/>
      <c r="H204" s="525"/>
      <c r="I204" s="525"/>
      <c r="J204" s="525"/>
      <c r="K204" s="525"/>
      <c r="L204" s="525"/>
      <c r="M204" s="525"/>
      <c r="N204" s="525"/>
      <c r="O204" s="525"/>
      <c r="P204" s="525"/>
      <c r="Q204" s="525"/>
      <c r="R204" s="525"/>
      <c r="S204" s="525"/>
      <c r="T204" s="525"/>
      <c r="U204" s="525"/>
      <c r="V204" s="525"/>
      <c r="W204" s="525"/>
      <c r="X204" s="525"/>
      <c r="Y204" s="525"/>
      <c r="Z204" s="525"/>
      <c r="AA204" s="525"/>
      <c r="AB204" s="525"/>
      <c r="AC204" s="525"/>
      <c r="AD204" s="525"/>
      <c r="AE204" s="525"/>
      <c r="AF204" s="525"/>
    </row>
    <row r="205">
      <c r="A205" s="516">
        <v>201.0</v>
      </c>
      <c r="B205" s="523"/>
      <c r="C205" s="532" t="s">
        <v>899</v>
      </c>
      <c r="D205" s="27"/>
      <c r="E205" s="548" t="s">
        <v>900</v>
      </c>
      <c r="F205" s="544"/>
      <c r="G205" s="544"/>
      <c r="H205" s="525"/>
      <c r="I205" s="525"/>
      <c r="J205" s="525"/>
      <c r="K205" s="525"/>
      <c r="L205" s="525"/>
      <c r="M205" s="525"/>
      <c r="N205" s="525"/>
      <c r="O205" s="525"/>
      <c r="P205" s="525"/>
      <c r="Q205" s="525"/>
      <c r="R205" s="525"/>
      <c r="S205" s="525"/>
      <c r="T205" s="525"/>
      <c r="U205" s="525"/>
      <c r="V205" s="525"/>
      <c r="W205" s="525"/>
      <c r="X205" s="525"/>
      <c r="Y205" s="525"/>
      <c r="Z205" s="525"/>
      <c r="AA205" s="525"/>
      <c r="AB205" s="525"/>
      <c r="AC205" s="525"/>
      <c r="AD205" s="525"/>
      <c r="AE205" s="525"/>
      <c r="AF205" s="525"/>
    </row>
    <row r="206">
      <c r="A206" s="516">
        <v>202.0</v>
      </c>
      <c r="B206" s="517" t="s">
        <v>458</v>
      </c>
      <c r="C206" s="532" t="s">
        <v>459</v>
      </c>
      <c r="D206" s="27"/>
      <c r="E206" s="548" t="s">
        <v>901</v>
      </c>
      <c r="F206" s="544"/>
      <c r="G206" s="544"/>
      <c r="H206" s="525"/>
      <c r="I206" s="525"/>
      <c r="J206" s="525"/>
      <c r="K206" s="525"/>
      <c r="L206" s="525"/>
      <c r="M206" s="525"/>
      <c r="N206" s="525"/>
      <c r="O206" s="525"/>
      <c r="P206" s="525"/>
      <c r="Q206" s="525"/>
      <c r="R206" s="525"/>
      <c r="S206" s="525"/>
      <c r="T206" s="525"/>
      <c r="U206" s="525"/>
      <c r="V206" s="525"/>
      <c r="W206" s="525"/>
      <c r="X206" s="525"/>
      <c r="Y206" s="525"/>
      <c r="Z206" s="525"/>
      <c r="AA206" s="525"/>
      <c r="AB206" s="525"/>
      <c r="AC206" s="525"/>
      <c r="AD206" s="525"/>
      <c r="AE206" s="525"/>
      <c r="AF206" s="525"/>
    </row>
    <row r="207">
      <c r="A207" s="516">
        <v>203.0</v>
      </c>
      <c r="B207" s="517" t="s">
        <v>460</v>
      </c>
      <c r="C207" s="518" t="s">
        <v>461</v>
      </c>
      <c r="D207" s="27"/>
      <c r="E207" s="518" t="s">
        <v>902</v>
      </c>
      <c r="F207" s="523"/>
      <c r="G207" s="523"/>
      <c r="H207" s="525"/>
      <c r="I207" s="525"/>
      <c r="J207" s="525"/>
      <c r="K207" s="525"/>
      <c r="L207" s="525"/>
      <c r="M207" s="525"/>
      <c r="N207" s="525"/>
      <c r="O207" s="525"/>
      <c r="P207" s="525"/>
      <c r="Q207" s="525"/>
      <c r="R207" s="525"/>
      <c r="S207" s="525"/>
      <c r="T207" s="525"/>
      <c r="U207" s="525"/>
      <c r="V207" s="525"/>
      <c r="W207" s="525"/>
      <c r="X207" s="525"/>
      <c r="Y207" s="525"/>
      <c r="Z207" s="525"/>
      <c r="AA207" s="525"/>
      <c r="AB207" s="525"/>
      <c r="AC207" s="525"/>
      <c r="AD207" s="525"/>
      <c r="AE207" s="525"/>
      <c r="AF207" s="525"/>
    </row>
    <row r="208">
      <c r="A208" s="516">
        <v>204.0</v>
      </c>
      <c r="B208" s="523"/>
      <c r="C208" s="532" t="s">
        <v>464</v>
      </c>
      <c r="D208" s="27"/>
      <c r="E208" s="548" t="s">
        <v>903</v>
      </c>
      <c r="F208" s="544"/>
      <c r="G208" s="544"/>
      <c r="H208" s="525"/>
      <c r="I208" s="525"/>
      <c r="J208" s="525"/>
      <c r="K208" s="525"/>
      <c r="L208" s="525"/>
      <c r="M208" s="525"/>
      <c r="N208" s="525"/>
      <c r="O208" s="525"/>
      <c r="P208" s="525"/>
      <c r="Q208" s="525"/>
      <c r="R208" s="525"/>
      <c r="S208" s="525"/>
      <c r="T208" s="525"/>
      <c r="U208" s="525"/>
      <c r="V208" s="525"/>
      <c r="W208" s="525"/>
      <c r="X208" s="525"/>
      <c r="Y208" s="525"/>
      <c r="Z208" s="525"/>
      <c r="AA208" s="525"/>
      <c r="AB208" s="525"/>
      <c r="AC208" s="525"/>
      <c r="AD208" s="525"/>
      <c r="AE208" s="525"/>
      <c r="AF208" s="525"/>
    </row>
    <row r="209">
      <c r="A209" s="516">
        <v>205.0</v>
      </c>
      <c r="B209" s="517" t="s">
        <v>465</v>
      </c>
      <c r="C209" s="532" t="s">
        <v>466</v>
      </c>
      <c r="D209" s="40"/>
      <c r="E209" s="548" t="s">
        <v>904</v>
      </c>
      <c r="F209" s="544"/>
      <c r="G209" s="544"/>
      <c r="H209" s="525"/>
      <c r="I209" s="525"/>
      <c r="J209" s="525"/>
      <c r="K209" s="525"/>
      <c r="L209" s="525"/>
      <c r="M209" s="525"/>
      <c r="N209" s="525"/>
      <c r="O209" s="525"/>
      <c r="P209" s="525"/>
      <c r="Q209" s="525"/>
      <c r="R209" s="525"/>
      <c r="S209" s="525"/>
      <c r="T209" s="525"/>
      <c r="U209" s="525"/>
      <c r="V209" s="525"/>
      <c r="W209" s="525"/>
      <c r="X209" s="525"/>
      <c r="Y209" s="525"/>
      <c r="Z209" s="525"/>
      <c r="AA209" s="525"/>
      <c r="AB209" s="525"/>
      <c r="AC209" s="525"/>
      <c r="AD209" s="525"/>
      <c r="AE209" s="525"/>
      <c r="AF209" s="525"/>
    </row>
    <row r="210">
      <c r="A210" s="516">
        <v>206.0</v>
      </c>
      <c r="B210" s="523"/>
      <c r="C210" s="518" t="s">
        <v>467</v>
      </c>
      <c r="D210" s="519" t="s">
        <v>858</v>
      </c>
      <c r="E210" s="561" t="s">
        <v>859</v>
      </c>
      <c r="F210" s="562"/>
      <c r="G210" s="562"/>
      <c r="H210" s="522"/>
      <c r="I210" s="522"/>
      <c r="J210" s="522"/>
      <c r="K210" s="522"/>
      <c r="L210" s="522"/>
      <c r="M210" s="522"/>
      <c r="N210" s="522"/>
      <c r="O210" s="522"/>
      <c r="P210" s="522"/>
      <c r="Q210" s="522"/>
      <c r="R210" s="522"/>
      <c r="S210" s="522"/>
      <c r="T210" s="522"/>
      <c r="U210" s="522"/>
      <c r="V210" s="522"/>
      <c r="W210" s="522"/>
      <c r="X210" s="522"/>
      <c r="Y210" s="522"/>
      <c r="Z210" s="522"/>
      <c r="AA210" s="522"/>
      <c r="AB210" s="522"/>
      <c r="AC210" s="522"/>
      <c r="AD210" s="522"/>
      <c r="AE210" s="522"/>
      <c r="AF210" s="522"/>
    </row>
    <row r="211">
      <c r="A211" s="516">
        <v>207.0</v>
      </c>
      <c r="B211" s="523"/>
      <c r="C211" s="518" t="s">
        <v>468</v>
      </c>
      <c r="D211" s="27"/>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row>
    <row r="212">
      <c r="A212" s="516">
        <v>208.0</v>
      </c>
      <c r="B212" s="517" t="s">
        <v>469</v>
      </c>
      <c r="C212" s="532" t="s">
        <v>905</v>
      </c>
      <c r="D212" s="27"/>
      <c r="E212" s="563" t="s">
        <v>860</v>
      </c>
      <c r="F212" s="562"/>
      <c r="G212" s="562"/>
      <c r="H212" s="522"/>
      <c r="I212" s="522"/>
      <c r="J212" s="522"/>
      <c r="K212" s="522"/>
      <c r="L212" s="522"/>
      <c r="M212" s="522"/>
      <c r="N212" s="522"/>
      <c r="O212" s="522"/>
      <c r="P212" s="522"/>
      <c r="Q212" s="522"/>
      <c r="R212" s="522"/>
      <c r="S212" s="522"/>
      <c r="T212" s="522"/>
      <c r="U212" s="522"/>
      <c r="V212" s="522"/>
      <c r="W212" s="522"/>
      <c r="X212" s="522"/>
      <c r="Y212" s="522"/>
      <c r="Z212" s="522"/>
      <c r="AA212" s="522"/>
      <c r="AB212" s="522"/>
      <c r="AC212" s="522"/>
      <c r="AD212" s="522"/>
      <c r="AE212" s="522"/>
      <c r="AF212" s="522"/>
    </row>
    <row r="213">
      <c r="A213" s="516">
        <v>209.0</v>
      </c>
      <c r="B213" s="523"/>
      <c r="C213" s="532" t="s">
        <v>471</v>
      </c>
      <c r="D213" s="27"/>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row>
    <row r="214">
      <c r="A214" s="516">
        <v>210.0</v>
      </c>
      <c r="B214" s="523"/>
      <c r="C214" s="532" t="s">
        <v>473</v>
      </c>
      <c r="D214" s="27"/>
      <c r="E214" s="563" t="s">
        <v>864</v>
      </c>
      <c r="F214" s="562"/>
      <c r="G214" s="562"/>
      <c r="H214" s="522"/>
      <c r="I214" s="522"/>
      <c r="J214" s="522"/>
      <c r="K214" s="522"/>
      <c r="L214" s="522"/>
      <c r="M214" s="522"/>
      <c r="N214" s="522"/>
      <c r="O214" s="522"/>
      <c r="P214" s="522"/>
      <c r="Q214" s="522"/>
      <c r="R214" s="522"/>
      <c r="S214" s="522"/>
      <c r="T214" s="522"/>
      <c r="U214" s="522"/>
      <c r="V214" s="522"/>
      <c r="W214" s="522"/>
      <c r="X214" s="522"/>
      <c r="Y214" s="522"/>
      <c r="Z214" s="522"/>
      <c r="AA214" s="522"/>
      <c r="AB214" s="522"/>
      <c r="AC214" s="522"/>
      <c r="AD214" s="522"/>
      <c r="AE214" s="522"/>
      <c r="AF214" s="522"/>
    </row>
    <row r="215">
      <c r="A215" s="516">
        <v>211.0</v>
      </c>
      <c r="B215" s="523"/>
      <c r="C215" s="532" t="s">
        <v>474</v>
      </c>
      <c r="D215" s="27"/>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row>
    <row r="216">
      <c r="A216" s="516">
        <v>212.0</v>
      </c>
      <c r="B216" s="523"/>
      <c r="C216" s="532" t="s">
        <v>476</v>
      </c>
      <c r="D216" s="27"/>
      <c r="E216" s="563" t="s">
        <v>865</v>
      </c>
      <c r="F216" s="562"/>
      <c r="G216" s="562"/>
      <c r="H216" s="522"/>
      <c r="I216" s="522"/>
      <c r="J216" s="522"/>
      <c r="K216" s="522"/>
      <c r="L216" s="522"/>
      <c r="M216" s="522"/>
      <c r="N216" s="522"/>
      <c r="O216" s="522"/>
      <c r="P216" s="522"/>
      <c r="Q216" s="522"/>
      <c r="R216" s="522"/>
      <c r="S216" s="522"/>
      <c r="T216" s="522"/>
      <c r="U216" s="522"/>
      <c r="V216" s="522"/>
      <c r="W216" s="522"/>
      <c r="X216" s="522"/>
      <c r="Y216" s="522"/>
      <c r="Z216" s="522"/>
      <c r="AA216" s="522"/>
      <c r="AB216" s="522"/>
      <c r="AC216" s="522"/>
      <c r="AD216" s="522"/>
      <c r="AE216" s="522"/>
      <c r="AF216" s="522"/>
    </row>
    <row r="217">
      <c r="A217" s="516">
        <v>213.0</v>
      </c>
      <c r="B217" s="523"/>
      <c r="C217" s="518" t="s">
        <v>477</v>
      </c>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row>
    <row r="218">
      <c r="A218" s="516">
        <v>214.0</v>
      </c>
      <c r="B218" s="523"/>
      <c r="C218" s="532" t="s">
        <v>478</v>
      </c>
      <c r="D218" s="550" t="s">
        <v>866</v>
      </c>
      <c r="E218" s="565" t="s">
        <v>906</v>
      </c>
      <c r="F218" s="562"/>
      <c r="G218" s="562"/>
      <c r="H218" s="522"/>
      <c r="I218" s="522"/>
      <c r="J218" s="522"/>
      <c r="K218" s="522"/>
      <c r="L218" s="522"/>
      <c r="M218" s="522"/>
      <c r="N218" s="522"/>
      <c r="O218" s="522"/>
      <c r="P218" s="522"/>
      <c r="Q218" s="522"/>
      <c r="R218" s="522"/>
      <c r="S218" s="522"/>
      <c r="T218" s="522"/>
      <c r="U218" s="522"/>
      <c r="V218" s="522"/>
      <c r="W218" s="522"/>
      <c r="X218" s="522"/>
      <c r="Y218" s="522"/>
      <c r="Z218" s="522"/>
      <c r="AA218" s="522"/>
      <c r="AB218" s="522"/>
      <c r="AC218" s="522"/>
      <c r="AD218" s="522"/>
      <c r="AE218" s="522"/>
      <c r="AF218" s="522"/>
    </row>
    <row r="219">
      <c r="A219" s="516">
        <v>215.0</v>
      </c>
      <c r="B219" s="517" t="s">
        <v>480</v>
      </c>
      <c r="C219" s="532" t="s">
        <v>481</v>
      </c>
      <c r="D219" s="27"/>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row>
    <row r="220">
      <c r="A220" s="516">
        <v>216.0</v>
      </c>
      <c r="B220" s="523"/>
      <c r="C220" s="532" t="s">
        <v>482</v>
      </c>
      <c r="D220" s="27"/>
      <c r="E220" s="563" t="s">
        <v>868</v>
      </c>
      <c r="F220" s="562"/>
      <c r="G220" s="562"/>
      <c r="H220" s="522"/>
      <c r="I220" s="522"/>
      <c r="J220" s="522"/>
      <c r="K220" s="522"/>
      <c r="L220" s="522"/>
      <c r="M220" s="522"/>
      <c r="N220" s="522"/>
      <c r="O220" s="522"/>
      <c r="P220" s="522"/>
      <c r="Q220" s="522"/>
      <c r="R220" s="522"/>
      <c r="S220" s="522"/>
      <c r="T220" s="522"/>
      <c r="U220" s="522"/>
      <c r="V220" s="522"/>
      <c r="W220" s="522"/>
      <c r="X220" s="522"/>
      <c r="Y220" s="522"/>
      <c r="Z220" s="522"/>
      <c r="AA220" s="522"/>
      <c r="AB220" s="522"/>
      <c r="AC220" s="522"/>
      <c r="AD220" s="522"/>
      <c r="AE220" s="522"/>
      <c r="AF220" s="522"/>
    </row>
    <row r="221">
      <c r="A221" s="516">
        <v>217.0</v>
      </c>
      <c r="B221" s="523"/>
      <c r="C221" s="532" t="s">
        <v>483</v>
      </c>
      <c r="D221" s="27"/>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row>
    <row r="222">
      <c r="A222" s="516">
        <v>218.0</v>
      </c>
      <c r="B222" s="523"/>
      <c r="C222" s="532" t="s">
        <v>484</v>
      </c>
      <c r="D222" s="27"/>
      <c r="E222" s="563" t="s">
        <v>869</v>
      </c>
      <c r="F222" s="562"/>
      <c r="G222" s="562"/>
      <c r="H222" s="522"/>
      <c r="I222" s="522"/>
      <c r="J222" s="522"/>
      <c r="K222" s="522"/>
      <c r="L222" s="522"/>
      <c r="M222" s="522"/>
      <c r="N222" s="522"/>
      <c r="O222" s="522"/>
      <c r="P222" s="522"/>
      <c r="Q222" s="522"/>
      <c r="R222" s="522"/>
      <c r="S222" s="522"/>
      <c r="T222" s="522"/>
      <c r="U222" s="522"/>
      <c r="V222" s="522"/>
      <c r="W222" s="522"/>
      <c r="X222" s="522"/>
      <c r="Y222" s="522"/>
      <c r="Z222" s="522"/>
      <c r="AA222" s="522"/>
      <c r="AB222" s="522"/>
      <c r="AC222" s="522"/>
      <c r="AD222" s="522"/>
      <c r="AE222" s="522"/>
      <c r="AF222" s="522"/>
    </row>
    <row r="223">
      <c r="A223" s="516">
        <v>219.0</v>
      </c>
      <c r="B223" s="523"/>
      <c r="C223" s="532" t="s">
        <v>486</v>
      </c>
      <c r="D223" s="27"/>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row>
    <row r="224">
      <c r="A224" s="516">
        <v>220.0</v>
      </c>
      <c r="B224" s="523"/>
      <c r="C224" s="532" t="s">
        <v>488</v>
      </c>
      <c r="D224" s="27"/>
      <c r="E224" s="548" t="s">
        <v>870</v>
      </c>
      <c r="F224" s="544"/>
      <c r="G224" s="544"/>
      <c r="H224" s="525"/>
      <c r="I224" s="525"/>
      <c r="J224" s="525"/>
      <c r="K224" s="525"/>
      <c r="L224" s="525"/>
      <c r="M224" s="525"/>
      <c r="N224" s="525"/>
      <c r="O224" s="525"/>
      <c r="P224" s="525"/>
      <c r="Q224" s="525"/>
      <c r="R224" s="525"/>
      <c r="S224" s="525"/>
      <c r="T224" s="525"/>
      <c r="U224" s="525"/>
      <c r="V224" s="525"/>
      <c r="W224" s="525"/>
      <c r="X224" s="525"/>
      <c r="Y224" s="525"/>
      <c r="Z224" s="525"/>
      <c r="AA224" s="525"/>
      <c r="AB224" s="525"/>
      <c r="AC224" s="525"/>
      <c r="AD224" s="525"/>
      <c r="AE224" s="525"/>
      <c r="AF224" s="525"/>
    </row>
    <row r="225">
      <c r="A225" s="516">
        <v>221.0</v>
      </c>
      <c r="B225" s="523"/>
      <c r="C225" s="532" t="s">
        <v>489</v>
      </c>
      <c r="D225" s="40"/>
      <c r="E225" s="548" t="s">
        <v>871</v>
      </c>
      <c r="F225" s="544"/>
      <c r="G225" s="544"/>
      <c r="H225" s="525"/>
      <c r="I225" s="525"/>
      <c r="J225" s="525"/>
      <c r="K225" s="525"/>
      <c r="L225" s="525"/>
      <c r="M225" s="525"/>
      <c r="N225" s="525"/>
      <c r="O225" s="525"/>
      <c r="P225" s="525"/>
      <c r="Q225" s="525"/>
      <c r="R225" s="525"/>
      <c r="S225" s="525"/>
      <c r="T225" s="525"/>
      <c r="U225" s="525"/>
      <c r="V225" s="525"/>
      <c r="W225" s="525"/>
      <c r="X225" s="525"/>
      <c r="Y225" s="525"/>
      <c r="Z225" s="525"/>
      <c r="AA225" s="525"/>
      <c r="AB225" s="525"/>
      <c r="AC225" s="525"/>
      <c r="AD225" s="525"/>
      <c r="AE225" s="525"/>
      <c r="AF225" s="525"/>
    </row>
    <row r="226">
      <c r="C226" s="233"/>
      <c r="E226" s="233"/>
    </row>
    <row r="227">
      <c r="C227" s="233"/>
      <c r="E227" s="233"/>
    </row>
    <row r="228">
      <c r="C228" s="233"/>
      <c r="E228" s="233"/>
    </row>
    <row r="229">
      <c r="C229" s="233"/>
      <c r="E229" s="233"/>
    </row>
    <row r="230">
      <c r="C230" s="233"/>
      <c r="E230" s="233"/>
    </row>
    <row r="231">
      <c r="C231" s="233"/>
      <c r="E231" s="233"/>
    </row>
    <row r="232">
      <c r="C232" s="233"/>
      <c r="E232" s="233"/>
    </row>
    <row r="233">
      <c r="C233" s="233"/>
      <c r="E233" s="233"/>
    </row>
    <row r="234">
      <c r="C234" s="233"/>
      <c r="E234" s="233"/>
    </row>
    <row r="235">
      <c r="C235" s="233"/>
      <c r="E235" s="233"/>
    </row>
    <row r="236">
      <c r="C236" s="233"/>
      <c r="E236" s="233"/>
    </row>
    <row r="237">
      <c r="C237" s="233"/>
      <c r="E237" s="233"/>
    </row>
    <row r="238">
      <c r="C238" s="233"/>
      <c r="E238" s="233"/>
    </row>
    <row r="239">
      <c r="C239" s="233"/>
      <c r="E239" s="233"/>
    </row>
    <row r="240">
      <c r="C240" s="233"/>
      <c r="E240" s="233"/>
    </row>
    <row r="241">
      <c r="C241" s="233"/>
      <c r="E241" s="233"/>
    </row>
    <row r="242">
      <c r="C242" s="233"/>
      <c r="E242" s="233"/>
    </row>
    <row r="243">
      <c r="C243" s="233"/>
      <c r="E243" s="233"/>
    </row>
    <row r="244">
      <c r="C244" s="233"/>
      <c r="E244" s="233"/>
    </row>
    <row r="245">
      <c r="C245" s="233"/>
      <c r="E245" s="233"/>
    </row>
    <row r="246">
      <c r="C246" s="233"/>
      <c r="E246" s="233"/>
    </row>
    <row r="247">
      <c r="C247" s="233"/>
      <c r="E247" s="233"/>
    </row>
    <row r="248">
      <c r="C248" s="233"/>
      <c r="E248" s="233"/>
    </row>
    <row r="249">
      <c r="C249" s="233"/>
      <c r="E249" s="233"/>
    </row>
    <row r="250">
      <c r="C250" s="233"/>
      <c r="E250" s="233"/>
    </row>
    <row r="251">
      <c r="C251" s="233"/>
      <c r="E251" s="233"/>
    </row>
    <row r="252">
      <c r="C252" s="233"/>
      <c r="E252" s="233"/>
    </row>
    <row r="253">
      <c r="C253" s="233"/>
      <c r="E253" s="233"/>
    </row>
    <row r="254">
      <c r="C254" s="233"/>
      <c r="E254" s="233"/>
    </row>
    <row r="255">
      <c r="C255" s="233"/>
      <c r="E255" s="233"/>
    </row>
    <row r="256">
      <c r="C256" s="233"/>
      <c r="E256" s="233"/>
    </row>
    <row r="257">
      <c r="C257" s="233"/>
      <c r="E257" s="233"/>
    </row>
    <row r="258">
      <c r="C258" s="233"/>
      <c r="E258" s="233"/>
    </row>
    <row r="259">
      <c r="C259" s="233"/>
      <c r="E259" s="233"/>
    </row>
    <row r="260">
      <c r="C260" s="233"/>
      <c r="E260" s="233"/>
    </row>
    <row r="261">
      <c r="C261" s="233"/>
      <c r="E261" s="233"/>
    </row>
    <row r="262">
      <c r="C262" s="233"/>
      <c r="E262" s="233"/>
    </row>
    <row r="263">
      <c r="C263" s="233"/>
      <c r="E263" s="233"/>
    </row>
    <row r="264">
      <c r="C264" s="233"/>
      <c r="E264" s="233"/>
    </row>
    <row r="265">
      <c r="C265" s="233"/>
      <c r="E265" s="233"/>
    </row>
    <row r="266">
      <c r="C266" s="233"/>
      <c r="E266" s="233"/>
    </row>
    <row r="267">
      <c r="C267" s="233"/>
      <c r="E267" s="233"/>
    </row>
    <row r="268">
      <c r="C268" s="233"/>
      <c r="E268" s="233"/>
    </row>
    <row r="269">
      <c r="C269" s="233"/>
      <c r="E269" s="233"/>
    </row>
    <row r="270">
      <c r="C270" s="233"/>
      <c r="E270" s="233"/>
    </row>
    <row r="271">
      <c r="C271" s="233"/>
      <c r="E271" s="233"/>
    </row>
    <row r="272">
      <c r="C272" s="233"/>
      <c r="E272" s="233"/>
    </row>
    <row r="273">
      <c r="C273" s="233"/>
      <c r="E273" s="233"/>
    </row>
    <row r="274">
      <c r="C274" s="233"/>
      <c r="E274" s="233"/>
    </row>
    <row r="275">
      <c r="C275" s="233"/>
      <c r="E275" s="233"/>
    </row>
    <row r="276">
      <c r="C276" s="233"/>
      <c r="E276" s="233"/>
    </row>
    <row r="277">
      <c r="C277" s="233"/>
      <c r="E277" s="233"/>
    </row>
    <row r="278">
      <c r="C278" s="233"/>
      <c r="E278" s="233"/>
    </row>
    <row r="279">
      <c r="C279" s="233"/>
      <c r="E279" s="233"/>
    </row>
    <row r="280">
      <c r="C280" s="233"/>
      <c r="E280" s="233"/>
    </row>
    <row r="281">
      <c r="C281" s="233"/>
      <c r="E281" s="233"/>
    </row>
    <row r="282">
      <c r="C282" s="233"/>
      <c r="E282" s="233"/>
    </row>
    <row r="283">
      <c r="C283" s="233"/>
      <c r="E283" s="233"/>
    </row>
    <row r="284">
      <c r="C284" s="233"/>
      <c r="E284" s="233"/>
    </row>
    <row r="285">
      <c r="C285" s="233"/>
      <c r="E285" s="233"/>
    </row>
    <row r="286">
      <c r="C286" s="233"/>
      <c r="E286" s="233"/>
    </row>
    <row r="287">
      <c r="C287" s="233"/>
      <c r="E287" s="233"/>
    </row>
    <row r="288">
      <c r="C288" s="233"/>
      <c r="E288" s="233"/>
    </row>
    <row r="289">
      <c r="C289" s="233"/>
      <c r="E289" s="233"/>
    </row>
    <row r="290">
      <c r="C290" s="233"/>
      <c r="E290" s="233"/>
    </row>
    <row r="291">
      <c r="C291" s="233"/>
      <c r="E291" s="233"/>
    </row>
    <row r="292">
      <c r="C292" s="233"/>
      <c r="E292" s="233"/>
    </row>
    <row r="293">
      <c r="C293" s="233"/>
      <c r="E293" s="233"/>
    </row>
    <row r="294">
      <c r="C294" s="233"/>
      <c r="E294" s="233"/>
    </row>
    <row r="295">
      <c r="C295" s="233"/>
      <c r="E295" s="233"/>
    </row>
    <row r="296">
      <c r="C296" s="233"/>
      <c r="E296" s="233"/>
    </row>
    <row r="297">
      <c r="C297" s="233"/>
      <c r="E297" s="233"/>
    </row>
    <row r="298">
      <c r="C298" s="233"/>
      <c r="E298" s="233"/>
    </row>
    <row r="299">
      <c r="C299" s="233"/>
      <c r="E299" s="233"/>
    </row>
    <row r="300">
      <c r="C300" s="233"/>
      <c r="E300" s="233"/>
    </row>
    <row r="301">
      <c r="C301" s="233"/>
      <c r="E301" s="233"/>
    </row>
    <row r="302">
      <c r="C302" s="233"/>
      <c r="E302" s="233"/>
    </row>
    <row r="303">
      <c r="C303" s="233"/>
      <c r="E303" s="233"/>
    </row>
    <row r="304">
      <c r="C304" s="233"/>
      <c r="E304" s="233"/>
    </row>
    <row r="305">
      <c r="C305" s="233"/>
      <c r="E305" s="233"/>
    </row>
    <row r="306">
      <c r="C306" s="233"/>
      <c r="E306" s="233"/>
    </row>
    <row r="307">
      <c r="C307" s="233"/>
      <c r="E307" s="233"/>
    </row>
    <row r="308">
      <c r="C308" s="233"/>
      <c r="E308" s="233"/>
    </row>
    <row r="309">
      <c r="C309" s="233"/>
      <c r="E309" s="233"/>
    </row>
    <row r="310">
      <c r="C310" s="233"/>
      <c r="E310" s="233"/>
    </row>
    <row r="311">
      <c r="C311" s="233"/>
      <c r="E311" s="233"/>
    </row>
    <row r="312">
      <c r="C312" s="233"/>
      <c r="E312" s="233"/>
    </row>
    <row r="313">
      <c r="C313" s="233"/>
      <c r="E313" s="233"/>
    </row>
    <row r="314">
      <c r="C314" s="233"/>
      <c r="E314" s="233"/>
    </row>
    <row r="315">
      <c r="C315" s="233"/>
      <c r="E315" s="233"/>
    </row>
    <row r="316">
      <c r="C316" s="233"/>
      <c r="E316" s="233"/>
    </row>
    <row r="317">
      <c r="C317" s="233"/>
      <c r="E317" s="233"/>
    </row>
    <row r="318">
      <c r="C318" s="233"/>
      <c r="E318" s="233"/>
    </row>
    <row r="319">
      <c r="C319" s="233"/>
      <c r="E319" s="233"/>
    </row>
    <row r="320">
      <c r="C320" s="233"/>
      <c r="E320" s="233"/>
    </row>
    <row r="321">
      <c r="C321" s="233"/>
      <c r="E321" s="233"/>
    </row>
    <row r="322">
      <c r="C322" s="233"/>
      <c r="E322" s="233"/>
    </row>
    <row r="323">
      <c r="C323" s="233"/>
      <c r="E323" s="233"/>
    </row>
    <row r="324">
      <c r="C324" s="233"/>
      <c r="E324" s="233"/>
    </row>
    <row r="325">
      <c r="C325" s="233"/>
      <c r="E325" s="233"/>
    </row>
    <row r="326">
      <c r="C326" s="233"/>
      <c r="E326" s="233"/>
    </row>
    <row r="327">
      <c r="C327" s="233"/>
      <c r="E327" s="233"/>
    </row>
    <row r="328">
      <c r="C328" s="233"/>
      <c r="E328" s="233"/>
    </row>
    <row r="329">
      <c r="C329" s="233"/>
      <c r="E329" s="233"/>
    </row>
    <row r="330">
      <c r="C330" s="233"/>
      <c r="E330" s="233"/>
    </row>
    <row r="331">
      <c r="C331" s="233"/>
      <c r="E331" s="233"/>
    </row>
    <row r="332">
      <c r="C332" s="233"/>
      <c r="E332" s="233"/>
    </row>
    <row r="333">
      <c r="C333" s="233"/>
      <c r="E333" s="233"/>
    </row>
    <row r="334">
      <c r="C334" s="233"/>
      <c r="E334" s="233"/>
    </row>
    <row r="335">
      <c r="C335" s="233"/>
      <c r="E335" s="233"/>
    </row>
    <row r="336">
      <c r="C336" s="233"/>
      <c r="E336" s="233"/>
    </row>
    <row r="337">
      <c r="C337" s="233"/>
      <c r="E337" s="233"/>
    </row>
    <row r="338">
      <c r="C338" s="233"/>
      <c r="E338" s="233"/>
    </row>
    <row r="339">
      <c r="C339" s="233"/>
      <c r="E339" s="233"/>
    </row>
    <row r="340">
      <c r="C340" s="233"/>
      <c r="E340" s="233"/>
    </row>
    <row r="341">
      <c r="C341" s="233"/>
      <c r="E341" s="233"/>
    </row>
    <row r="342">
      <c r="C342" s="233"/>
      <c r="E342" s="233"/>
    </row>
    <row r="343">
      <c r="C343" s="233"/>
      <c r="E343" s="233"/>
    </row>
    <row r="344">
      <c r="C344" s="233"/>
      <c r="E344" s="233"/>
    </row>
    <row r="345">
      <c r="C345" s="233"/>
      <c r="E345" s="233"/>
    </row>
    <row r="346">
      <c r="C346" s="233"/>
      <c r="E346" s="233"/>
    </row>
    <row r="347">
      <c r="C347" s="233"/>
      <c r="E347" s="233"/>
    </row>
    <row r="348">
      <c r="C348" s="233"/>
      <c r="E348" s="233"/>
    </row>
    <row r="349">
      <c r="C349" s="233"/>
      <c r="E349" s="233"/>
    </row>
    <row r="350">
      <c r="C350" s="233"/>
      <c r="E350" s="233"/>
    </row>
    <row r="351">
      <c r="C351" s="233"/>
      <c r="E351" s="233"/>
    </row>
    <row r="352">
      <c r="C352" s="233"/>
      <c r="E352" s="233"/>
    </row>
    <row r="353">
      <c r="C353" s="233"/>
      <c r="E353" s="233"/>
    </row>
    <row r="354">
      <c r="C354" s="233"/>
      <c r="E354" s="233"/>
    </row>
    <row r="355">
      <c r="C355" s="233"/>
      <c r="E355" s="233"/>
    </row>
    <row r="356">
      <c r="C356" s="233"/>
      <c r="E356" s="233"/>
    </row>
    <row r="357">
      <c r="C357" s="233"/>
      <c r="E357" s="233"/>
    </row>
    <row r="358">
      <c r="C358" s="233"/>
      <c r="E358" s="233"/>
    </row>
    <row r="359">
      <c r="C359" s="233"/>
      <c r="E359" s="233"/>
    </row>
    <row r="360">
      <c r="C360" s="233"/>
      <c r="E360" s="233"/>
    </row>
    <row r="361">
      <c r="C361" s="233"/>
      <c r="E361" s="233"/>
    </row>
    <row r="362">
      <c r="C362" s="233"/>
      <c r="E362" s="233"/>
    </row>
    <row r="363">
      <c r="C363" s="233"/>
      <c r="E363" s="233"/>
    </row>
    <row r="364">
      <c r="C364" s="233"/>
      <c r="E364" s="233"/>
    </row>
    <row r="365">
      <c r="C365" s="233"/>
      <c r="E365" s="233"/>
    </row>
    <row r="366">
      <c r="C366" s="233"/>
      <c r="E366" s="233"/>
    </row>
    <row r="367">
      <c r="C367" s="233"/>
      <c r="E367" s="233"/>
    </row>
    <row r="368">
      <c r="C368" s="233"/>
      <c r="E368" s="233"/>
    </row>
    <row r="369">
      <c r="C369" s="233"/>
      <c r="E369" s="233"/>
    </row>
    <row r="370">
      <c r="C370" s="233"/>
      <c r="E370" s="233"/>
    </row>
    <row r="371">
      <c r="C371" s="233"/>
      <c r="E371" s="233"/>
    </row>
    <row r="372">
      <c r="C372" s="233"/>
      <c r="E372" s="233"/>
    </row>
    <row r="373">
      <c r="C373" s="233"/>
      <c r="E373" s="233"/>
    </row>
    <row r="374">
      <c r="C374" s="233"/>
      <c r="E374" s="233"/>
    </row>
    <row r="375">
      <c r="C375" s="233"/>
      <c r="E375" s="233"/>
    </row>
    <row r="376">
      <c r="C376" s="233"/>
      <c r="E376" s="233"/>
    </row>
    <row r="377">
      <c r="C377" s="233"/>
      <c r="E377" s="233"/>
    </row>
    <row r="378">
      <c r="C378" s="233"/>
      <c r="E378" s="233"/>
    </row>
    <row r="379">
      <c r="C379" s="233"/>
      <c r="E379" s="233"/>
    </row>
    <row r="380">
      <c r="C380" s="233"/>
      <c r="E380" s="233"/>
    </row>
    <row r="381">
      <c r="C381" s="233"/>
      <c r="E381" s="233"/>
    </row>
    <row r="382">
      <c r="C382" s="233"/>
      <c r="E382" s="233"/>
    </row>
    <row r="383">
      <c r="C383" s="233"/>
      <c r="E383" s="233"/>
    </row>
    <row r="384">
      <c r="C384" s="233"/>
      <c r="E384" s="233"/>
    </row>
    <row r="385">
      <c r="C385" s="233"/>
      <c r="E385" s="233"/>
    </row>
    <row r="386">
      <c r="C386" s="233"/>
      <c r="E386" s="233"/>
    </row>
    <row r="387">
      <c r="C387" s="233"/>
      <c r="E387" s="233"/>
    </row>
    <row r="388">
      <c r="C388" s="233"/>
      <c r="E388" s="233"/>
    </row>
    <row r="389">
      <c r="C389" s="233"/>
      <c r="E389" s="233"/>
    </row>
    <row r="390">
      <c r="C390" s="233"/>
      <c r="E390" s="233"/>
    </row>
    <row r="391">
      <c r="C391" s="233"/>
      <c r="E391" s="233"/>
    </row>
    <row r="392">
      <c r="C392" s="233"/>
      <c r="E392" s="233"/>
    </row>
    <row r="393">
      <c r="C393" s="233"/>
      <c r="E393" s="233"/>
    </row>
    <row r="394">
      <c r="C394" s="233"/>
      <c r="E394" s="233"/>
    </row>
    <row r="395">
      <c r="C395" s="233"/>
      <c r="E395" s="233"/>
    </row>
    <row r="396">
      <c r="C396" s="233"/>
      <c r="E396" s="233"/>
    </row>
    <row r="397">
      <c r="C397" s="233"/>
      <c r="E397" s="233"/>
    </row>
    <row r="398">
      <c r="C398" s="233"/>
      <c r="E398" s="233"/>
    </row>
    <row r="399">
      <c r="C399" s="233"/>
      <c r="E399" s="233"/>
    </row>
    <row r="400">
      <c r="C400" s="233"/>
      <c r="E400" s="233"/>
    </row>
    <row r="401">
      <c r="C401" s="233"/>
      <c r="E401" s="233"/>
    </row>
    <row r="402">
      <c r="C402" s="233"/>
      <c r="E402" s="233"/>
    </row>
    <row r="403">
      <c r="C403" s="233"/>
      <c r="E403" s="233"/>
    </row>
    <row r="404">
      <c r="C404" s="233"/>
      <c r="E404" s="233"/>
    </row>
    <row r="405">
      <c r="C405" s="233"/>
      <c r="E405" s="233"/>
    </row>
    <row r="406">
      <c r="C406" s="233"/>
      <c r="E406" s="233"/>
    </row>
    <row r="407">
      <c r="C407" s="233"/>
      <c r="E407" s="233"/>
    </row>
    <row r="408">
      <c r="C408" s="233"/>
      <c r="E408" s="233"/>
    </row>
    <row r="409">
      <c r="C409" s="233"/>
      <c r="E409" s="233"/>
    </row>
    <row r="410">
      <c r="C410" s="233"/>
      <c r="E410" s="233"/>
    </row>
    <row r="411">
      <c r="C411" s="233"/>
      <c r="E411" s="233"/>
    </row>
    <row r="412">
      <c r="C412" s="233"/>
      <c r="E412" s="233"/>
    </row>
    <row r="413">
      <c r="C413" s="233"/>
      <c r="E413" s="233"/>
    </row>
    <row r="414">
      <c r="C414" s="233"/>
      <c r="E414" s="233"/>
    </row>
    <row r="415">
      <c r="C415" s="233"/>
      <c r="E415" s="233"/>
    </row>
    <row r="416">
      <c r="C416" s="233"/>
      <c r="E416" s="233"/>
    </row>
    <row r="417">
      <c r="C417" s="233"/>
      <c r="E417" s="233"/>
    </row>
    <row r="418">
      <c r="C418" s="233"/>
      <c r="E418" s="233"/>
    </row>
    <row r="419">
      <c r="C419" s="233"/>
      <c r="E419" s="233"/>
    </row>
    <row r="420">
      <c r="C420" s="233"/>
      <c r="E420" s="233"/>
    </row>
    <row r="421">
      <c r="C421" s="233"/>
      <c r="E421" s="233"/>
    </row>
    <row r="422">
      <c r="C422" s="233"/>
      <c r="E422" s="233"/>
    </row>
    <row r="423">
      <c r="C423" s="233"/>
      <c r="E423" s="233"/>
    </row>
    <row r="424">
      <c r="C424" s="233"/>
      <c r="E424" s="233"/>
    </row>
    <row r="425">
      <c r="C425" s="233"/>
      <c r="E425" s="233"/>
    </row>
    <row r="426">
      <c r="C426" s="233"/>
      <c r="E426" s="233"/>
    </row>
    <row r="427">
      <c r="C427" s="233"/>
      <c r="E427" s="233"/>
    </row>
    <row r="428">
      <c r="C428" s="233"/>
      <c r="E428" s="233"/>
    </row>
    <row r="429">
      <c r="C429" s="233"/>
      <c r="E429" s="233"/>
    </row>
    <row r="430">
      <c r="C430" s="233"/>
      <c r="E430" s="233"/>
    </row>
    <row r="431">
      <c r="C431" s="233"/>
      <c r="E431" s="233"/>
    </row>
    <row r="432">
      <c r="C432" s="233"/>
      <c r="E432" s="233"/>
    </row>
    <row r="433">
      <c r="C433" s="233"/>
      <c r="E433" s="233"/>
    </row>
    <row r="434">
      <c r="C434" s="233"/>
      <c r="E434" s="233"/>
    </row>
    <row r="435">
      <c r="C435" s="233"/>
      <c r="E435" s="233"/>
    </row>
    <row r="436">
      <c r="C436" s="233"/>
      <c r="E436" s="233"/>
    </row>
    <row r="437">
      <c r="C437" s="233"/>
      <c r="E437" s="233"/>
    </row>
    <row r="438">
      <c r="C438" s="233"/>
      <c r="E438" s="233"/>
    </row>
    <row r="439">
      <c r="C439" s="233"/>
      <c r="E439" s="233"/>
    </row>
    <row r="440">
      <c r="C440" s="233"/>
      <c r="E440" s="233"/>
    </row>
    <row r="441">
      <c r="C441" s="233"/>
      <c r="E441" s="233"/>
    </row>
    <row r="442">
      <c r="C442" s="233"/>
      <c r="E442" s="233"/>
    </row>
    <row r="443">
      <c r="C443" s="233"/>
      <c r="E443" s="233"/>
    </row>
    <row r="444">
      <c r="C444" s="233"/>
      <c r="E444" s="233"/>
    </row>
    <row r="445">
      <c r="C445" s="233"/>
      <c r="E445" s="233"/>
    </row>
    <row r="446">
      <c r="C446" s="233"/>
      <c r="E446" s="233"/>
    </row>
    <row r="447">
      <c r="C447" s="233"/>
      <c r="E447" s="233"/>
    </row>
    <row r="448">
      <c r="C448" s="233"/>
      <c r="E448" s="233"/>
    </row>
    <row r="449">
      <c r="C449" s="233"/>
      <c r="E449" s="233"/>
    </row>
    <row r="450">
      <c r="C450" s="233"/>
      <c r="E450" s="233"/>
    </row>
    <row r="451">
      <c r="C451" s="233"/>
      <c r="E451" s="233"/>
    </row>
    <row r="452">
      <c r="C452" s="233"/>
      <c r="E452" s="233"/>
    </row>
    <row r="453">
      <c r="C453" s="233"/>
      <c r="E453" s="233"/>
    </row>
    <row r="454">
      <c r="C454" s="233"/>
      <c r="E454" s="233"/>
    </row>
    <row r="455">
      <c r="C455" s="233"/>
      <c r="E455" s="233"/>
    </row>
    <row r="456">
      <c r="C456" s="233"/>
      <c r="E456" s="233"/>
    </row>
    <row r="457">
      <c r="C457" s="233"/>
      <c r="E457" s="233"/>
    </row>
    <row r="458">
      <c r="C458" s="233"/>
      <c r="E458" s="233"/>
    </row>
    <row r="459">
      <c r="C459" s="233"/>
      <c r="E459" s="233"/>
    </row>
    <row r="460">
      <c r="C460" s="233"/>
      <c r="E460" s="233"/>
    </row>
    <row r="461">
      <c r="C461" s="233"/>
      <c r="E461" s="233"/>
    </row>
    <row r="462">
      <c r="C462" s="233"/>
      <c r="E462" s="233"/>
    </row>
    <row r="463">
      <c r="C463" s="233"/>
      <c r="E463" s="233"/>
    </row>
    <row r="464">
      <c r="C464" s="233"/>
      <c r="E464" s="233"/>
    </row>
    <row r="465">
      <c r="C465" s="233"/>
      <c r="E465" s="233"/>
    </row>
    <row r="466">
      <c r="C466" s="233"/>
      <c r="E466" s="233"/>
    </row>
    <row r="467">
      <c r="C467" s="233"/>
      <c r="E467" s="233"/>
    </row>
    <row r="468">
      <c r="C468" s="233"/>
      <c r="E468" s="233"/>
    </row>
    <row r="469">
      <c r="C469" s="233"/>
      <c r="E469" s="233"/>
    </row>
    <row r="470">
      <c r="C470" s="233"/>
      <c r="E470" s="233"/>
    </row>
    <row r="471">
      <c r="C471" s="233"/>
      <c r="E471" s="233"/>
    </row>
    <row r="472">
      <c r="C472" s="233"/>
      <c r="E472" s="233"/>
    </row>
    <row r="473">
      <c r="C473" s="233"/>
      <c r="E473" s="233"/>
    </row>
    <row r="474">
      <c r="C474" s="233"/>
      <c r="E474" s="233"/>
    </row>
    <row r="475">
      <c r="C475" s="233"/>
      <c r="E475" s="233"/>
    </row>
    <row r="476">
      <c r="C476" s="233"/>
      <c r="E476" s="233"/>
    </row>
    <row r="477">
      <c r="C477" s="233"/>
      <c r="E477" s="233"/>
    </row>
    <row r="478">
      <c r="C478" s="233"/>
      <c r="E478" s="233"/>
    </row>
    <row r="479">
      <c r="C479" s="233"/>
      <c r="E479" s="233"/>
    </row>
    <row r="480">
      <c r="C480" s="233"/>
      <c r="E480" s="233"/>
    </row>
    <row r="481">
      <c r="C481" s="233"/>
      <c r="E481" s="233"/>
    </row>
    <row r="482">
      <c r="C482" s="233"/>
      <c r="E482" s="233"/>
    </row>
    <row r="483">
      <c r="C483" s="233"/>
      <c r="E483" s="233"/>
    </row>
    <row r="484">
      <c r="C484" s="233"/>
      <c r="E484" s="233"/>
    </row>
    <row r="485">
      <c r="C485" s="233"/>
      <c r="E485" s="233"/>
    </row>
    <row r="486">
      <c r="C486" s="233"/>
      <c r="E486" s="233"/>
    </row>
    <row r="487">
      <c r="C487" s="233"/>
      <c r="E487" s="233"/>
    </row>
    <row r="488">
      <c r="C488" s="233"/>
      <c r="E488" s="233"/>
    </row>
    <row r="489">
      <c r="C489" s="233"/>
      <c r="E489" s="233"/>
    </row>
    <row r="490">
      <c r="C490" s="233"/>
      <c r="E490" s="233"/>
    </row>
    <row r="491">
      <c r="C491" s="233"/>
      <c r="E491" s="233"/>
    </row>
    <row r="492">
      <c r="C492" s="233"/>
      <c r="E492" s="233"/>
    </row>
    <row r="493">
      <c r="C493" s="233"/>
      <c r="E493" s="233"/>
    </row>
    <row r="494">
      <c r="C494" s="233"/>
      <c r="E494" s="233"/>
    </row>
    <row r="495">
      <c r="C495" s="233"/>
      <c r="E495" s="233"/>
    </row>
    <row r="496">
      <c r="C496" s="233"/>
      <c r="E496" s="233"/>
    </row>
    <row r="497">
      <c r="C497" s="233"/>
      <c r="E497" s="233"/>
    </row>
    <row r="498">
      <c r="C498" s="233"/>
      <c r="E498" s="233"/>
    </row>
    <row r="499">
      <c r="C499" s="233"/>
      <c r="E499" s="233"/>
    </row>
    <row r="500">
      <c r="C500" s="233"/>
      <c r="E500" s="233"/>
    </row>
    <row r="501">
      <c r="C501" s="233"/>
      <c r="E501" s="233"/>
    </row>
    <row r="502">
      <c r="C502" s="233"/>
      <c r="E502" s="233"/>
    </row>
    <row r="503">
      <c r="C503" s="233"/>
      <c r="E503" s="233"/>
    </row>
    <row r="504">
      <c r="C504" s="233"/>
      <c r="E504" s="233"/>
    </row>
    <row r="505">
      <c r="C505" s="233"/>
      <c r="E505" s="233"/>
    </row>
    <row r="506">
      <c r="C506" s="233"/>
      <c r="E506" s="233"/>
    </row>
    <row r="507">
      <c r="C507" s="233"/>
      <c r="E507" s="233"/>
    </row>
    <row r="508">
      <c r="C508" s="233"/>
      <c r="E508" s="233"/>
    </row>
    <row r="509">
      <c r="C509" s="233"/>
      <c r="E509" s="233"/>
    </row>
    <row r="510">
      <c r="C510" s="233"/>
      <c r="E510" s="233"/>
    </row>
    <row r="511">
      <c r="C511" s="233"/>
      <c r="E511" s="233"/>
    </row>
    <row r="512">
      <c r="C512" s="233"/>
      <c r="E512" s="233"/>
    </row>
    <row r="513">
      <c r="C513" s="233"/>
      <c r="E513" s="233"/>
    </row>
    <row r="514">
      <c r="C514" s="233"/>
      <c r="E514" s="233"/>
    </row>
    <row r="515">
      <c r="C515" s="233"/>
      <c r="E515" s="233"/>
    </row>
    <row r="516">
      <c r="C516" s="233"/>
      <c r="E516" s="233"/>
    </row>
    <row r="517">
      <c r="C517" s="233"/>
      <c r="E517" s="233"/>
    </row>
    <row r="518">
      <c r="C518" s="233"/>
      <c r="E518" s="233"/>
    </row>
    <row r="519">
      <c r="C519" s="233"/>
      <c r="E519" s="233"/>
    </row>
    <row r="520">
      <c r="C520" s="233"/>
      <c r="E520" s="233"/>
    </row>
    <row r="521">
      <c r="C521" s="233"/>
      <c r="E521" s="233"/>
    </row>
    <row r="522">
      <c r="C522" s="233"/>
      <c r="E522" s="233"/>
    </row>
    <row r="523">
      <c r="C523" s="233"/>
      <c r="E523" s="233"/>
    </row>
    <row r="524">
      <c r="C524" s="233"/>
      <c r="E524" s="233"/>
    </row>
    <row r="525">
      <c r="C525" s="233"/>
      <c r="E525" s="233"/>
    </row>
    <row r="526">
      <c r="C526" s="233"/>
      <c r="E526" s="233"/>
    </row>
    <row r="527">
      <c r="C527" s="233"/>
      <c r="E527" s="233"/>
    </row>
    <row r="528">
      <c r="C528" s="233"/>
      <c r="E528" s="233"/>
    </row>
    <row r="529">
      <c r="C529" s="233"/>
      <c r="E529" s="233"/>
    </row>
    <row r="530">
      <c r="C530" s="233"/>
      <c r="E530" s="233"/>
    </row>
    <row r="531">
      <c r="C531" s="233"/>
      <c r="E531" s="233"/>
    </row>
    <row r="532">
      <c r="C532" s="233"/>
      <c r="E532" s="233"/>
    </row>
    <row r="533">
      <c r="C533" s="233"/>
      <c r="E533" s="233"/>
    </row>
    <row r="534">
      <c r="C534" s="233"/>
      <c r="E534" s="233"/>
    </row>
    <row r="535">
      <c r="C535" s="233"/>
      <c r="E535" s="233"/>
    </row>
    <row r="536">
      <c r="C536" s="233"/>
      <c r="E536" s="233"/>
    </row>
    <row r="537">
      <c r="C537" s="233"/>
      <c r="E537" s="233"/>
    </row>
    <row r="538">
      <c r="C538" s="233"/>
      <c r="E538" s="233"/>
    </row>
    <row r="539">
      <c r="C539" s="233"/>
      <c r="E539" s="233"/>
    </row>
    <row r="540">
      <c r="C540" s="233"/>
      <c r="E540" s="233"/>
    </row>
    <row r="541">
      <c r="C541" s="233"/>
      <c r="E541" s="233"/>
    </row>
    <row r="542">
      <c r="C542" s="233"/>
      <c r="E542" s="233"/>
    </row>
    <row r="543">
      <c r="C543" s="233"/>
      <c r="E543" s="233"/>
    </row>
    <row r="544">
      <c r="C544" s="233"/>
      <c r="E544" s="233"/>
    </row>
    <row r="545">
      <c r="C545" s="233"/>
      <c r="E545" s="233"/>
    </row>
    <row r="546">
      <c r="C546" s="233"/>
      <c r="E546" s="233"/>
    </row>
    <row r="547">
      <c r="C547" s="233"/>
      <c r="E547" s="233"/>
    </row>
    <row r="548">
      <c r="C548" s="233"/>
      <c r="E548" s="233"/>
    </row>
    <row r="549">
      <c r="C549" s="233"/>
      <c r="E549" s="233"/>
    </row>
    <row r="550">
      <c r="C550" s="233"/>
      <c r="E550" s="233"/>
    </row>
    <row r="551">
      <c r="C551" s="233"/>
      <c r="E551" s="233"/>
    </row>
    <row r="552">
      <c r="C552" s="233"/>
      <c r="E552" s="233"/>
    </row>
    <row r="553">
      <c r="C553" s="233"/>
      <c r="E553" s="233"/>
    </row>
    <row r="554">
      <c r="C554" s="233"/>
      <c r="E554" s="233"/>
    </row>
    <row r="555">
      <c r="C555" s="233"/>
      <c r="E555" s="233"/>
    </row>
    <row r="556">
      <c r="C556" s="233"/>
      <c r="E556" s="233"/>
    </row>
    <row r="557">
      <c r="C557" s="233"/>
      <c r="E557" s="233"/>
    </row>
    <row r="558">
      <c r="C558" s="233"/>
      <c r="E558" s="233"/>
    </row>
    <row r="559">
      <c r="C559" s="233"/>
      <c r="E559" s="233"/>
    </row>
    <row r="560">
      <c r="C560" s="233"/>
      <c r="E560" s="233"/>
    </row>
    <row r="561">
      <c r="C561" s="233"/>
      <c r="E561" s="233"/>
    </row>
    <row r="562">
      <c r="C562" s="233"/>
      <c r="E562" s="233"/>
    </row>
    <row r="563">
      <c r="C563" s="233"/>
      <c r="E563" s="233"/>
    </row>
    <row r="564">
      <c r="C564" s="233"/>
      <c r="E564" s="233"/>
    </row>
    <row r="565">
      <c r="C565" s="233"/>
      <c r="E565" s="233"/>
    </row>
    <row r="566">
      <c r="C566" s="233"/>
      <c r="E566" s="233"/>
    </row>
    <row r="567">
      <c r="C567" s="233"/>
      <c r="E567" s="233"/>
    </row>
    <row r="568">
      <c r="C568" s="233"/>
      <c r="E568" s="233"/>
    </row>
    <row r="569">
      <c r="C569" s="233"/>
      <c r="E569" s="233"/>
    </row>
    <row r="570">
      <c r="C570" s="233"/>
      <c r="E570" s="233"/>
    </row>
    <row r="571">
      <c r="C571" s="233"/>
      <c r="E571" s="233"/>
    </row>
    <row r="572">
      <c r="C572" s="233"/>
      <c r="E572" s="233"/>
    </row>
    <row r="573">
      <c r="C573" s="233"/>
      <c r="E573" s="233"/>
    </row>
    <row r="574">
      <c r="C574" s="233"/>
      <c r="E574" s="233"/>
    </row>
    <row r="575">
      <c r="C575" s="233"/>
      <c r="E575" s="233"/>
    </row>
    <row r="576">
      <c r="C576" s="233"/>
      <c r="E576" s="233"/>
    </row>
    <row r="577">
      <c r="C577" s="233"/>
      <c r="E577" s="233"/>
    </row>
    <row r="578">
      <c r="C578" s="233"/>
      <c r="E578" s="233"/>
    </row>
    <row r="579">
      <c r="C579" s="233"/>
      <c r="E579" s="233"/>
    </row>
    <row r="580">
      <c r="C580" s="233"/>
      <c r="E580" s="233"/>
    </row>
    <row r="581">
      <c r="C581" s="233"/>
      <c r="E581" s="233"/>
    </row>
    <row r="582">
      <c r="C582" s="233"/>
      <c r="E582" s="233"/>
    </row>
    <row r="583">
      <c r="C583" s="233"/>
      <c r="E583" s="233"/>
    </row>
    <row r="584">
      <c r="C584" s="233"/>
      <c r="E584" s="233"/>
    </row>
    <row r="585">
      <c r="C585" s="233"/>
      <c r="E585" s="233"/>
    </row>
    <row r="586">
      <c r="C586" s="233"/>
      <c r="E586" s="233"/>
    </row>
    <row r="587">
      <c r="C587" s="233"/>
      <c r="E587" s="233"/>
    </row>
    <row r="588">
      <c r="C588" s="233"/>
      <c r="E588" s="233"/>
    </row>
    <row r="589">
      <c r="C589" s="233"/>
      <c r="E589" s="233"/>
    </row>
    <row r="590">
      <c r="C590" s="233"/>
      <c r="E590" s="233"/>
    </row>
    <row r="591">
      <c r="C591" s="233"/>
      <c r="E591" s="233"/>
    </row>
    <row r="592">
      <c r="C592" s="233"/>
      <c r="E592" s="233"/>
    </row>
    <row r="593">
      <c r="C593" s="233"/>
      <c r="E593" s="233"/>
    </row>
    <row r="594">
      <c r="C594" s="233"/>
      <c r="E594" s="233"/>
    </row>
    <row r="595">
      <c r="C595" s="233"/>
      <c r="E595" s="233"/>
    </row>
    <row r="596">
      <c r="C596" s="233"/>
      <c r="E596" s="233"/>
    </row>
    <row r="597">
      <c r="C597" s="233"/>
      <c r="E597" s="233"/>
    </row>
    <row r="598">
      <c r="C598" s="233"/>
      <c r="E598" s="233"/>
    </row>
    <row r="599">
      <c r="C599" s="233"/>
      <c r="E599" s="233"/>
    </row>
    <row r="600">
      <c r="C600" s="233"/>
      <c r="E600" s="233"/>
    </row>
    <row r="601">
      <c r="C601" s="233"/>
      <c r="E601" s="233"/>
    </row>
    <row r="602">
      <c r="C602" s="233"/>
      <c r="E602" s="233"/>
    </row>
    <row r="603">
      <c r="C603" s="233"/>
      <c r="E603" s="233"/>
    </row>
    <row r="604">
      <c r="C604" s="233"/>
      <c r="E604" s="233"/>
    </row>
    <row r="605">
      <c r="C605" s="233"/>
      <c r="E605" s="233"/>
    </row>
    <row r="606">
      <c r="C606" s="233"/>
      <c r="E606" s="233"/>
    </row>
    <row r="607">
      <c r="C607" s="233"/>
      <c r="E607" s="233"/>
    </row>
    <row r="608">
      <c r="C608" s="233"/>
      <c r="E608" s="233"/>
    </row>
    <row r="609">
      <c r="C609" s="233"/>
      <c r="E609" s="233"/>
    </row>
    <row r="610">
      <c r="C610" s="233"/>
      <c r="E610" s="233"/>
    </row>
    <row r="611">
      <c r="C611" s="233"/>
      <c r="E611" s="233"/>
    </row>
    <row r="612">
      <c r="C612" s="233"/>
      <c r="E612" s="233"/>
    </row>
    <row r="613">
      <c r="C613" s="233"/>
      <c r="E613" s="233"/>
    </row>
    <row r="614">
      <c r="C614" s="233"/>
      <c r="E614" s="233"/>
    </row>
    <row r="615">
      <c r="C615" s="233"/>
      <c r="E615" s="233"/>
    </row>
    <row r="616">
      <c r="C616" s="233"/>
      <c r="E616" s="233"/>
    </row>
    <row r="617">
      <c r="C617" s="233"/>
      <c r="E617" s="233"/>
    </row>
    <row r="618">
      <c r="C618" s="233"/>
      <c r="E618" s="233"/>
    </row>
    <row r="619">
      <c r="C619" s="233"/>
      <c r="E619" s="233"/>
    </row>
    <row r="620">
      <c r="C620" s="233"/>
      <c r="E620" s="233"/>
    </row>
    <row r="621">
      <c r="C621" s="233"/>
      <c r="E621" s="233"/>
    </row>
    <row r="622">
      <c r="C622" s="233"/>
      <c r="E622" s="233"/>
    </row>
    <row r="623">
      <c r="C623" s="233"/>
      <c r="E623" s="233"/>
    </row>
    <row r="624">
      <c r="C624" s="233"/>
      <c r="E624" s="233"/>
    </row>
    <row r="625">
      <c r="C625" s="233"/>
      <c r="E625" s="233"/>
    </row>
    <row r="626">
      <c r="C626" s="233"/>
      <c r="E626" s="233"/>
    </row>
    <row r="627">
      <c r="C627" s="233"/>
      <c r="E627" s="233"/>
    </row>
    <row r="628">
      <c r="C628" s="233"/>
      <c r="E628" s="233"/>
    </row>
    <row r="629">
      <c r="C629" s="233"/>
      <c r="E629" s="233"/>
    </row>
    <row r="630">
      <c r="C630" s="233"/>
      <c r="E630" s="233"/>
    </row>
    <row r="631">
      <c r="C631" s="233"/>
      <c r="E631" s="233"/>
    </row>
    <row r="632">
      <c r="C632" s="233"/>
      <c r="E632" s="233"/>
    </row>
    <row r="633">
      <c r="C633" s="233"/>
      <c r="E633" s="233"/>
    </row>
    <row r="634">
      <c r="C634" s="233"/>
      <c r="E634" s="233"/>
    </row>
    <row r="635">
      <c r="C635" s="233"/>
      <c r="E635" s="233"/>
    </row>
    <row r="636">
      <c r="C636" s="233"/>
      <c r="E636" s="233"/>
    </row>
    <row r="637">
      <c r="C637" s="233"/>
      <c r="E637" s="233"/>
    </row>
    <row r="638">
      <c r="C638" s="233"/>
      <c r="E638" s="233"/>
    </row>
    <row r="639">
      <c r="C639" s="233"/>
      <c r="E639" s="233"/>
    </row>
    <row r="640">
      <c r="C640" s="233"/>
      <c r="E640" s="233"/>
    </row>
    <row r="641">
      <c r="C641" s="233"/>
      <c r="E641" s="233"/>
    </row>
    <row r="642">
      <c r="C642" s="233"/>
      <c r="E642" s="233"/>
    </row>
    <row r="643">
      <c r="C643" s="233"/>
      <c r="E643" s="233"/>
    </row>
    <row r="644">
      <c r="C644" s="233"/>
      <c r="E644" s="233"/>
    </row>
    <row r="645">
      <c r="C645" s="233"/>
      <c r="E645" s="233"/>
    </row>
    <row r="646">
      <c r="C646" s="233"/>
      <c r="E646" s="233"/>
    </row>
    <row r="647">
      <c r="C647" s="233"/>
      <c r="E647" s="233"/>
    </row>
    <row r="648">
      <c r="C648" s="233"/>
      <c r="E648" s="233"/>
    </row>
    <row r="649">
      <c r="C649" s="233"/>
      <c r="E649" s="233"/>
    </row>
    <row r="650">
      <c r="C650" s="233"/>
      <c r="E650" s="233"/>
    </row>
    <row r="651">
      <c r="C651" s="233"/>
      <c r="E651" s="233"/>
    </row>
    <row r="652">
      <c r="C652" s="233"/>
      <c r="E652" s="233"/>
    </row>
    <row r="653">
      <c r="C653" s="233"/>
      <c r="E653" s="233"/>
    </row>
    <row r="654">
      <c r="C654" s="233"/>
      <c r="E654" s="233"/>
    </row>
    <row r="655">
      <c r="C655" s="233"/>
      <c r="E655" s="233"/>
    </row>
    <row r="656">
      <c r="C656" s="233"/>
      <c r="E656" s="233"/>
    </row>
    <row r="657">
      <c r="C657" s="233"/>
      <c r="E657" s="233"/>
    </row>
    <row r="658">
      <c r="C658" s="233"/>
      <c r="E658" s="233"/>
    </row>
    <row r="659">
      <c r="C659" s="233"/>
      <c r="E659" s="233"/>
    </row>
    <row r="660">
      <c r="C660" s="233"/>
      <c r="E660" s="233"/>
    </row>
    <row r="661">
      <c r="C661" s="233"/>
      <c r="E661" s="233"/>
    </row>
    <row r="662">
      <c r="C662" s="233"/>
      <c r="E662" s="233"/>
    </row>
    <row r="663">
      <c r="C663" s="233"/>
      <c r="E663" s="233"/>
    </row>
    <row r="664">
      <c r="C664" s="233"/>
      <c r="E664" s="233"/>
    </row>
    <row r="665">
      <c r="C665" s="233"/>
      <c r="E665" s="233"/>
    </row>
    <row r="666">
      <c r="C666" s="233"/>
      <c r="E666" s="233"/>
    </row>
    <row r="667">
      <c r="C667" s="233"/>
      <c r="E667" s="233"/>
    </row>
    <row r="668">
      <c r="C668" s="233"/>
      <c r="E668" s="233"/>
    </row>
    <row r="669">
      <c r="C669" s="233"/>
      <c r="E669" s="233"/>
    </row>
    <row r="670">
      <c r="C670" s="233"/>
      <c r="E670" s="233"/>
    </row>
    <row r="671">
      <c r="C671" s="233"/>
      <c r="E671" s="233"/>
    </row>
    <row r="672">
      <c r="C672" s="233"/>
      <c r="E672" s="233"/>
    </row>
    <row r="673">
      <c r="C673" s="233"/>
      <c r="E673" s="233"/>
    </row>
    <row r="674">
      <c r="C674" s="233"/>
      <c r="E674" s="233"/>
    </row>
    <row r="675">
      <c r="C675" s="233"/>
      <c r="E675" s="233"/>
    </row>
    <row r="676">
      <c r="C676" s="233"/>
      <c r="E676" s="233"/>
    </row>
    <row r="677">
      <c r="C677" s="233"/>
      <c r="E677" s="233"/>
    </row>
    <row r="678">
      <c r="C678" s="233"/>
      <c r="E678" s="233"/>
    </row>
    <row r="679">
      <c r="C679" s="233"/>
      <c r="E679" s="233"/>
    </row>
    <row r="680">
      <c r="C680" s="233"/>
      <c r="E680" s="233"/>
    </row>
    <row r="681">
      <c r="C681" s="233"/>
      <c r="E681" s="233"/>
    </row>
    <row r="682">
      <c r="C682" s="233"/>
      <c r="E682" s="233"/>
    </row>
    <row r="683">
      <c r="C683" s="233"/>
      <c r="E683" s="233"/>
    </row>
    <row r="684">
      <c r="C684" s="233"/>
      <c r="E684" s="233"/>
    </row>
    <row r="685">
      <c r="C685" s="233"/>
      <c r="E685" s="233"/>
    </row>
    <row r="686">
      <c r="C686" s="233"/>
      <c r="E686" s="233"/>
    </row>
    <row r="687">
      <c r="C687" s="233"/>
      <c r="E687" s="233"/>
    </row>
    <row r="688">
      <c r="C688" s="233"/>
      <c r="E688" s="233"/>
    </row>
    <row r="689">
      <c r="C689" s="233"/>
      <c r="E689" s="233"/>
    </row>
    <row r="690">
      <c r="C690" s="233"/>
      <c r="E690" s="233"/>
    </row>
    <row r="691">
      <c r="C691" s="233"/>
      <c r="E691" s="233"/>
    </row>
    <row r="692">
      <c r="C692" s="233"/>
      <c r="E692" s="233"/>
    </row>
    <row r="693">
      <c r="C693" s="233"/>
      <c r="E693" s="233"/>
    </row>
    <row r="694">
      <c r="C694" s="233"/>
      <c r="E694" s="233"/>
    </row>
    <row r="695">
      <c r="C695" s="233"/>
      <c r="E695" s="233"/>
    </row>
    <row r="696">
      <c r="C696" s="233"/>
      <c r="E696" s="233"/>
    </row>
    <row r="697">
      <c r="C697" s="233"/>
      <c r="E697" s="233"/>
    </row>
    <row r="698">
      <c r="C698" s="233"/>
      <c r="E698" s="233"/>
    </row>
    <row r="699">
      <c r="C699" s="233"/>
      <c r="E699" s="233"/>
    </row>
    <row r="700">
      <c r="C700" s="233"/>
      <c r="E700" s="233"/>
    </row>
    <row r="701">
      <c r="C701" s="233"/>
      <c r="E701" s="233"/>
    </row>
    <row r="702">
      <c r="C702" s="233"/>
      <c r="E702" s="233"/>
    </row>
    <row r="703">
      <c r="C703" s="233"/>
      <c r="E703" s="233"/>
    </row>
    <row r="704">
      <c r="C704" s="233"/>
      <c r="E704" s="233"/>
    </row>
    <row r="705">
      <c r="C705" s="233"/>
      <c r="E705" s="233"/>
    </row>
    <row r="706">
      <c r="C706" s="233"/>
      <c r="E706" s="233"/>
    </row>
    <row r="707">
      <c r="C707" s="233"/>
      <c r="E707" s="233"/>
    </row>
    <row r="708">
      <c r="C708" s="233"/>
      <c r="E708" s="233"/>
    </row>
    <row r="709">
      <c r="C709" s="233"/>
      <c r="E709" s="233"/>
    </row>
    <row r="710">
      <c r="C710" s="233"/>
      <c r="E710" s="233"/>
    </row>
    <row r="711">
      <c r="C711" s="233"/>
      <c r="E711" s="233"/>
    </row>
    <row r="712">
      <c r="C712" s="233"/>
      <c r="E712" s="233"/>
    </row>
    <row r="713">
      <c r="C713" s="233"/>
      <c r="E713" s="233"/>
    </row>
    <row r="714">
      <c r="C714" s="233"/>
      <c r="E714" s="233"/>
    </row>
    <row r="715">
      <c r="C715" s="233"/>
      <c r="E715" s="233"/>
    </row>
    <row r="716">
      <c r="C716" s="233"/>
      <c r="E716" s="233"/>
    </row>
    <row r="717">
      <c r="C717" s="233"/>
      <c r="E717" s="233"/>
    </row>
    <row r="718">
      <c r="C718" s="233"/>
      <c r="E718" s="233"/>
    </row>
    <row r="719">
      <c r="C719" s="233"/>
      <c r="E719" s="233"/>
    </row>
    <row r="720">
      <c r="C720" s="233"/>
      <c r="E720" s="233"/>
    </row>
    <row r="721">
      <c r="C721" s="233"/>
      <c r="E721" s="233"/>
    </row>
    <row r="722">
      <c r="C722" s="233"/>
      <c r="E722" s="233"/>
    </row>
    <row r="723">
      <c r="C723" s="233"/>
      <c r="E723" s="233"/>
    </row>
    <row r="724">
      <c r="C724" s="233"/>
      <c r="E724" s="233"/>
    </row>
    <row r="725">
      <c r="C725" s="233"/>
      <c r="E725" s="233"/>
    </row>
    <row r="726">
      <c r="C726" s="233"/>
      <c r="E726" s="233"/>
    </row>
    <row r="727">
      <c r="C727" s="233"/>
      <c r="E727" s="233"/>
    </row>
    <row r="728">
      <c r="C728" s="233"/>
      <c r="E728" s="233"/>
    </row>
    <row r="729">
      <c r="C729" s="233"/>
      <c r="E729" s="233"/>
    </row>
    <row r="730">
      <c r="C730" s="233"/>
      <c r="E730" s="233"/>
    </row>
    <row r="731">
      <c r="C731" s="233"/>
      <c r="E731" s="233"/>
    </row>
    <row r="732">
      <c r="C732" s="233"/>
      <c r="E732" s="233"/>
    </row>
    <row r="733">
      <c r="C733" s="233"/>
      <c r="E733" s="233"/>
    </row>
    <row r="734">
      <c r="C734" s="233"/>
      <c r="E734" s="233"/>
    </row>
    <row r="735">
      <c r="C735" s="233"/>
      <c r="E735" s="233"/>
    </row>
    <row r="736">
      <c r="C736" s="233"/>
      <c r="E736" s="233"/>
    </row>
    <row r="737">
      <c r="C737" s="233"/>
      <c r="E737" s="233"/>
    </row>
    <row r="738">
      <c r="C738" s="233"/>
      <c r="E738" s="233"/>
    </row>
    <row r="739">
      <c r="C739" s="233"/>
      <c r="E739" s="233"/>
    </row>
    <row r="740">
      <c r="C740" s="233"/>
      <c r="E740" s="233"/>
    </row>
    <row r="741">
      <c r="C741" s="233"/>
      <c r="E741" s="233"/>
    </row>
    <row r="742">
      <c r="C742" s="233"/>
      <c r="E742" s="233"/>
    </row>
    <row r="743">
      <c r="C743" s="233"/>
      <c r="E743" s="233"/>
    </row>
    <row r="744">
      <c r="C744" s="233"/>
      <c r="E744" s="233"/>
    </row>
    <row r="745">
      <c r="C745" s="233"/>
      <c r="E745" s="233"/>
    </row>
    <row r="746">
      <c r="C746" s="233"/>
      <c r="E746" s="233"/>
    </row>
    <row r="747">
      <c r="C747" s="233"/>
      <c r="E747" s="233"/>
    </row>
    <row r="748">
      <c r="C748" s="233"/>
      <c r="E748" s="233"/>
    </row>
    <row r="749">
      <c r="C749" s="233"/>
      <c r="E749" s="233"/>
    </row>
    <row r="750">
      <c r="C750" s="233"/>
      <c r="E750" s="233"/>
    </row>
    <row r="751">
      <c r="C751" s="233"/>
      <c r="E751" s="233"/>
    </row>
    <row r="752">
      <c r="C752" s="233"/>
      <c r="E752" s="233"/>
    </row>
    <row r="753">
      <c r="C753" s="233"/>
      <c r="E753" s="233"/>
    </row>
    <row r="754">
      <c r="C754" s="233"/>
      <c r="E754" s="233"/>
    </row>
    <row r="755">
      <c r="C755" s="233"/>
      <c r="E755" s="233"/>
    </row>
    <row r="756">
      <c r="C756" s="233"/>
      <c r="E756" s="233"/>
    </row>
    <row r="757">
      <c r="C757" s="233"/>
      <c r="E757" s="233"/>
    </row>
    <row r="758">
      <c r="C758" s="233"/>
      <c r="E758" s="233"/>
    </row>
    <row r="759">
      <c r="C759" s="233"/>
      <c r="E759" s="233"/>
    </row>
    <row r="760">
      <c r="C760" s="233"/>
      <c r="E760" s="233"/>
    </row>
    <row r="761">
      <c r="C761" s="233"/>
      <c r="E761" s="233"/>
    </row>
    <row r="762">
      <c r="C762" s="233"/>
      <c r="E762" s="233"/>
    </row>
    <row r="763">
      <c r="C763" s="233"/>
      <c r="E763" s="233"/>
    </row>
    <row r="764">
      <c r="C764" s="233"/>
      <c r="E764" s="233"/>
    </row>
    <row r="765">
      <c r="C765" s="233"/>
      <c r="E765" s="233"/>
    </row>
    <row r="766">
      <c r="C766" s="233"/>
      <c r="E766" s="233"/>
    </row>
    <row r="767">
      <c r="C767" s="233"/>
      <c r="E767" s="233"/>
    </row>
    <row r="768">
      <c r="C768" s="233"/>
      <c r="E768" s="233"/>
    </row>
    <row r="769">
      <c r="C769" s="233"/>
      <c r="E769" s="233"/>
    </row>
    <row r="770">
      <c r="C770" s="233"/>
      <c r="E770" s="233"/>
    </row>
    <row r="771">
      <c r="C771" s="233"/>
      <c r="E771" s="233"/>
    </row>
    <row r="772">
      <c r="C772" s="233"/>
      <c r="E772" s="233"/>
    </row>
    <row r="773">
      <c r="C773" s="233"/>
      <c r="E773" s="233"/>
    </row>
    <row r="774">
      <c r="C774" s="233"/>
      <c r="E774" s="233"/>
    </row>
    <row r="775">
      <c r="C775" s="233"/>
      <c r="E775" s="233"/>
    </row>
    <row r="776">
      <c r="C776" s="233"/>
      <c r="E776" s="233"/>
    </row>
    <row r="777">
      <c r="C777" s="233"/>
      <c r="E777" s="233"/>
    </row>
    <row r="778">
      <c r="C778" s="233"/>
      <c r="E778" s="233"/>
    </row>
    <row r="779">
      <c r="C779" s="233"/>
      <c r="E779" s="233"/>
    </row>
    <row r="780">
      <c r="C780" s="233"/>
      <c r="E780" s="233"/>
    </row>
    <row r="781">
      <c r="C781" s="233"/>
      <c r="E781" s="233"/>
    </row>
    <row r="782">
      <c r="C782" s="233"/>
      <c r="E782" s="233"/>
    </row>
    <row r="783">
      <c r="C783" s="233"/>
      <c r="E783" s="233"/>
    </row>
    <row r="784">
      <c r="C784" s="233"/>
      <c r="E784" s="233"/>
    </row>
    <row r="785">
      <c r="C785" s="233"/>
      <c r="E785" s="233"/>
    </row>
    <row r="786">
      <c r="C786" s="233"/>
      <c r="E786" s="233"/>
    </row>
    <row r="787">
      <c r="C787" s="233"/>
      <c r="E787" s="233"/>
    </row>
    <row r="788">
      <c r="C788" s="233"/>
      <c r="E788" s="233"/>
    </row>
    <row r="789">
      <c r="C789" s="233"/>
      <c r="E789" s="233"/>
    </row>
    <row r="790">
      <c r="C790" s="233"/>
      <c r="E790" s="233"/>
    </row>
    <row r="791">
      <c r="C791" s="233"/>
      <c r="E791" s="233"/>
    </row>
    <row r="792">
      <c r="C792" s="233"/>
      <c r="E792" s="233"/>
    </row>
    <row r="793">
      <c r="C793" s="233"/>
      <c r="E793" s="233"/>
    </row>
    <row r="794">
      <c r="C794" s="233"/>
      <c r="E794" s="233"/>
    </row>
    <row r="795">
      <c r="C795" s="233"/>
      <c r="E795" s="233"/>
    </row>
    <row r="796">
      <c r="C796" s="233"/>
      <c r="E796" s="233"/>
    </row>
    <row r="797">
      <c r="C797" s="233"/>
      <c r="E797" s="233"/>
    </row>
    <row r="798">
      <c r="C798" s="233"/>
      <c r="E798" s="233"/>
    </row>
    <row r="799">
      <c r="C799" s="233"/>
      <c r="E799" s="233"/>
    </row>
    <row r="800">
      <c r="C800" s="233"/>
      <c r="E800" s="233"/>
    </row>
    <row r="801">
      <c r="C801" s="233"/>
      <c r="E801" s="233"/>
    </row>
    <row r="802">
      <c r="C802" s="233"/>
      <c r="E802" s="233"/>
    </row>
    <row r="803">
      <c r="C803" s="233"/>
      <c r="E803" s="233"/>
    </row>
    <row r="804">
      <c r="C804" s="233"/>
      <c r="E804" s="233"/>
    </row>
    <row r="805">
      <c r="C805" s="233"/>
      <c r="E805" s="233"/>
    </row>
    <row r="806">
      <c r="C806" s="233"/>
      <c r="E806" s="233"/>
    </row>
    <row r="807">
      <c r="C807" s="233"/>
      <c r="E807" s="233"/>
    </row>
    <row r="808">
      <c r="C808" s="233"/>
      <c r="E808" s="233"/>
    </row>
    <row r="809">
      <c r="C809" s="233"/>
      <c r="E809" s="233"/>
    </row>
    <row r="810">
      <c r="C810" s="233"/>
      <c r="E810" s="233"/>
    </row>
    <row r="811">
      <c r="C811" s="233"/>
      <c r="E811" s="233"/>
    </row>
    <row r="812">
      <c r="C812" s="233"/>
      <c r="E812" s="233"/>
    </row>
    <row r="813">
      <c r="C813" s="233"/>
      <c r="E813" s="233"/>
    </row>
    <row r="814">
      <c r="C814" s="233"/>
      <c r="E814" s="233"/>
    </row>
    <row r="815">
      <c r="C815" s="233"/>
      <c r="E815" s="233"/>
    </row>
    <row r="816">
      <c r="C816" s="233"/>
      <c r="E816" s="233"/>
    </row>
    <row r="817">
      <c r="C817" s="233"/>
      <c r="E817" s="233"/>
    </row>
    <row r="818">
      <c r="C818" s="233"/>
      <c r="E818" s="233"/>
    </row>
    <row r="819">
      <c r="C819" s="233"/>
      <c r="E819" s="233"/>
    </row>
    <row r="820">
      <c r="C820" s="233"/>
      <c r="E820" s="233"/>
    </row>
    <row r="821">
      <c r="C821" s="233"/>
      <c r="E821" s="233"/>
    </row>
    <row r="822">
      <c r="C822" s="233"/>
      <c r="E822" s="233"/>
    </row>
    <row r="823">
      <c r="C823" s="233"/>
      <c r="E823" s="233"/>
    </row>
    <row r="824">
      <c r="C824" s="233"/>
      <c r="E824" s="233"/>
    </row>
    <row r="825">
      <c r="C825" s="233"/>
      <c r="E825" s="233"/>
    </row>
    <row r="826">
      <c r="C826" s="233"/>
      <c r="E826" s="233"/>
    </row>
    <row r="827">
      <c r="C827" s="233"/>
      <c r="E827" s="233"/>
    </row>
    <row r="828">
      <c r="C828" s="233"/>
      <c r="E828" s="233"/>
    </row>
    <row r="829">
      <c r="C829" s="233"/>
      <c r="E829" s="233"/>
    </row>
    <row r="830">
      <c r="C830" s="233"/>
      <c r="E830" s="233"/>
    </row>
    <row r="831">
      <c r="C831" s="233"/>
      <c r="E831" s="233"/>
    </row>
    <row r="832">
      <c r="C832" s="233"/>
      <c r="E832" s="233"/>
    </row>
    <row r="833">
      <c r="C833" s="233"/>
      <c r="E833" s="233"/>
    </row>
    <row r="834">
      <c r="C834" s="233"/>
      <c r="E834" s="233"/>
    </row>
    <row r="835">
      <c r="C835" s="233"/>
      <c r="E835" s="233"/>
    </row>
    <row r="836">
      <c r="C836" s="233"/>
      <c r="E836" s="233"/>
    </row>
    <row r="837">
      <c r="C837" s="233"/>
      <c r="E837" s="233"/>
    </row>
    <row r="838">
      <c r="C838" s="233"/>
      <c r="E838" s="233"/>
    </row>
    <row r="839">
      <c r="C839" s="233"/>
      <c r="E839" s="233"/>
    </row>
    <row r="840">
      <c r="C840" s="233"/>
      <c r="E840" s="233"/>
    </row>
    <row r="841">
      <c r="C841" s="233"/>
      <c r="E841" s="233"/>
    </row>
    <row r="842">
      <c r="C842" s="233"/>
      <c r="E842" s="233"/>
    </row>
    <row r="843">
      <c r="C843" s="233"/>
      <c r="E843" s="233"/>
    </row>
    <row r="844">
      <c r="C844" s="233"/>
      <c r="E844" s="233"/>
    </row>
    <row r="845">
      <c r="C845" s="233"/>
      <c r="E845" s="233"/>
    </row>
    <row r="846">
      <c r="C846" s="233"/>
      <c r="E846" s="233"/>
    </row>
    <row r="847">
      <c r="C847" s="233"/>
      <c r="E847" s="233"/>
    </row>
    <row r="848">
      <c r="C848" s="233"/>
      <c r="E848" s="233"/>
    </row>
    <row r="849">
      <c r="C849" s="233"/>
      <c r="E849" s="233"/>
    </row>
    <row r="850">
      <c r="C850" s="233"/>
      <c r="E850" s="233"/>
    </row>
    <row r="851">
      <c r="C851" s="233"/>
      <c r="E851" s="233"/>
    </row>
    <row r="852">
      <c r="C852" s="233"/>
      <c r="E852" s="233"/>
    </row>
    <row r="853">
      <c r="C853" s="233"/>
      <c r="E853" s="233"/>
    </row>
    <row r="854">
      <c r="C854" s="233"/>
      <c r="E854" s="233"/>
    </row>
    <row r="855">
      <c r="C855" s="233"/>
      <c r="E855" s="233"/>
    </row>
    <row r="856">
      <c r="C856" s="233"/>
      <c r="E856" s="233"/>
    </row>
    <row r="857">
      <c r="C857" s="233"/>
      <c r="E857" s="233"/>
    </row>
    <row r="858">
      <c r="C858" s="233"/>
      <c r="E858" s="233"/>
    </row>
    <row r="859">
      <c r="C859" s="233"/>
      <c r="E859" s="233"/>
    </row>
    <row r="860">
      <c r="C860" s="233"/>
      <c r="E860" s="233"/>
    </row>
    <row r="861">
      <c r="C861" s="233"/>
      <c r="E861" s="233"/>
    </row>
    <row r="862">
      <c r="C862" s="233"/>
      <c r="E862" s="233"/>
    </row>
    <row r="863">
      <c r="C863" s="233"/>
      <c r="E863" s="233"/>
    </row>
    <row r="864">
      <c r="C864" s="233"/>
      <c r="E864" s="233"/>
    </row>
    <row r="865">
      <c r="C865" s="233"/>
      <c r="E865" s="233"/>
    </row>
    <row r="866">
      <c r="C866" s="233"/>
      <c r="E866" s="233"/>
    </row>
    <row r="867">
      <c r="C867" s="233"/>
      <c r="E867" s="233"/>
    </row>
    <row r="868">
      <c r="C868" s="233"/>
      <c r="E868" s="233"/>
    </row>
    <row r="869">
      <c r="C869" s="233"/>
      <c r="E869" s="233"/>
    </row>
    <row r="870">
      <c r="C870" s="233"/>
      <c r="E870" s="233"/>
    </row>
    <row r="871">
      <c r="C871" s="233"/>
      <c r="E871" s="233"/>
    </row>
    <row r="872">
      <c r="C872" s="233"/>
      <c r="E872" s="233"/>
    </row>
    <row r="873">
      <c r="C873" s="233"/>
      <c r="E873" s="233"/>
    </row>
    <row r="874">
      <c r="C874" s="233"/>
      <c r="E874" s="233"/>
    </row>
    <row r="875">
      <c r="C875" s="233"/>
      <c r="E875" s="233"/>
    </row>
    <row r="876">
      <c r="C876" s="233"/>
      <c r="E876" s="233"/>
    </row>
    <row r="877">
      <c r="C877" s="233"/>
      <c r="E877" s="233"/>
    </row>
    <row r="878">
      <c r="C878" s="233"/>
      <c r="E878" s="233"/>
    </row>
    <row r="879">
      <c r="C879" s="233"/>
      <c r="E879" s="233"/>
    </row>
    <row r="880">
      <c r="C880" s="233"/>
      <c r="E880" s="233"/>
    </row>
    <row r="881">
      <c r="C881" s="233"/>
      <c r="E881" s="233"/>
    </row>
    <row r="882">
      <c r="C882" s="233"/>
      <c r="E882" s="233"/>
    </row>
    <row r="883">
      <c r="C883" s="233"/>
      <c r="E883" s="233"/>
    </row>
    <row r="884">
      <c r="C884" s="233"/>
      <c r="E884" s="233"/>
    </row>
    <row r="885">
      <c r="C885" s="233"/>
      <c r="E885" s="233"/>
    </row>
    <row r="886">
      <c r="C886" s="233"/>
      <c r="E886" s="233"/>
    </row>
    <row r="887">
      <c r="C887" s="233"/>
      <c r="E887" s="233"/>
    </row>
    <row r="888">
      <c r="C888" s="233"/>
      <c r="E888" s="233"/>
    </row>
    <row r="889">
      <c r="C889" s="233"/>
      <c r="E889" s="233"/>
    </row>
    <row r="890">
      <c r="C890" s="233"/>
      <c r="E890" s="233"/>
    </row>
    <row r="891">
      <c r="C891" s="233"/>
      <c r="E891" s="233"/>
    </row>
    <row r="892">
      <c r="C892" s="233"/>
      <c r="E892" s="233"/>
    </row>
    <row r="893">
      <c r="C893" s="233"/>
      <c r="E893" s="233"/>
    </row>
    <row r="894">
      <c r="C894" s="233"/>
      <c r="E894" s="233"/>
    </row>
    <row r="895">
      <c r="C895" s="233"/>
      <c r="E895" s="233"/>
    </row>
    <row r="896">
      <c r="C896" s="233"/>
      <c r="E896" s="233"/>
    </row>
    <row r="897">
      <c r="C897" s="233"/>
      <c r="E897" s="233"/>
    </row>
    <row r="898">
      <c r="C898" s="233"/>
      <c r="E898" s="233"/>
    </row>
    <row r="899">
      <c r="C899" s="233"/>
      <c r="E899" s="233"/>
    </row>
    <row r="900">
      <c r="C900" s="233"/>
      <c r="E900" s="233"/>
    </row>
    <row r="901">
      <c r="C901" s="233"/>
      <c r="E901" s="233"/>
    </row>
    <row r="902">
      <c r="C902" s="233"/>
      <c r="E902" s="233"/>
    </row>
    <row r="903">
      <c r="C903" s="233"/>
      <c r="E903" s="233"/>
    </row>
    <row r="904">
      <c r="C904" s="233"/>
      <c r="E904" s="233"/>
    </row>
    <row r="905">
      <c r="C905" s="233"/>
      <c r="E905" s="233"/>
    </row>
    <row r="906">
      <c r="C906" s="233"/>
      <c r="E906" s="233"/>
    </row>
    <row r="907">
      <c r="C907" s="233"/>
      <c r="E907" s="233"/>
    </row>
    <row r="908">
      <c r="C908" s="233"/>
      <c r="E908" s="233"/>
    </row>
    <row r="909">
      <c r="C909" s="233"/>
      <c r="E909" s="233"/>
    </row>
    <row r="910">
      <c r="C910" s="233"/>
      <c r="E910" s="233"/>
    </row>
    <row r="911">
      <c r="C911" s="233"/>
      <c r="E911" s="233"/>
    </row>
    <row r="912">
      <c r="C912" s="233"/>
      <c r="E912" s="233"/>
    </row>
    <row r="913">
      <c r="C913" s="233"/>
      <c r="E913" s="233"/>
    </row>
    <row r="914">
      <c r="C914" s="233"/>
      <c r="E914" s="233"/>
    </row>
    <row r="915">
      <c r="C915" s="233"/>
      <c r="E915" s="233"/>
    </row>
    <row r="916">
      <c r="C916" s="233"/>
      <c r="E916" s="233"/>
    </row>
    <row r="917">
      <c r="C917" s="233"/>
      <c r="E917" s="233"/>
    </row>
    <row r="918">
      <c r="C918" s="233"/>
      <c r="E918" s="233"/>
    </row>
    <row r="919">
      <c r="C919" s="233"/>
      <c r="E919" s="233"/>
    </row>
    <row r="920">
      <c r="C920" s="233"/>
      <c r="E920" s="233"/>
    </row>
    <row r="921">
      <c r="C921" s="233"/>
      <c r="E921" s="233"/>
    </row>
    <row r="922">
      <c r="C922" s="233"/>
      <c r="E922" s="233"/>
    </row>
    <row r="923">
      <c r="C923" s="233"/>
      <c r="E923" s="233"/>
    </row>
    <row r="924">
      <c r="C924" s="233"/>
      <c r="E924" s="233"/>
    </row>
    <row r="925">
      <c r="C925" s="233"/>
      <c r="E925" s="233"/>
    </row>
    <row r="926">
      <c r="C926" s="233"/>
      <c r="E926" s="233"/>
    </row>
    <row r="927">
      <c r="C927" s="233"/>
      <c r="E927" s="233"/>
    </row>
    <row r="928">
      <c r="C928" s="233"/>
      <c r="E928" s="233"/>
    </row>
    <row r="929">
      <c r="C929" s="233"/>
      <c r="E929" s="233"/>
    </row>
    <row r="930">
      <c r="C930" s="233"/>
      <c r="E930" s="233"/>
    </row>
    <row r="931">
      <c r="C931" s="233"/>
      <c r="E931" s="233"/>
    </row>
    <row r="932">
      <c r="C932" s="233"/>
      <c r="E932" s="233"/>
    </row>
    <row r="933">
      <c r="C933" s="233"/>
      <c r="E933" s="233"/>
    </row>
    <row r="934">
      <c r="C934" s="233"/>
      <c r="E934" s="233"/>
    </row>
    <row r="935">
      <c r="C935" s="233"/>
      <c r="E935" s="233"/>
    </row>
    <row r="936">
      <c r="C936" s="233"/>
      <c r="E936" s="233"/>
    </row>
    <row r="937">
      <c r="C937" s="233"/>
      <c r="E937" s="233"/>
    </row>
    <row r="938">
      <c r="C938" s="233"/>
      <c r="E938" s="233"/>
    </row>
    <row r="939">
      <c r="C939" s="233"/>
      <c r="E939" s="233"/>
    </row>
    <row r="940">
      <c r="C940" s="233"/>
      <c r="E940" s="233"/>
    </row>
    <row r="941">
      <c r="C941" s="233"/>
      <c r="E941" s="233"/>
    </row>
    <row r="942">
      <c r="C942" s="233"/>
      <c r="E942" s="233"/>
    </row>
    <row r="943">
      <c r="C943" s="233"/>
      <c r="E943" s="233"/>
    </row>
    <row r="944">
      <c r="C944" s="233"/>
      <c r="E944" s="233"/>
    </row>
    <row r="945">
      <c r="C945" s="233"/>
      <c r="E945" s="233"/>
    </row>
    <row r="946">
      <c r="C946" s="233"/>
      <c r="E946" s="233"/>
    </row>
    <row r="947">
      <c r="C947" s="233"/>
      <c r="E947" s="233"/>
    </row>
    <row r="948">
      <c r="C948" s="233"/>
      <c r="E948" s="233"/>
    </row>
    <row r="949">
      <c r="C949" s="233"/>
      <c r="E949" s="233"/>
    </row>
    <row r="950">
      <c r="C950" s="233"/>
      <c r="E950" s="233"/>
    </row>
    <row r="951">
      <c r="C951" s="233"/>
      <c r="E951" s="233"/>
    </row>
    <row r="952">
      <c r="C952" s="233"/>
      <c r="E952" s="233"/>
    </row>
    <row r="953">
      <c r="C953" s="233"/>
      <c r="E953" s="233"/>
    </row>
    <row r="954">
      <c r="C954" s="233"/>
      <c r="E954" s="233"/>
    </row>
    <row r="955">
      <c r="C955" s="233"/>
      <c r="E955" s="233"/>
    </row>
    <row r="956">
      <c r="C956" s="233"/>
      <c r="E956" s="233"/>
    </row>
    <row r="957">
      <c r="C957" s="233"/>
      <c r="E957" s="233"/>
    </row>
    <row r="958">
      <c r="C958" s="233"/>
      <c r="E958" s="233"/>
    </row>
    <row r="959">
      <c r="C959" s="233"/>
      <c r="E959" s="233"/>
    </row>
    <row r="960">
      <c r="C960" s="233"/>
      <c r="E960" s="233"/>
    </row>
    <row r="961">
      <c r="C961" s="233"/>
      <c r="E961" s="233"/>
    </row>
    <row r="962">
      <c r="C962" s="233"/>
      <c r="E962" s="233"/>
    </row>
    <row r="963">
      <c r="C963" s="233"/>
      <c r="E963" s="233"/>
    </row>
    <row r="964">
      <c r="C964" s="233"/>
      <c r="E964" s="233"/>
    </row>
    <row r="965">
      <c r="C965" s="233"/>
      <c r="E965" s="233"/>
    </row>
    <row r="966">
      <c r="C966" s="233"/>
      <c r="E966" s="233"/>
    </row>
    <row r="967">
      <c r="C967" s="233"/>
      <c r="E967" s="233"/>
    </row>
    <row r="968">
      <c r="C968" s="233"/>
      <c r="E968" s="233"/>
    </row>
    <row r="969">
      <c r="C969" s="233"/>
      <c r="E969" s="233"/>
    </row>
    <row r="970">
      <c r="C970" s="233"/>
      <c r="E970" s="233"/>
    </row>
    <row r="971">
      <c r="C971" s="233"/>
      <c r="E971" s="233"/>
    </row>
    <row r="972">
      <c r="C972" s="233"/>
      <c r="E972" s="233"/>
    </row>
    <row r="973">
      <c r="C973" s="233"/>
      <c r="E973" s="233"/>
    </row>
    <row r="974">
      <c r="C974" s="233"/>
      <c r="E974" s="233"/>
    </row>
    <row r="975">
      <c r="C975" s="233"/>
      <c r="E975" s="233"/>
    </row>
    <row r="976">
      <c r="C976" s="233"/>
      <c r="E976" s="233"/>
    </row>
    <row r="977">
      <c r="C977" s="233"/>
      <c r="E977" s="233"/>
    </row>
    <row r="978">
      <c r="C978" s="233"/>
      <c r="E978" s="233"/>
    </row>
    <row r="979">
      <c r="C979" s="233"/>
      <c r="E979" s="233"/>
    </row>
    <row r="980">
      <c r="C980" s="233"/>
      <c r="E980" s="233"/>
    </row>
    <row r="981">
      <c r="C981" s="233"/>
      <c r="E981" s="233"/>
    </row>
    <row r="982">
      <c r="C982" s="233"/>
      <c r="E982" s="233"/>
    </row>
    <row r="983">
      <c r="C983" s="233"/>
      <c r="E983" s="233"/>
    </row>
    <row r="984">
      <c r="C984" s="233"/>
      <c r="E984" s="233"/>
    </row>
    <row r="985">
      <c r="C985" s="233"/>
      <c r="E985" s="233"/>
    </row>
    <row r="986">
      <c r="C986" s="233"/>
      <c r="E986" s="233"/>
    </row>
    <row r="987">
      <c r="C987" s="233"/>
      <c r="E987" s="233"/>
    </row>
    <row r="988">
      <c r="C988" s="233"/>
      <c r="E988" s="233"/>
    </row>
    <row r="989">
      <c r="C989" s="233"/>
      <c r="E989" s="233"/>
    </row>
    <row r="990">
      <c r="C990" s="233"/>
      <c r="E990" s="233"/>
    </row>
    <row r="991">
      <c r="C991" s="233"/>
      <c r="E991" s="233"/>
    </row>
    <row r="992">
      <c r="C992" s="233"/>
      <c r="E992" s="233"/>
    </row>
    <row r="993">
      <c r="C993" s="233"/>
      <c r="E993" s="233"/>
    </row>
    <row r="994">
      <c r="C994" s="233"/>
      <c r="E994" s="233"/>
    </row>
    <row r="995">
      <c r="C995" s="233"/>
      <c r="E995" s="233"/>
    </row>
    <row r="996">
      <c r="C996" s="233"/>
      <c r="E996" s="233"/>
    </row>
    <row r="997">
      <c r="C997" s="233"/>
      <c r="E997" s="233"/>
    </row>
    <row r="998">
      <c r="C998" s="233"/>
      <c r="E998" s="233"/>
    </row>
    <row r="999">
      <c r="C999" s="233"/>
      <c r="E999" s="233"/>
    </row>
    <row r="1000">
      <c r="C1000" s="233"/>
      <c r="E1000" s="233"/>
    </row>
  </sheetData>
  <mergeCells count="1072">
    <mergeCell ref="F8:F10"/>
    <mergeCell ref="G8:G10"/>
    <mergeCell ref="H8:H10"/>
    <mergeCell ref="I8:I10"/>
    <mergeCell ref="G11:G13"/>
    <mergeCell ref="H11:H13"/>
    <mergeCell ref="J11:J13"/>
    <mergeCell ref="K11:K13"/>
    <mergeCell ref="L11:L13"/>
    <mergeCell ref="M11:M13"/>
    <mergeCell ref="N11:N13"/>
    <mergeCell ref="E11:E13"/>
    <mergeCell ref="F11:F13"/>
    <mergeCell ref="F14:F16"/>
    <mergeCell ref="G14:G16"/>
    <mergeCell ref="H14:H16"/>
    <mergeCell ref="I14:I16"/>
    <mergeCell ref="J14:J16"/>
    <mergeCell ref="Q17:Q19"/>
    <mergeCell ref="R17:R19"/>
    <mergeCell ref="O11:O13"/>
    <mergeCell ref="P11:P13"/>
    <mergeCell ref="Q11:Q13"/>
    <mergeCell ref="R11:R13"/>
    <mergeCell ref="S11:S13"/>
    <mergeCell ref="O17:O19"/>
    <mergeCell ref="P17:P19"/>
    <mergeCell ref="S17:S19"/>
    <mergeCell ref="P20:P22"/>
    <mergeCell ref="Q20:Q22"/>
    <mergeCell ref="R20:R22"/>
    <mergeCell ref="S20:S22"/>
    <mergeCell ref="I20:I22"/>
    <mergeCell ref="J20:J22"/>
    <mergeCell ref="K20:K22"/>
    <mergeCell ref="L20:L22"/>
    <mergeCell ref="M20:M22"/>
    <mergeCell ref="N20:N22"/>
    <mergeCell ref="O20:O22"/>
    <mergeCell ref="F84:F86"/>
    <mergeCell ref="G84:G86"/>
    <mergeCell ref="H84:H86"/>
    <mergeCell ref="I84:I86"/>
    <mergeCell ref="J84:J86"/>
    <mergeCell ref="K84:K86"/>
    <mergeCell ref="L84:L86"/>
    <mergeCell ref="Y84:Y86"/>
    <mergeCell ref="Z84:Z86"/>
    <mergeCell ref="AA84:AA86"/>
    <mergeCell ref="AB84:AB86"/>
    <mergeCell ref="AC84:AC86"/>
    <mergeCell ref="AD84:AD86"/>
    <mergeCell ref="AE84:AE86"/>
    <mergeCell ref="AF84:AF86"/>
    <mergeCell ref="M84:M86"/>
    <mergeCell ref="N84:N86"/>
    <mergeCell ref="T84:T86"/>
    <mergeCell ref="U84:U86"/>
    <mergeCell ref="V84:V86"/>
    <mergeCell ref="W84:W86"/>
    <mergeCell ref="X84:X86"/>
    <mergeCell ref="AA90:AA92"/>
    <mergeCell ref="AB90:AB92"/>
    <mergeCell ref="T90:T92"/>
    <mergeCell ref="U90:U92"/>
    <mergeCell ref="V90:V92"/>
    <mergeCell ref="W90:W92"/>
    <mergeCell ref="X90:X92"/>
    <mergeCell ref="Y90:Y92"/>
    <mergeCell ref="Z90:Z92"/>
    <mergeCell ref="D55:D61"/>
    <mergeCell ref="D62:D66"/>
    <mergeCell ref="D67:D71"/>
    <mergeCell ref="D72:D76"/>
    <mergeCell ref="D77:D80"/>
    <mergeCell ref="D81:D92"/>
    <mergeCell ref="E81:E83"/>
    <mergeCell ref="E90:E92"/>
    <mergeCell ref="K87:K89"/>
    <mergeCell ref="L87:L89"/>
    <mergeCell ref="M87:M89"/>
    <mergeCell ref="N87:N89"/>
    <mergeCell ref="O87:O89"/>
    <mergeCell ref="P87:P89"/>
    <mergeCell ref="Q87:Q89"/>
    <mergeCell ref="R87:R89"/>
    <mergeCell ref="S87:S89"/>
    <mergeCell ref="T87:T89"/>
    <mergeCell ref="U87:U89"/>
    <mergeCell ref="V87:V89"/>
    <mergeCell ref="W87:W89"/>
    <mergeCell ref="X87:X89"/>
    <mergeCell ref="E84:E86"/>
    <mergeCell ref="E87:E89"/>
    <mergeCell ref="F87:F89"/>
    <mergeCell ref="G87:G89"/>
    <mergeCell ref="H87:H89"/>
    <mergeCell ref="I87:I89"/>
    <mergeCell ref="J87:J89"/>
    <mergeCell ref="F90:F92"/>
    <mergeCell ref="G90:G92"/>
    <mergeCell ref="H90:H92"/>
    <mergeCell ref="I90:I92"/>
    <mergeCell ref="J90:J92"/>
    <mergeCell ref="K90:K92"/>
    <mergeCell ref="L90:L92"/>
    <mergeCell ref="M90:M92"/>
    <mergeCell ref="N90:N92"/>
    <mergeCell ref="O90:O92"/>
    <mergeCell ref="P90:P92"/>
    <mergeCell ref="Q90:Q92"/>
    <mergeCell ref="R90:R92"/>
    <mergeCell ref="S90:S92"/>
    <mergeCell ref="AC87:AC89"/>
    <mergeCell ref="AC90:AC92"/>
    <mergeCell ref="AD90:AD92"/>
    <mergeCell ref="AE90:AE92"/>
    <mergeCell ref="AF90:AF92"/>
    <mergeCell ref="Y87:Y89"/>
    <mergeCell ref="Z87:Z89"/>
    <mergeCell ref="AA87:AA89"/>
    <mergeCell ref="AB87:AB89"/>
    <mergeCell ref="AD87:AD89"/>
    <mergeCell ref="AE87:AE89"/>
    <mergeCell ref="AF87:AF89"/>
    <mergeCell ref="D23:D29"/>
    <mergeCell ref="F30:F34"/>
    <mergeCell ref="G30:G34"/>
    <mergeCell ref="H30:H34"/>
    <mergeCell ref="I30:I34"/>
    <mergeCell ref="I35:I39"/>
    <mergeCell ref="I45:I49"/>
    <mergeCell ref="R50:R54"/>
    <mergeCell ref="S50:S54"/>
    <mergeCell ref="K50:K54"/>
    <mergeCell ref="L50:L54"/>
    <mergeCell ref="M50:M54"/>
    <mergeCell ref="N50:N54"/>
    <mergeCell ref="O50:O54"/>
    <mergeCell ref="P50:P54"/>
    <mergeCell ref="Q50:Q54"/>
    <mergeCell ref="D30:D54"/>
    <mergeCell ref="E50:E54"/>
    <mergeCell ref="F50:F54"/>
    <mergeCell ref="G50:G54"/>
    <mergeCell ref="H50:H54"/>
    <mergeCell ref="I50:I54"/>
    <mergeCell ref="J50:J54"/>
    <mergeCell ref="O84:O86"/>
    <mergeCell ref="P84:P86"/>
    <mergeCell ref="Q84:Q86"/>
    <mergeCell ref="R84:R86"/>
    <mergeCell ref="S84:S86"/>
    <mergeCell ref="M81:M83"/>
    <mergeCell ref="N81:N83"/>
    <mergeCell ref="O81:O83"/>
    <mergeCell ref="P81:P83"/>
    <mergeCell ref="Q81:Q83"/>
    <mergeCell ref="R81:R83"/>
    <mergeCell ref="S81:S83"/>
    <mergeCell ref="F81:F83"/>
    <mergeCell ref="G81:G83"/>
    <mergeCell ref="H81:H83"/>
    <mergeCell ref="I81:I83"/>
    <mergeCell ref="J81:J83"/>
    <mergeCell ref="K81:K83"/>
    <mergeCell ref="L81:L83"/>
    <mergeCell ref="W96:W98"/>
    <mergeCell ref="X96:X98"/>
    <mergeCell ref="P96:P98"/>
    <mergeCell ref="Q96:Q98"/>
    <mergeCell ref="R96:R98"/>
    <mergeCell ref="S96:S98"/>
    <mergeCell ref="T96:T98"/>
    <mergeCell ref="U96:U98"/>
    <mergeCell ref="V96:V98"/>
    <mergeCell ref="T160:T162"/>
    <mergeCell ref="U160:U162"/>
    <mergeCell ref="M160:M162"/>
    <mergeCell ref="N160:N162"/>
    <mergeCell ref="O160:O162"/>
    <mergeCell ref="P160:P162"/>
    <mergeCell ref="Q160:Q162"/>
    <mergeCell ref="R160:R162"/>
    <mergeCell ref="S160:S162"/>
    <mergeCell ref="D131:D136"/>
    <mergeCell ref="D137:D147"/>
    <mergeCell ref="D148:D153"/>
    <mergeCell ref="D154:D168"/>
    <mergeCell ref="G154:G156"/>
    <mergeCell ref="G157:G159"/>
    <mergeCell ref="G160:G162"/>
    <mergeCell ref="F181:F183"/>
    <mergeCell ref="G181:G183"/>
    <mergeCell ref="H181:H183"/>
    <mergeCell ref="E154:E156"/>
    <mergeCell ref="E163:E165"/>
    <mergeCell ref="D169:D183"/>
    <mergeCell ref="E169:E171"/>
    <mergeCell ref="E172:E174"/>
    <mergeCell ref="F175:F177"/>
    <mergeCell ref="G178:G180"/>
    <mergeCell ref="E175:E177"/>
    <mergeCell ref="E181:E183"/>
    <mergeCell ref="D185:D194"/>
    <mergeCell ref="D195:D197"/>
    <mergeCell ref="D198:D200"/>
    <mergeCell ref="D201:D203"/>
    <mergeCell ref="D204:D209"/>
    <mergeCell ref="K210:K211"/>
    <mergeCell ref="L210:L211"/>
    <mergeCell ref="M210:M211"/>
    <mergeCell ref="N210:N211"/>
    <mergeCell ref="O210:O211"/>
    <mergeCell ref="P210:P211"/>
    <mergeCell ref="Q210:Q211"/>
    <mergeCell ref="R210:R211"/>
    <mergeCell ref="S210:S211"/>
    <mergeCell ref="T210:T211"/>
    <mergeCell ref="U210:U211"/>
    <mergeCell ref="V210:V211"/>
    <mergeCell ref="W210:W211"/>
    <mergeCell ref="X210:X211"/>
    <mergeCell ref="AE214:AE215"/>
    <mergeCell ref="AF214:AF215"/>
    <mergeCell ref="AF216:AF217"/>
    <mergeCell ref="G214:G215"/>
    <mergeCell ref="H214:H215"/>
    <mergeCell ref="I214:I215"/>
    <mergeCell ref="J214:J215"/>
    <mergeCell ref="E216:E217"/>
    <mergeCell ref="F216:F217"/>
    <mergeCell ref="G216:G217"/>
    <mergeCell ref="H216:H217"/>
    <mergeCell ref="D210:D217"/>
    <mergeCell ref="E210:E211"/>
    <mergeCell ref="F210:F211"/>
    <mergeCell ref="G210:G211"/>
    <mergeCell ref="H210:H211"/>
    <mergeCell ref="I210:I211"/>
    <mergeCell ref="J210:J211"/>
    <mergeCell ref="I216:I217"/>
    <mergeCell ref="J216:J217"/>
    <mergeCell ref="K216:K217"/>
    <mergeCell ref="L216:L217"/>
    <mergeCell ref="M216:M217"/>
    <mergeCell ref="N216:N217"/>
    <mergeCell ref="O216:O217"/>
    <mergeCell ref="P216:P217"/>
    <mergeCell ref="Q216:Q217"/>
    <mergeCell ref="R216:R217"/>
    <mergeCell ref="S216:S217"/>
    <mergeCell ref="T216:T217"/>
    <mergeCell ref="U216:U217"/>
    <mergeCell ref="V216:V217"/>
    <mergeCell ref="W220:W221"/>
    <mergeCell ref="X220:X221"/>
    <mergeCell ref="P220:P221"/>
    <mergeCell ref="Q220:Q221"/>
    <mergeCell ref="R220:R221"/>
    <mergeCell ref="S220:S221"/>
    <mergeCell ref="T220:T221"/>
    <mergeCell ref="U220:U221"/>
    <mergeCell ref="V220:V221"/>
    <mergeCell ref="Z218:Z219"/>
    <mergeCell ref="AA218:AA219"/>
    <mergeCell ref="AB218:AB219"/>
    <mergeCell ref="AC218:AC219"/>
    <mergeCell ref="AD218:AD219"/>
    <mergeCell ref="AE218:AE219"/>
    <mergeCell ref="AF218:AF219"/>
    <mergeCell ref="Y218:Y219"/>
    <mergeCell ref="Y220:Y221"/>
    <mergeCell ref="Z220:Z221"/>
    <mergeCell ref="AA220:AA221"/>
    <mergeCell ref="AB220:AB221"/>
    <mergeCell ref="AC220:AC221"/>
    <mergeCell ref="AD220:AD221"/>
    <mergeCell ref="AD216:AD217"/>
    <mergeCell ref="AE216:AE217"/>
    <mergeCell ref="W216:W217"/>
    <mergeCell ref="X216:X217"/>
    <mergeCell ref="Y216:Y217"/>
    <mergeCell ref="Z216:Z217"/>
    <mergeCell ref="AA216:AA217"/>
    <mergeCell ref="AB216:AB217"/>
    <mergeCell ref="AC216:AC217"/>
    <mergeCell ref="K218:K219"/>
    <mergeCell ref="L218:L219"/>
    <mergeCell ref="M218:M219"/>
    <mergeCell ref="N218:N219"/>
    <mergeCell ref="O218:O219"/>
    <mergeCell ref="P218:P219"/>
    <mergeCell ref="Q218:Q219"/>
    <mergeCell ref="R218:R219"/>
    <mergeCell ref="S218:S219"/>
    <mergeCell ref="T218:T219"/>
    <mergeCell ref="U218:U219"/>
    <mergeCell ref="V218:V219"/>
    <mergeCell ref="W218:W219"/>
    <mergeCell ref="X218:X219"/>
    <mergeCell ref="E220:E221"/>
    <mergeCell ref="F220:F221"/>
    <mergeCell ref="G220:G221"/>
    <mergeCell ref="H220:H221"/>
    <mergeCell ref="K220:K221"/>
    <mergeCell ref="L220:L221"/>
    <mergeCell ref="M220:M221"/>
    <mergeCell ref="N220:N221"/>
    <mergeCell ref="O220:O221"/>
    <mergeCell ref="AE220:AE221"/>
    <mergeCell ref="AF220:AF221"/>
    <mergeCell ref="E105:E107"/>
    <mergeCell ref="F105:F107"/>
    <mergeCell ref="D109:D114"/>
    <mergeCell ref="D115:D119"/>
    <mergeCell ref="D120:D124"/>
    <mergeCell ref="D125:D127"/>
    <mergeCell ref="D128:D130"/>
    <mergeCell ref="E157:E159"/>
    <mergeCell ref="F157:F159"/>
    <mergeCell ref="H157:H159"/>
    <mergeCell ref="I157:I159"/>
    <mergeCell ref="J157:J159"/>
    <mergeCell ref="K157:K159"/>
    <mergeCell ref="L157:L159"/>
    <mergeCell ref="M157:M159"/>
    <mergeCell ref="N157:N159"/>
    <mergeCell ref="O157:O159"/>
    <mergeCell ref="P157:P159"/>
    <mergeCell ref="Q157:Q159"/>
    <mergeCell ref="R157:R159"/>
    <mergeCell ref="S157:S159"/>
    <mergeCell ref="F154:F156"/>
    <mergeCell ref="F160:F162"/>
    <mergeCell ref="H160:H162"/>
    <mergeCell ref="I160:I162"/>
    <mergeCell ref="J160:J162"/>
    <mergeCell ref="K160:K162"/>
    <mergeCell ref="L160:L162"/>
    <mergeCell ref="T157:T159"/>
    <mergeCell ref="U157:U159"/>
    <mergeCell ref="V157:V159"/>
    <mergeCell ref="W157:W159"/>
    <mergeCell ref="X157:X159"/>
    <mergeCell ref="Y157:Y159"/>
    <mergeCell ref="Z157:Z159"/>
    <mergeCell ref="F163:F165"/>
    <mergeCell ref="G163:G165"/>
    <mergeCell ref="H163:H165"/>
    <mergeCell ref="I163:I165"/>
    <mergeCell ref="J163:J165"/>
    <mergeCell ref="K163:K165"/>
    <mergeCell ref="L163:L165"/>
    <mergeCell ref="AE160:AE162"/>
    <mergeCell ref="AE163:AE165"/>
    <mergeCell ref="AF163:AF165"/>
    <mergeCell ref="AA157:AA159"/>
    <mergeCell ref="AB157:AB159"/>
    <mergeCell ref="AC157:AC159"/>
    <mergeCell ref="AD157:AD159"/>
    <mergeCell ref="AE157:AE159"/>
    <mergeCell ref="AF157:AF159"/>
    <mergeCell ref="AF160:AF162"/>
    <mergeCell ref="W175:W177"/>
    <mergeCell ref="X175:X177"/>
    <mergeCell ref="P175:P177"/>
    <mergeCell ref="Q175:Q177"/>
    <mergeCell ref="R175:R177"/>
    <mergeCell ref="S175:S177"/>
    <mergeCell ref="T175:T177"/>
    <mergeCell ref="U175:U177"/>
    <mergeCell ref="V175:V177"/>
    <mergeCell ref="T178:T180"/>
    <mergeCell ref="U178:U180"/>
    <mergeCell ref="M178:M180"/>
    <mergeCell ref="N178:N180"/>
    <mergeCell ref="O178:O180"/>
    <mergeCell ref="P178:P180"/>
    <mergeCell ref="Q178:Q180"/>
    <mergeCell ref="R178:R180"/>
    <mergeCell ref="S178:S180"/>
    <mergeCell ref="I181:I183"/>
    <mergeCell ref="J181:J183"/>
    <mergeCell ref="K181:K183"/>
    <mergeCell ref="L181:L183"/>
    <mergeCell ref="M181:M183"/>
    <mergeCell ref="N181:N183"/>
    <mergeCell ref="O181:O183"/>
    <mergeCell ref="P181:P183"/>
    <mergeCell ref="Q181:Q183"/>
    <mergeCell ref="R181:R183"/>
    <mergeCell ref="S181:S183"/>
    <mergeCell ref="T181:T183"/>
    <mergeCell ref="U181:U183"/>
    <mergeCell ref="V181:V183"/>
    <mergeCell ref="AD181:AD183"/>
    <mergeCell ref="AE181:AE183"/>
    <mergeCell ref="AF181:AF183"/>
    <mergeCell ref="W181:W183"/>
    <mergeCell ref="X181:X183"/>
    <mergeCell ref="Y181:Y183"/>
    <mergeCell ref="Z181:Z183"/>
    <mergeCell ref="AA181:AA183"/>
    <mergeCell ref="AB181:AB183"/>
    <mergeCell ref="AC181:AC183"/>
    <mergeCell ref="AC178:AC180"/>
    <mergeCell ref="AD178:AD180"/>
    <mergeCell ref="V178:V180"/>
    <mergeCell ref="W178:W180"/>
    <mergeCell ref="X178:X180"/>
    <mergeCell ref="Y178:Y180"/>
    <mergeCell ref="Z178:Z180"/>
    <mergeCell ref="AA178:AA180"/>
    <mergeCell ref="AB178:AB180"/>
    <mergeCell ref="E166:E168"/>
    <mergeCell ref="F166:F168"/>
    <mergeCell ref="H166:H168"/>
    <mergeCell ref="I166:I168"/>
    <mergeCell ref="J166:J168"/>
    <mergeCell ref="K166:K168"/>
    <mergeCell ref="Z169:Z171"/>
    <mergeCell ref="AA169:AA171"/>
    <mergeCell ref="AB169:AB171"/>
    <mergeCell ref="AC169:AC171"/>
    <mergeCell ref="AD169:AD171"/>
    <mergeCell ref="AE169:AE171"/>
    <mergeCell ref="AF169:AF171"/>
    <mergeCell ref="G166:G168"/>
    <mergeCell ref="F169:F171"/>
    <mergeCell ref="G169:G171"/>
    <mergeCell ref="H169:H171"/>
    <mergeCell ref="I169:I171"/>
    <mergeCell ref="J169:J171"/>
    <mergeCell ref="K169:K171"/>
    <mergeCell ref="L169:L171"/>
    <mergeCell ref="M169:M171"/>
    <mergeCell ref="N169:N171"/>
    <mergeCell ref="O169:O171"/>
    <mergeCell ref="P169:P171"/>
    <mergeCell ref="Q169:Q171"/>
    <mergeCell ref="R169:R171"/>
    <mergeCell ref="S169:S171"/>
    <mergeCell ref="T169:T171"/>
    <mergeCell ref="U169:U171"/>
    <mergeCell ref="V169:V171"/>
    <mergeCell ref="W169:W171"/>
    <mergeCell ref="X169:X171"/>
    <mergeCell ref="Y169:Y171"/>
    <mergeCell ref="E178:E180"/>
    <mergeCell ref="F178:F180"/>
    <mergeCell ref="H178:H180"/>
    <mergeCell ref="I178:I180"/>
    <mergeCell ref="J178:J180"/>
    <mergeCell ref="K178:K180"/>
    <mergeCell ref="L178:L180"/>
    <mergeCell ref="AE175:AE177"/>
    <mergeCell ref="AE178:AE180"/>
    <mergeCell ref="AF178:AF180"/>
    <mergeCell ref="Y175:Y177"/>
    <mergeCell ref="Z175:Z177"/>
    <mergeCell ref="AA175:AA177"/>
    <mergeCell ref="AB175:AB177"/>
    <mergeCell ref="AC175:AC177"/>
    <mergeCell ref="AD175:AD177"/>
    <mergeCell ref="AF175:AF177"/>
    <mergeCell ref="Z210:Z211"/>
    <mergeCell ref="AA210:AA211"/>
    <mergeCell ref="AB210:AB211"/>
    <mergeCell ref="AC210:AC211"/>
    <mergeCell ref="AD210:AD211"/>
    <mergeCell ref="AE210:AE211"/>
    <mergeCell ref="AF210:AF211"/>
    <mergeCell ref="Y210:Y211"/>
    <mergeCell ref="Y214:Y215"/>
    <mergeCell ref="Z214:Z215"/>
    <mergeCell ref="AA214:AA215"/>
    <mergeCell ref="AB214:AB215"/>
    <mergeCell ref="AC214:AC215"/>
    <mergeCell ref="AD214:AD215"/>
    <mergeCell ref="I220:I221"/>
    <mergeCell ref="J220:J221"/>
    <mergeCell ref="E222:E223"/>
    <mergeCell ref="F222:F223"/>
    <mergeCell ref="G222:G223"/>
    <mergeCell ref="H222:H223"/>
    <mergeCell ref="D218:D225"/>
    <mergeCell ref="E218:E219"/>
    <mergeCell ref="F218:F219"/>
    <mergeCell ref="G218:G219"/>
    <mergeCell ref="H218:H219"/>
    <mergeCell ref="I218:I219"/>
    <mergeCell ref="J218:J219"/>
    <mergeCell ref="I222:I223"/>
    <mergeCell ref="J222:J223"/>
    <mergeCell ref="K222:K223"/>
    <mergeCell ref="L222:L223"/>
    <mergeCell ref="M222:M223"/>
    <mergeCell ref="N222:N223"/>
    <mergeCell ref="O222:O223"/>
    <mergeCell ref="P222:P223"/>
    <mergeCell ref="Q222:Q223"/>
    <mergeCell ref="R222:R223"/>
    <mergeCell ref="S222:S223"/>
    <mergeCell ref="T222:T223"/>
    <mergeCell ref="U222:U223"/>
    <mergeCell ref="V222:V223"/>
    <mergeCell ref="AD222:AD223"/>
    <mergeCell ref="AE222:AE223"/>
    <mergeCell ref="AF222:AF223"/>
    <mergeCell ref="W222:W223"/>
    <mergeCell ref="X222:X223"/>
    <mergeCell ref="Y222:Y223"/>
    <mergeCell ref="Z222:Z223"/>
    <mergeCell ref="AA222:AA223"/>
    <mergeCell ref="AB222:AB223"/>
    <mergeCell ref="AC222:AC223"/>
    <mergeCell ref="V13:V15"/>
    <mergeCell ref="V16:V18"/>
    <mergeCell ref="W16:W18"/>
    <mergeCell ref="X16:X18"/>
    <mergeCell ref="Y16:Y18"/>
    <mergeCell ref="Z16:Z18"/>
    <mergeCell ref="AA16:AA18"/>
    <mergeCell ref="V22:V24"/>
    <mergeCell ref="W22:W24"/>
    <mergeCell ref="X22:X24"/>
    <mergeCell ref="Y22:Y24"/>
    <mergeCell ref="Z22:Z24"/>
    <mergeCell ref="AA22:AA24"/>
    <mergeCell ref="AB22:AB24"/>
    <mergeCell ref="V19:V21"/>
    <mergeCell ref="W19:W21"/>
    <mergeCell ref="X19:X21"/>
    <mergeCell ref="Y19:Y21"/>
    <mergeCell ref="Z19:Z21"/>
    <mergeCell ref="AA19:AA21"/>
    <mergeCell ref="AB19:AB21"/>
    <mergeCell ref="AA7:AA9"/>
    <mergeCell ref="AB7:AB9"/>
    <mergeCell ref="AA10:AA12"/>
    <mergeCell ref="AB10:AB12"/>
    <mergeCell ref="AC11:AC13"/>
    <mergeCell ref="AD11:AD13"/>
    <mergeCell ref="AE11:AE13"/>
    <mergeCell ref="AF11:AF13"/>
    <mergeCell ref="AA5:AA6"/>
    <mergeCell ref="AB5:AB6"/>
    <mergeCell ref="AC5:AC7"/>
    <mergeCell ref="AD5:AD7"/>
    <mergeCell ref="AE5:AE7"/>
    <mergeCell ref="AF5:AF7"/>
    <mergeCell ref="V7:V9"/>
    <mergeCell ref="AB13:AB15"/>
    <mergeCell ref="AC14:AC16"/>
    <mergeCell ref="AD14:AD16"/>
    <mergeCell ref="AE14:AE16"/>
    <mergeCell ref="AF14:AF16"/>
    <mergeCell ref="Y7:Y9"/>
    <mergeCell ref="Z7:Z9"/>
    <mergeCell ref="Y10:Y12"/>
    <mergeCell ref="Z10:Z12"/>
    <mergeCell ref="Y13:Y15"/>
    <mergeCell ref="Z13:Z15"/>
    <mergeCell ref="AA13:AA15"/>
    <mergeCell ref="W7:W9"/>
    <mergeCell ref="X7:X9"/>
    <mergeCell ref="V10:V12"/>
    <mergeCell ref="W10:W12"/>
    <mergeCell ref="X10:X12"/>
    <mergeCell ref="W13:W15"/>
    <mergeCell ref="X13:X15"/>
    <mergeCell ref="AB16:AB18"/>
    <mergeCell ref="AC17:AC19"/>
    <mergeCell ref="AD17:AD19"/>
    <mergeCell ref="AE17:AE19"/>
    <mergeCell ref="AF17:AF19"/>
    <mergeCell ref="AC20:AC22"/>
    <mergeCell ref="AD20:AD22"/>
    <mergeCell ref="AE20:AE22"/>
    <mergeCell ref="AF20:AF22"/>
    <mergeCell ref="F3:G3"/>
    <mergeCell ref="I3:I4"/>
    <mergeCell ref="F5:F7"/>
    <mergeCell ref="G5:G7"/>
    <mergeCell ref="H5:H7"/>
    <mergeCell ref="I5:I7"/>
    <mergeCell ref="I11:I13"/>
    <mergeCell ref="D5:D22"/>
    <mergeCell ref="E14:E16"/>
    <mergeCell ref="E17:E19"/>
    <mergeCell ref="E20:E22"/>
    <mergeCell ref="F20:F22"/>
    <mergeCell ref="G20:G22"/>
    <mergeCell ref="H20:H22"/>
    <mergeCell ref="Q30:Q34"/>
    <mergeCell ref="R30:R34"/>
    <mergeCell ref="S30:S34"/>
    <mergeCell ref="J30:J34"/>
    <mergeCell ref="K30:K34"/>
    <mergeCell ref="L30:L34"/>
    <mergeCell ref="M30:M34"/>
    <mergeCell ref="N30:N34"/>
    <mergeCell ref="O30:O34"/>
    <mergeCell ref="P30:P34"/>
    <mergeCell ref="E35:E39"/>
    <mergeCell ref="F35:F39"/>
    <mergeCell ref="O35:O39"/>
    <mergeCell ref="P35:P39"/>
    <mergeCell ref="Q35:Q39"/>
    <mergeCell ref="R35:R39"/>
    <mergeCell ref="S35:S39"/>
    <mergeCell ref="G35:G39"/>
    <mergeCell ref="H35:H39"/>
    <mergeCell ref="J35:J39"/>
    <mergeCell ref="K35:K39"/>
    <mergeCell ref="L35:L39"/>
    <mergeCell ref="M35:M39"/>
    <mergeCell ref="N35:N39"/>
    <mergeCell ref="E30:E34"/>
    <mergeCell ref="E40:E44"/>
    <mergeCell ref="F40:F44"/>
    <mergeCell ref="G40:G44"/>
    <mergeCell ref="O40:O44"/>
    <mergeCell ref="P40:P44"/>
    <mergeCell ref="Q40:Q44"/>
    <mergeCell ref="R40:R44"/>
    <mergeCell ref="S40:S44"/>
    <mergeCell ref="H40:H44"/>
    <mergeCell ref="I40:I44"/>
    <mergeCell ref="J40:J44"/>
    <mergeCell ref="K40:K44"/>
    <mergeCell ref="L40:L44"/>
    <mergeCell ref="M40:M44"/>
    <mergeCell ref="N40:N44"/>
    <mergeCell ref="E45:E49"/>
    <mergeCell ref="F45:F49"/>
    <mergeCell ref="O45:O49"/>
    <mergeCell ref="P45:P49"/>
    <mergeCell ref="Q45:Q49"/>
    <mergeCell ref="R45:R49"/>
    <mergeCell ref="S45:S49"/>
    <mergeCell ref="G45:G49"/>
    <mergeCell ref="H45:H49"/>
    <mergeCell ref="J45:J49"/>
    <mergeCell ref="K45:K49"/>
    <mergeCell ref="L45:L49"/>
    <mergeCell ref="M45:M49"/>
    <mergeCell ref="N45:N49"/>
    <mergeCell ref="X5:X6"/>
    <mergeCell ref="Y5:Y6"/>
    <mergeCell ref="O5:O7"/>
    <mergeCell ref="P5:P7"/>
    <mergeCell ref="Q5:Q7"/>
    <mergeCell ref="R5:R7"/>
    <mergeCell ref="S5:S7"/>
    <mergeCell ref="V5:V6"/>
    <mergeCell ref="W5:W6"/>
    <mergeCell ref="Q8:Q10"/>
    <mergeCell ref="R8:R10"/>
    <mergeCell ref="J8:J10"/>
    <mergeCell ref="K8:K10"/>
    <mergeCell ref="L8:L10"/>
    <mergeCell ref="M8:M10"/>
    <mergeCell ref="N8:N10"/>
    <mergeCell ref="O8:O10"/>
    <mergeCell ref="P8:P10"/>
    <mergeCell ref="F1:L1"/>
    <mergeCell ref="F2:G2"/>
    <mergeCell ref="I2:J2"/>
    <mergeCell ref="M2:Q2"/>
    <mergeCell ref="N3:Q3"/>
    <mergeCell ref="S8:S10"/>
    <mergeCell ref="R3:R4"/>
    <mergeCell ref="S3:S4"/>
    <mergeCell ref="V3:AB4"/>
    <mergeCell ref="A1:A4"/>
    <mergeCell ref="B1:B4"/>
    <mergeCell ref="C1:C4"/>
    <mergeCell ref="D1:D4"/>
    <mergeCell ref="E1:E4"/>
    <mergeCell ref="M1:S1"/>
    <mergeCell ref="L3:L4"/>
    <mergeCell ref="E5:E7"/>
    <mergeCell ref="E8:E10"/>
    <mergeCell ref="J3:J4"/>
    <mergeCell ref="K3:K4"/>
    <mergeCell ref="J5:J7"/>
    <mergeCell ref="K5:K7"/>
    <mergeCell ref="L5:L7"/>
    <mergeCell ref="M5:M7"/>
    <mergeCell ref="N5:N7"/>
    <mergeCell ref="AC8:AC10"/>
    <mergeCell ref="AD8:AD10"/>
    <mergeCell ref="AE8:AE10"/>
    <mergeCell ref="AF8:AF10"/>
    <mergeCell ref="AA1:AF1"/>
    <mergeCell ref="AA2:AD2"/>
    <mergeCell ref="AF2:AF4"/>
    <mergeCell ref="AC3:AC4"/>
    <mergeCell ref="AD3:AD4"/>
    <mergeCell ref="AE3:AE4"/>
    <mergeCell ref="Z5:Z6"/>
    <mergeCell ref="M17:M19"/>
    <mergeCell ref="N17:N19"/>
    <mergeCell ref="F17:F19"/>
    <mergeCell ref="G17:G19"/>
    <mergeCell ref="H17:H19"/>
    <mergeCell ref="I17:I19"/>
    <mergeCell ref="J17:J19"/>
    <mergeCell ref="K17:K19"/>
    <mergeCell ref="L17:L19"/>
    <mergeCell ref="Y42:Y46"/>
    <mergeCell ref="Z42:Z46"/>
    <mergeCell ref="AA42:AA46"/>
    <mergeCell ref="AB42:AB46"/>
    <mergeCell ref="AC45:AC49"/>
    <mergeCell ref="AD45:AD49"/>
    <mergeCell ref="AE45:AE49"/>
    <mergeCell ref="AF45:AF49"/>
    <mergeCell ref="V42:V46"/>
    <mergeCell ref="V47:V51"/>
    <mergeCell ref="W47:W51"/>
    <mergeCell ref="X47:X51"/>
    <mergeCell ref="Y47:Y51"/>
    <mergeCell ref="Z47:Z51"/>
    <mergeCell ref="AA47:AA51"/>
    <mergeCell ref="K14:K16"/>
    <mergeCell ref="L14:L16"/>
    <mergeCell ref="M14:M16"/>
    <mergeCell ref="N14:N16"/>
    <mergeCell ref="O14:O16"/>
    <mergeCell ref="P14:P16"/>
    <mergeCell ref="Q14:Q16"/>
    <mergeCell ref="AA32:AA36"/>
    <mergeCell ref="AB32:AB36"/>
    <mergeCell ref="AC35:AC39"/>
    <mergeCell ref="AD35:AD39"/>
    <mergeCell ref="AE35:AE39"/>
    <mergeCell ref="AF35:AF39"/>
    <mergeCell ref="R14:R16"/>
    <mergeCell ref="S14:S16"/>
    <mergeCell ref="AC30:AC34"/>
    <mergeCell ref="AD30:AD34"/>
    <mergeCell ref="AE30:AE34"/>
    <mergeCell ref="AF30:AF34"/>
    <mergeCell ref="V32:V36"/>
    <mergeCell ref="AD40:AD44"/>
    <mergeCell ref="AE40:AE44"/>
    <mergeCell ref="AF40:AF44"/>
    <mergeCell ref="Y32:Y36"/>
    <mergeCell ref="Z32:Z36"/>
    <mergeCell ref="Y37:Y41"/>
    <mergeCell ref="Z37:Z41"/>
    <mergeCell ref="AA37:AA41"/>
    <mergeCell ref="AB37:AB41"/>
    <mergeCell ref="AC40:AC44"/>
    <mergeCell ref="AB47:AB51"/>
    <mergeCell ref="AC50:AC54"/>
    <mergeCell ref="AD50:AD54"/>
    <mergeCell ref="AE50:AE54"/>
    <mergeCell ref="AF50:AF54"/>
    <mergeCell ref="V52:V56"/>
    <mergeCell ref="W52:W56"/>
    <mergeCell ref="X52:X56"/>
    <mergeCell ref="Y52:Y56"/>
    <mergeCell ref="Z52:Z56"/>
    <mergeCell ref="AA52:AA56"/>
    <mergeCell ref="AB52:AB56"/>
    <mergeCell ref="W32:W36"/>
    <mergeCell ref="X32:X36"/>
    <mergeCell ref="V37:V41"/>
    <mergeCell ref="W37:W41"/>
    <mergeCell ref="X37:X41"/>
    <mergeCell ref="W42:W46"/>
    <mergeCell ref="X42:X46"/>
    <mergeCell ref="AA81:AA83"/>
    <mergeCell ref="AB81:AB83"/>
    <mergeCell ref="AC81:AC83"/>
    <mergeCell ref="AD81:AD83"/>
    <mergeCell ref="AE81:AE83"/>
    <mergeCell ref="AF81:AF83"/>
    <mergeCell ref="T81:T83"/>
    <mergeCell ref="U81:U83"/>
    <mergeCell ref="V81:V83"/>
    <mergeCell ref="W81:W83"/>
    <mergeCell ref="X81:X83"/>
    <mergeCell ref="Y81:Y83"/>
    <mergeCell ref="Z81:Z83"/>
    <mergeCell ref="Z93:Z95"/>
    <mergeCell ref="AA93:AA95"/>
    <mergeCell ref="AB93:AB95"/>
    <mergeCell ref="AC93:AC95"/>
    <mergeCell ref="AD93:AD95"/>
    <mergeCell ref="AE93:AE95"/>
    <mergeCell ref="AF93:AF95"/>
    <mergeCell ref="Y93:Y95"/>
    <mergeCell ref="Y96:Y98"/>
    <mergeCell ref="Z96:Z98"/>
    <mergeCell ref="AA96:AA98"/>
    <mergeCell ref="AB96:AB98"/>
    <mergeCell ref="AC96:AC98"/>
    <mergeCell ref="AD96:AD98"/>
    <mergeCell ref="U99:U101"/>
    <mergeCell ref="V99:V101"/>
    <mergeCell ref="N99:N101"/>
    <mergeCell ref="O99:O101"/>
    <mergeCell ref="P99:P101"/>
    <mergeCell ref="Q99:Q101"/>
    <mergeCell ref="R99:R101"/>
    <mergeCell ref="S99:S101"/>
    <mergeCell ref="T99:T101"/>
    <mergeCell ref="AD99:AD101"/>
    <mergeCell ref="AE99:AE101"/>
    <mergeCell ref="W99:W101"/>
    <mergeCell ref="X99:X101"/>
    <mergeCell ref="Y99:Y101"/>
    <mergeCell ref="Z99:Z101"/>
    <mergeCell ref="AA99:AA101"/>
    <mergeCell ref="AB99:AB101"/>
    <mergeCell ref="AC99:AC101"/>
    <mergeCell ref="K93:K95"/>
    <mergeCell ref="L93:L95"/>
    <mergeCell ref="M93:M95"/>
    <mergeCell ref="N93:N95"/>
    <mergeCell ref="O93:O95"/>
    <mergeCell ref="P93:P95"/>
    <mergeCell ref="Q93:Q95"/>
    <mergeCell ref="R93:R95"/>
    <mergeCell ref="S93:S95"/>
    <mergeCell ref="T93:T95"/>
    <mergeCell ref="U93:U95"/>
    <mergeCell ref="V93:V95"/>
    <mergeCell ref="W93:W95"/>
    <mergeCell ref="X93:X95"/>
    <mergeCell ref="E96:E98"/>
    <mergeCell ref="F96:F98"/>
    <mergeCell ref="G96:G98"/>
    <mergeCell ref="H96:H98"/>
    <mergeCell ref="I96:I98"/>
    <mergeCell ref="J96:J98"/>
    <mergeCell ref="K96:K98"/>
    <mergeCell ref="L96:L98"/>
    <mergeCell ref="M96:M98"/>
    <mergeCell ref="N96:N98"/>
    <mergeCell ref="O96:O98"/>
    <mergeCell ref="AE96:AE98"/>
    <mergeCell ref="AF96:AF98"/>
    <mergeCell ref="AF99:AF101"/>
    <mergeCell ref="E99:E101"/>
    <mergeCell ref="F99:F101"/>
    <mergeCell ref="I99:I101"/>
    <mergeCell ref="J99:J101"/>
    <mergeCell ref="K99:K101"/>
    <mergeCell ref="L99:L101"/>
    <mergeCell ref="M99:M101"/>
    <mergeCell ref="G99:G101"/>
    <mergeCell ref="H99:H101"/>
    <mergeCell ref="E102:E104"/>
    <mergeCell ref="F102:F104"/>
    <mergeCell ref="G102:G104"/>
    <mergeCell ref="H102:H104"/>
    <mergeCell ref="I102:I104"/>
    <mergeCell ref="J102:J104"/>
    <mergeCell ref="K102:K104"/>
    <mergeCell ref="L102:L104"/>
    <mergeCell ref="M102:M104"/>
    <mergeCell ref="N102:N104"/>
    <mergeCell ref="O102:O104"/>
    <mergeCell ref="P102:P104"/>
    <mergeCell ref="Q102:Q104"/>
    <mergeCell ref="R102:R104"/>
    <mergeCell ref="S102:S104"/>
    <mergeCell ref="T102:T104"/>
    <mergeCell ref="U102:U104"/>
    <mergeCell ref="V102:V104"/>
    <mergeCell ref="AD102:AD104"/>
    <mergeCell ref="AE102:AE104"/>
    <mergeCell ref="AF102:AF104"/>
    <mergeCell ref="W102:W104"/>
    <mergeCell ref="X102:X104"/>
    <mergeCell ref="Y102:Y104"/>
    <mergeCell ref="Z102:Z104"/>
    <mergeCell ref="AA102:AA104"/>
    <mergeCell ref="AB102:AB104"/>
    <mergeCell ref="AC102:AC104"/>
    <mergeCell ref="V154:V156"/>
    <mergeCell ref="W154:W156"/>
    <mergeCell ref="O154:O156"/>
    <mergeCell ref="P154:P156"/>
    <mergeCell ref="Q154:Q156"/>
    <mergeCell ref="R154:R156"/>
    <mergeCell ref="S154:S156"/>
    <mergeCell ref="T154:T156"/>
    <mergeCell ref="U154:U156"/>
    <mergeCell ref="AE154:AE156"/>
    <mergeCell ref="AF154:AF156"/>
    <mergeCell ref="X154:X156"/>
    <mergeCell ref="Y154:Y156"/>
    <mergeCell ref="Z154:Z156"/>
    <mergeCell ref="AA154:AA156"/>
    <mergeCell ref="AB154:AB156"/>
    <mergeCell ref="AC154:AC156"/>
    <mergeCell ref="AD154:AD156"/>
    <mergeCell ref="G105:G107"/>
    <mergeCell ref="H105:H107"/>
    <mergeCell ref="D93:D107"/>
    <mergeCell ref="E93:E95"/>
    <mergeCell ref="F93:F95"/>
    <mergeCell ref="G93:G95"/>
    <mergeCell ref="H93:H95"/>
    <mergeCell ref="I93:I95"/>
    <mergeCell ref="J93:J95"/>
    <mergeCell ref="I105:I107"/>
    <mergeCell ref="J105:J107"/>
    <mergeCell ref="K105:K107"/>
    <mergeCell ref="L105:L107"/>
    <mergeCell ref="M105:M107"/>
    <mergeCell ref="N105:N107"/>
    <mergeCell ref="O105:O107"/>
    <mergeCell ref="P105:P107"/>
    <mergeCell ref="Q105:Q107"/>
    <mergeCell ref="R105:R107"/>
    <mergeCell ref="S105:S107"/>
    <mergeCell ref="T105:T107"/>
    <mergeCell ref="U105:U107"/>
    <mergeCell ref="V105:V107"/>
    <mergeCell ref="AD105:AD107"/>
    <mergeCell ref="AE105:AE107"/>
    <mergeCell ref="AF105:AF107"/>
    <mergeCell ref="W105:W107"/>
    <mergeCell ref="X105:X107"/>
    <mergeCell ref="Y105:Y107"/>
    <mergeCell ref="Z105:Z107"/>
    <mergeCell ref="AA105:AA107"/>
    <mergeCell ref="AB105:AB107"/>
    <mergeCell ref="AC105:AC107"/>
    <mergeCell ref="H154:H156"/>
    <mergeCell ref="I154:I156"/>
    <mergeCell ref="J154:J156"/>
    <mergeCell ref="K154:K156"/>
    <mergeCell ref="L154:L156"/>
    <mergeCell ref="M154:M156"/>
    <mergeCell ref="N154:N156"/>
    <mergeCell ref="AC160:AC162"/>
    <mergeCell ref="AD160:AD162"/>
    <mergeCell ref="V160:V162"/>
    <mergeCell ref="W160:W162"/>
    <mergeCell ref="X160:X162"/>
    <mergeCell ref="Y160:Y162"/>
    <mergeCell ref="Z160:Z162"/>
    <mergeCell ref="AA160:AA162"/>
    <mergeCell ref="AB160:AB162"/>
    <mergeCell ref="T163:T165"/>
    <mergeCell ref="U163:U165"/>
    <mergeCell ref="M163:M165"/>
    <mergeCell ref="N163:N165"/>
    <mergeCell ref="O163:O165"/>
    <mergeCell ref="P163:P165"/>
    <mergeCell ref="Q163:Q165"/>
    <mergeCell ref="R163:R165"/>
    <mergeCell ref="S163:S165"/>
    <mergeCell ref="L166:L168"/>
    <mergeCell ref="M166:M168"/>
    <mergeCell ref="N166:N168"/>
    <mergeCell ref="O166:O168"/>
    <mergeCell ref="P166:P168"/>
    <mergeCell ref="Q166:Q168"/>
    <mergeCell ref="R166:R168"/>
    <mergeCell ref="Z166:Z168"/>
    <mergeCell ref="AA166:AA168"/>
    <mergeCell ref="AB166:AB168"/>
    <mergeCell ref="AC166:AC168"/>
    <mergeCell ref="AD166:AD168"/>
    <mergeCell ref="AE166:AE168"/>
    <mergeCell ref="AF166:AF168"/>
    <mergeCell ref="S166:S168"/>
    <mergeCell ref="T166:T168"/>
    <mergeCell ref="U166:U168"/>
    <mergeCell ref="V166:V168"/>
    <mergeCell ref="W166:W168"/>
    <mergeCell ref="X166:X168"/>
    <mergeCell ref="Y166:Y168"/>
    <mergeCell ref="AC163:AC165"/>
    <mergeCell ref="AD163:AD165"/>
    <mergeCell ref="V163:V165"/>
    <mergeCell ref="W163:W165"/>
    <mergeCell ref="X163:X165"/>
    <mergeCell ref="Y163:Y165"/>
    <mergeCell ref="Z163:Z165"/>
    <mergeCell ref="AA163:AA165"/>
    <mergeCell ref="AB163:AB165"/>
    <mergeCell ref="M172:M174"/>
    <mergeCell ref="N172:N174"/>
    <mergeCell ref="F172:F174"/>
    <mergeCell ref="G172:G174"/>
    <mergeCell ref="H172:H174"/>
    <mergeCell ref="I172:I174"/>
    <mergeCell ref="J172:J174"/>
    <mergeCell ref="K172:K174"/>
    <mergeCell ref="L172:L174"/>
    <mergeCell ref="V172:V174"/>
    <mergeCell ref="W172:W174"/>
    <mergeCell ref="O172:O174"/>
    <mergeCell ref="P172:P174"/>
    <mergeCell ref="Q172:Q174"/>
    <mergeCell ref="R172:R174"/>
    <mergeCell ref="S172:S174"/>
    <mergeCell ref="T172:T174"/>
    <mergeCell ref="U172:U174"/>
    <mergeCell ref="AE172:AE174"/>
    <mergeCell ref="AF172:AF174"/>
    <mergeCell ref="X172:X174"/>
    <mergeCell ref="Y172:Y174"/>
    <mergeCell ref="Z172:Z174"/>
    <mergeCell ref="AA172:AA174"/>
    <mergeCell ref="AB172:AB174"/>
    <mergeCell ref="AC172:AC174"/>
    <mergeCell ref="AD172:AD174"/>
    <mergeCell ref="N175:N177"/>
    <mergeCell ref="O175:O177"/>
    <mergeCell ref="G175:G177"/>
    <mergeCell ref="H175:H177"/>
    <mergeCell ref="I175:I177"/>
    <mergeCell ref="J175:J177"/>
    <mergeCell ref="K175:K177"/>
    <mergeCell ref="L175:L177"/>
    <mergeCell ref="M175:M177"/>
    <mergeCell ref="W214:W215"/>
    <mergeCell ref="X214:X215"/>
    <mergeCell ref="P214:P215"/>
    <mergeCell ref="Q214:Q215"/>
    <mergeCell ref="R214:R215"/>
    <mergeCell ref="S214:S215"/>
    <mergeCell ref="T214:T215"/>
    <mergeCell ref="U214:U215"/>
    <mergeCell ref="V214:V215"/>
    <mergeCell ref="E212:E213"/>
    <mergeCell ref="F212:F213"/>
    <mergeCell ref="G212:G213"/>
    <mergeCell ref="H212:H213"/>
    <mergeCell ref="I212:I213"/>
    <mergeCell ref="J212:J213"/>
    <mergeCell ref="K212:K213"/>
    <mergeCell ref="L212:L213"/>
    <mergeCell ref="M212:M213"/>
    <mergeCell ref="N212:N213"/>
    <mergeCell ref="O212:O213"/>
    <mergeCell ref="P212:P213"/>
    <mergeCell ref="Q212:Q213"/>
    <mergeCell ref="R212:R213"/>
    <mergeCell ref="S212:S213"/>
    <mergeCell ref="T212:T213"/>
    <mergeCell ref="U212:U213"/>
    <mergeCell ref="V212:V213"/>
    <mergeCell ref="AD212:AD213"/>
    <mergeCell ref="AE212:AE213"/>
    <mergeCell ref="AF212:AF213"/>
    <mergeCell ref="W212:W213"/>
    <mergeCell ref="X212:X213"/>
    <mergeCell ref="Y212:Y213"/>
    <mergeCell ref="Z212:Z213"/>
    <mergeCell ref="AA212:AA213"/>
    <mergeCell ref="AB212:AB213"/>
    <mergeCell ref="AC212:AC213"/>
    <mergeCell ref="E214:E215"/>
    <mergeCell ref="F214:F215"/>
    <mergeCell ref="K214:K215"/>
    <mergeCell ref="L214:L215"/>
    <mergeCell ref="M214:M215"/>
    <mergeCell ref="N214:N215"/>
    <mergeCell ref="O214:O215"/>
  </mergeCells>
  <hyperlinks>
    <hyperlink r:id="rId2" ref="E121"/>
    <hyperlink r:id="rId3" ref="E160"/>
    <hyperlink r:id="rId4" ref="E169"/>
    <hyperlink r:id="rId5" ref="E218"/>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3" max="3" width="47.5"/>
    <col customWidth="1" min="5" max="5" width="70.13"/>
    <col customWidth="1" min="6" max="6" width="46.63"/>
  </cols>
  <sheetData>
    <row r="1">
      <c r="A1" s="568" t="s">
        <v>3</v>
      </c>
      <c r="B1" s="568" t="s">
        <v>4</v>
      </c>
      <c r="C1" s="568" t="s">
        <v>5</v>
      </c>
      <c r="D1" s="569" t="s">
        <v>907</v>
      </c>
      <c r="E1" s="570" t="s">
        <v>715</v>
      </c>
      <c r="F1" s="570" t="s">
        <v>908</v>
      </c>
      <c r="G1" s="571" t="s">
        <v>909</v>
      </c>
      <c r="H1" s="572" t="s">
        <v>910</v>
      </c>
      <c r="I1" s="23"/>
      <c r="J1" s="571" t="s">
        <v>911</v>
      </c>
      <c r="K1" s="573" t="s">
        <v>912</v>
      </c>
      <c r="L1" s="19"/>
      <c r="M1" s="19"/>
      <c r="N1" s="19"/>
      <c r="O1" s="19"/>
      <c r="P1" s="19"/>
      <c r="Q1" s="20"/>
      <c r="R1" s="574"/>
      <c r="S1" s="575"/>
      <c r="T1" s="574"/>
      <c r="U1" s="574"/>
    </row>
    <row r="2">
      <c r="A2" s="27"/>
      <c r="B2" s="27"/>
      <c r="C2" s="27"/>
      <c r="D2" s="27"/>
      <c r="E2" s="27"/>
      <c r="F2" s="27"/>
      <c r="G2" s="27"/>
      <c r="H2" s="541"/>
      <c r="I2" s="576"/>
      <c r="J2" s="27"/>
      <c r="K2" s="577">
        <v>45723.0</v>
      </c>
      <c r="L2" s="20"/>
      <c r="M2" s="577">
        <v>45937.0</v>
      </c>
      <c r="N2" s="20"/>
      <c r="O2" s="578" t="s">
        <v>913</v>
      </c>
      <c r="P2" s="579" t="s">
        <v>914</v>
      </c>
      <c r="Q2" s="20"/>
      <c r="R2" s="579" t="s">
        <v>915</v>
      </c>
      <c r="S2" s="19"/>
      <c r="T2" s="20"/>
      <c r="U2" s="580"/>
    </row>
    <row r="3">
      <c r="A3" s="40"/>
      <c r="B3" s="40"/>
      <c r="C3" s="40"/>
      <c r="D3" s="40"/>
      <c r="E3" s="40"/>
      <c r="F3" s="40"/>
      <c r="G3" s="40"/>
      <c r="H3" s="30"/>
      <c r="I3" s="31"/>
      <c r="J3" s="40"/>
      <c r="K3" s="581" t="s">
        <v>916</v>
      </c>
      <c r="L3" s="581" t="s">
        <v>917</v>
      </c>
      <c r="M3" s="581" t="s">
        <v>916</v>
      </c>
      <c r="N3" s="581" t="s">
        <v>917</v>
      </c>
      <c r="O3" s="582"/>
      <c r="P3" s="583" t="s">
        <v>916</v>
      </c>
      <c r="Q3" s="583" t="s">
        <v>917</v>
      </c>
      <c r="R3" s="583" t="s">
        <v>916</v>
      </c>
      <c r="S3" s="583" t="s">
        <v>917</v>
      </c>
      <c r="T3" s="583" t="s">
        <v>911</v>
      </c>
      <c r="U3" s="584"/>
    </row>
    <row r="4">
      <c r="A4" s="585">
        <v>1.0</v>
      </c>
      <c r="B4" s="586" t="s">
        <v>683</v>
      </c>
      <c r="C4" s="586" t="s">
        <v>35</v>
      </c>
      <c r="D4" s="587" t="s">
        <v>732</v>
      </c>
      <c r="E4" s="588" t="s">
        <v>733</v>
      </c>
      <c r="F4" s="589">
        <v>8.1224267781E10</v>
      </c>
      <c r="G4" s="589" t="s">
        <v>918</v>
      </c>
      <c r="H4" s="590">
        <v>8.0</v>
      </c>
      <c r="I4" s="591" t="s">
        <v>919</v>
      </c>
      <c r="J4" s="583" t="s">
        <v>920</v>
      </c>
      <c r="K4" s="581">
        <v>103.0</v>
      </c>
      <c r="L4" s="581">
        <v>57.0</v>
      </c>
      <c r="M4" s="592"/>
      <c r="N4" s="582"/>
      <c r="O4" s="583" t="s">
        <v>921</v>
      </c>
      <c r="P4" s="593"/>
      <c r="Q4" s="593"/>
      <c r="R4" s="594">
        <v>102.0</v>
      </c>
      <c r="S4" s="595"/>
      <c r="T4" s="596"/>
      <c r="U4" s="574"/>
    </row>
    <row r="5">
      <c r="A5" s="585">
        <v>2.0</v>
      </c>
      <c r="B5" s="593"/>
      <c r="C5" s="586" t="s">
        <v>37</v>
      </c>
      <c r="D5" s="27"/>
      <c r="E5" s="27"/>
      <c r="F5" s="27"/>
      <c r="G5" s="27"/>
      <c r="H5" s="590">
        <v>8.0</v>
      </c>
      <c r="I5" s="591" t="s">
        <v>919</v>
      </c>
      <c r="J5" s="583" t="s">
        <v>922</v>
      </c>
      <c r="K5" s="581">
        <v>26.0</v>
      </c>
      <c r="L5" s="581">
        <v>43.0</v>
      </c>
      <c r="M5" s="592"/>
      <c r="N5" s="582"/>
      <c r="O5" s="583" t="s">
        <v>923</v>
      </c>
      <c r="P5" s="593"/>
      <c r="Q5" s="593"/>
      <c r="R5" s="594">
        <v>33.0</v>
      </c>
      <c r="S5" s="595"/>
      <c r="T5" s="596"/>
      <c r="U5" s="574"/>
    </row>
    <row r="6">
      <c r="A6" s="585">
        <v>3.0</v>
      </c>
      <c r="B6" s="593"/>
      <c r="C6" s="586" t="s">
        <v>38</v>
      </c>
      <c r="D6" s="27"/>
      <c r="E6" s="40"/>
      <c r="F6" s="40"/>
      <c r="G6" s="27"/>
      <c r="H6" s="590">
        <v>8.0</v>
      </c>
      <c r="I6" s="591" t="s">
        <v>919</v>
      </c>
      <c r="J6" s="583" t="s">
        <v>924</v>
      </c>
      <c r="K6" s="581">
        <v>261.0</v>
      </c>
      <c r="L6" s="581">
        <v>15.0</v>
      </c>
      <c r="M6" s="592"/>
      <c r="N6" s="582"/>
      <c r="O6" s="583" t="s">
        <v>925</v>
      </c>
      <c r="P6" s="593"/>
      <c r="Q6" s="593"/>
      <c r="R6" s="594">
        <v>254.0</v>
      </c>
      <c r="S6" s="595"/>
      <c r="T6" s="596"/>
      <c r="U6" s="574"/>
    </row>
    <row r="7">
      <c r="A7" s="585">
        <v>4.0</v>
      </c>
      <c r="B7" s="593"/>
      <c r="C7" s="586" t="s">
        <v>39</v>
      </c>
      <c r="D7" s="27"/>
      <c r="E7" s="588" t="s">
        <v>741</v>
      </c>
      <c r="F7" s="597">
        <v>8.5961089221E10</v>
      </c>
      <c r="G7" s="27"/>
      <c r="H7" s="598">
        <v>4.0</v>
      </c>
      <c r="I7" s="599" t="s">
        <v>926</v>
      </c>
      <c r="J7" s="582"/>
      <c r="K7" s="581">
        <v>132.0</v>
      </c>
      <c r="L7" s="581">
        <v>127.0</v>
      </c>
      <c r="M7" s="581">
        <v>197.0</v>
      </c>
      <c r="N7" s="581">
        <v>248.0</v>
      </c>
      <c r="O7" s="583" t="s">
        <v>927</v>
      </c>
      <c r="P7" s="593"/>
      <c r="Q7" s="593"/>
      <c r="R7" s="594">
        <v>197.0</v>
      </c>
      <c r="S7" s="600">
        <v>248.0</v>
      </c>
      <c r="T7" s="596"/>
      <c r="U7" s="574"/>
    </row>
    <row r="8">
      <c r="A8" s="585">
        <v>5.0</v>
      </c>
      <c r="B8" s="593"/>
      <c r="C8" s="586" t="s">
        <v>42</v>
      </c>
      <c r="D8" s="27"/>
      <c r="E8" s="27"/>
      <c r="F8" s="27"/>
      <c r="G8" s="27"/>
      <c r="H8" s="598">
        <v>4.0</v>
      </c>
      <c r="I8" s="599" t="s">
        <v>926</v>
      </c>
      <c r="J8" s="601"/>
      <c r="K8" s="581">
        <v>31.0</v>
      </c>
      <c r="L8" s="581" t="s">
        <v>928</v>
      </c>
      <c r="M8" s="581">
        <v>64.0</v>
      </c>
      <c r="N8" s="581">
        <v>33.0</v>
      </c>
      <c r="O8" s="583" t="s">
        <v>929</v>
      </c>
      <c r="P8" s="593"/>
      <c r="Q8" s="593"/>
      <c r="R8" s="594">
        <v>76.0</v>
      </c>
      <c r="S8" s="600">
        <v>33.0</v>
      </c>
      <c r="T8" s="596"/>
      <c r="U8" s="574"/>
    </row>
    <row r="9">
      <c r="A9" s="585">
        <v>6.0</v>
      </c>
      <c r="B9" s="593"/>
      <c r="C9" s="586" t="s">
        <v>43</v>
      </c>
      <c r="D9" s="27"/>
      <c r="E9" s="40"/>
      <c r="F9" s="40"/>
      <c r="G9" s="27"/>
      <c r="H9" s="598">
        <v>4.0</v>
      </c>
      <c r="I9" s="599" t="s">
        <v>926</v>
      </c>
      <c r="J9" s="40"/>
      <c r="K9" s="581">
        <v>2.0</v>
      </c>
      <c r="L9" s="581" t="s">
        <v>928</v>
      </c>
      <c r="M9" s="581">
        <v>2.0</v>
      </c>
      <c r="N9" s="602"/>
      <c r="O9" s="583" t="s">
        <v>930</v>
      </c>
      <c r="P9" s="603" t="s">
        <v>931</v>
      </c>
      <c r="Q9" s="585">
        <v>40.0</v>
      </c>
      <c r="R9" s="594">
        <v>2.0</v>
      </c>
      <c r="S9" s="600">
        <v>40.0</v>
      </c>
      <c r="T9" s="596"/>
      <c r="U9" s="574"/>
    </row>
    <row r="10">
      <c r="A10" s="585">
        <v>7.0</v>
      </c>
      <c r="B10" s="593"/>
      <c r="C10" s="586" t="s">
        <v>44</v>
      </c>
      <c r="D10" s="27"/>
      <c r="E10" s="588" t="s">
        <v>742</v>
      </c>
      <c r="F10" s="597">
        <v>8.1279210748E10</v>
      </c>
      <c r="G10" s="27"/>
      <c r="H10" s="604">
        <v>2.0</v>
      </c>
      <c r="I10" s="605" t="s">
        <v>932</v>
      </c>
      <c r="J10" s="583" t="s">
        <v>933</v>
      </c>
      <c r="K10" s="581">
        <v>76.0</v>
      </c>
      <c r="L10" s="581">
        <v>76.0</v>
      </c>
      <c r="M10" s="585">
        <v>122.0</v>
      </c>
      <c r="N10" s="581">
        <v>76.0</v>
      </c>
      <c r="O10" s="583" t="s">
        <v>934</v>
      </c>
      <c r="P10" s="593"/>
      <c r="Q10" s="593"/>
      <c r="R10" s="594">
        <v>132.0</v>
      </c>
      <c r="S10" s="600">
        <v>132.0</v>
      </c>
      <c r="T10" s="596"/>
      <c r="U10" s="574"/>
    </row>
    <row r="11">
      <c r="A11" s="585">
        <v>8.0</v>
      </c>
      <c r="B11" s="593"/>
      <c r="C11" s="586" t="s">
        <v>47</v>
      </c>
      <c r="D11" s="27"/>
      <c r="E11" s="27"/>
      <c r="F11" s="27"/>
      <c r="G11" s="27"/>
      <c r="H11" s="604">
        <v>2.0</v>
      </c>
      <c r="I11" s="605" t="s">
        <v>932</v>
      </c>
      <c r="J11" s="583" t="s">
        <v>935</v>
      </c>
      <c r="K11" s="581">
        <v>8.0</v>
      </c>
      <c r="L11" s="581">
        <v>8.0</v>
      </c>
      <c r="M11" s="602"/>
      <c r="N11" s="602"/>
      <c r="O11" s="583" t="s">
        <v>936</v>
      </c>
      <c r="P11" s="593"/>
      <c r="Q11" s="593"/>
      <c r="R11" s="594">
        <v>10.0</v>
      </c>
      <c r="S11" s="600">
        <v>10.0</v>
      </c>
      <c r="T11" s="596"/>
      <c r="U11" s="574"/>
    </row>
    <row r="12">
      <c r="A12" s="585">
        <v>9.0</v>
      </c>
      <c r="B12" s="586" t="s">
        <v>684</v>
      </c>
      <c r="C12" s="586" t="s">
        <v>49</v>
      </c>
      <c r="D12" s="27"/>
      <c r="E12" s="40"/>
      <c r="F12" s="40"/>
      <c r="G12" s="27"/>
      <c r="H12" s="604">
        <v>2.0</v>
      </c>
      <c r="I12" s="605" t="s">
        <v>932</v>
      </c>
      <c r="J12" s="583" t="s">
        <v>937</v>
      </c>
      <c r="K12" s="581">
        <v>33.0</v>
      </c>
      <c r="L12" s="581">
        <v>33.0</v>
      </c>
      <c r="M12" s="592"/>
      <c r="N12" s="602"/>
      <c r="O12" s="583" t="s">
        <v>938</v>
      </c>
      <c r="P12" s="593"/>
      <c r="Q12" s="593"/>
      <c r="R12" s="594">
        <v>34.0</v>
      </c>
      <c r="S12" s="600">
        <v>34.0</v>
      </c>
      <c r="T12" s="596"/>
      <c r="U12" s="574"/>
    </row>
    <row r="13">
      <c r="A13" s="585">
        <v>10.0</v>
      </c>
      <c r="B13" s="593"/>
      <c r="C13" s="586" t="s">
        <v>50</v>
      </c>
      <c r="D13" s="27"/>
      <c r="E13" s="588" t="s">
        <v>743</v>
      </c>
      <c r="F13" s="597">
        <v>8.131129972E9</v>
      </c>
      <c r="G13" s="27"/>
      <c r="H13" s="604">
        <v>2.0</v>
      </c>
      <c r="I13" s="605" t="s">
        <v>932</v>
      </c>
      <c r="J13" s="583" t="s">
        <v>939</v>
      </c>
      <c r="K13" s="581">
        <v>55.0</v>
      </c>
      <c r="L13" s="581">
        <v>15.0</v>
      </c>
      <c r="M13" s="585">
        <v>15.0</v>
      </c>
      <c r="N13" s="581">
        <v>15.0</v>
      </c>
      <c r="O13" s="583" t="s">
        <v>936</v>
      </c>
      <c r="P13" s="593"/>
      <c r="Q13" s="593"/>
      <c r="R13" s="594">
        <v>11.0</v>
      </c>
      <c r="S13" s="600">
        <v>11.0</v>
      </c>
      <c r="T13" s="596"/>
      <c r="U13" s="574"/>
    </row>
    <row r="14">
      <c r="A14" s="585">
        <v>11.0</v>
      </c>
      <c r="B14" s="593"/>
      <c r="C14" s="586" t="s">
        <v>51</v>
      </c>
      <c r="D14" s="27"/>
      <c r="E14" s="27"/>
      <c r="F14" s="27"/>
      <c r="G14" s="27"/>
      <c r="H14" s="604">
        <v>2.0</v>
      </c>
      <c r="I14" s="605" t="s">
        <v>932</v>
      </c>
      <c r="J14" s="583" t="s">
        <v>940</v>
      </c>
      <c r="K14" s="581">
        <v>172.0</v>
      </c>
      <c r="L14" s="581" t="s">
        <v>928</v>
      </c>
      <c r="M14" s="592"/>
      <c r="N14" s="581">
        <v>172.0</v>
      </c>
      <c r="O14" s="583" t="s">
        <v>936</v>
      </c>
      <c r="P14" s="593"/>
      <c r="Q14" s="593"/>
      <c r="R14" s="594">
        <v>172.0</v>
      </c>
      <c r="S14" s="600">
        <v>172.0</v>
      </c>
      <c r="T14" s="596"/>
      <c r="U14" s="574"/>
    </row>
    <row r="15">
      <c r="A15" s="585">
        <v>12.0</v>
      </c>
      <c r="B15" s="593"/>
      <c r="C15" s="586" t="s">
        <v>52</v>
      </c>
      <c r="D15" s="27"/>
      <c r="E15" s="40"/>
      <c r="F15" s="40"/>
      <c r="G15" s="27"/>
      <c r="H15" s="604">
        <v>2.0</v>
      </c>
      <c r="I15" s="605" t="s">
        <v>932</v>
      </c>
      <c r="J15" s="583" t="s">
        <v>941</v>
      </c>
      <c r="K15" s="581">
        <v>251.0</v>
      </c>
      <c r="L15" s="581" t="s">
        <v>928</v>
      </c>
      <c r="M15" s="592"/>
      <c r="N15" s="581">
        <v>251.0</v>
      </c>
      <c r="O15" s="583" t="s">
        <v>936</v>
      </c>
      <c r="P15" s="593"/>
      <c r="Q15" s="593"/>
      <c r="R15" s="594">
        <v>230.0</v>
      </c>
      <c r="S15" s="600">
        <v>230.0</v>
      </c>
      <c r="T15" s="596"/>
      <c r="U15" s="574"/>
    </row>
    <row r="16">
      <c r="A16" s="585">
        <v>13.0</v>
      </c>
      <c r="B16" s="593"/>
      <c r="C16" s="586" t="s">
        <v>54</v>
      </c>
      <c r="D16" s="27"/>
      <c r="E16" s="606" t="s">
        <v>744</v>
      </c>
      <c r="F16" s="597">
        <v>8.119408726E9</v>
      </c>
      <c r="G16" s="27"/>
      <c r="H16" s="604">
        <v>2.0</v>
      </c>
      <c r="I16" s="605" t="s">
        <v>932</v>
      </c>
      <c r="J16" s="583" t="s">
        <v>942</v>
      </c>
      <c r="K16" s="581">
        <v>370.0</v>
      </c>
      <c r="L16" s="593"/>
      <c r="M16" s="585">
        <v>518.0</v>
      </c>
      <c r="N16" s="581">
        <v>514.0</v>
      </c>
      <c r="O16" s="583" t="s">
        <v>943</v>
      </c>
      <c r="P16" s="593"/>
      <c r="Q16" s="593"/>
      <c r="R16" s="594">
        <v>536.0</v>
      </c>
      <c r="S16" s="595"/>
      <c r="T16" s="596"/>
      <c r="U16" s="574"/>
    </row>
    <row r="17">
      <c r="A17" s="585">
        <v>14.0</v>
      </c>
      <c r="B17" s="593"/>
      <c r="C17" s="586" t="s">
        <v>56</v>
      </c>
      <c r="D17" s="27"/>
      <c r="E17" s="27"/>
      <c r="F17" s="27"/>
      <c r="G17" s="27"/>
      <c r="H17" s="604">
        <v>2.0</v>
      </c>
      <c r="I17" s="605" t="s">
        <v>932</v>
      </c>
      <c r="J17" s="583" t="s">
        <v>944</v>
      </c>
      <c r="K17" s="581">
        <v>326.0</v>
      </c>
      <c r="L17" s="593"/>
      <c r="M17" s="585">
        <v>84.0</v>
      </c>
      <c r="N17" s="581">
        <v>84.0</v>
      </c>
      <c r="O17" s="583" t="s">
        <v>938</v>
      </c>
      <c r="P17" s="593"/>
      <c r="Q17" s="593"/>
      <c r="R17" s="594">
        <v>76.0</v>
      </c>
      <c r="S17" s="595"/>
      <c r="T17" s="596"/>
      <c r="U17" s="574"/>
    </row>
    <row r="18">
      <c r="A18" s="585">
        <v>15.0</v>
      </c>
      <c r="B18" s="593"/>
      <c r="C18" s="586" t="s">
        <v>57</v>
      </c>
      <c r="D18" s="27"/>
      <c r="E18" s="40"/>
      <c r="F18" s="40"/>
      <c r="G18" s="27"/>
      <c r="H18" s="604">
        <v>2.0</v>
      </c>
      <c r="I18" s="605" t="s">
        <v>932</v>
      </c>
      <c r="J18" s="583" t="s">
        <v>942</v>
      </c>
      <c r="K18" s="581">
        <v>78.0</v>
      </c>
      <c r="L18" s="593"/>
      <c r="M18" s="585">
        <v>54.0</v>
      </c>
      <c r="N18" s="581">
        <v>54.0</v>
      </c>
      <c r="O18" s="583" t="s">
        <v>936</v>
      </c>
      <c r="P18" s="586" t="s">
        <v>945</v>
      </c>
      <c r="Q18" s="593"/>
      <c r="R18" s="594">
        <v>51.0</v>
      </c>
      <c r="S18" s="595"/>
      <c r="T18" s="596"/>
      <c r="U18" s="574"/>
    </row>
    <row r="19">
      <c r="A19" s="585">
        <v>16.0</v>
      </c>
      <c r="B19" s="593"/>
      <c r="C19" s="586" t="s">
        <v>58</v>
      </c>
      <c r="D19" s="27"/>
      <c r="E19" s="606" t="s">
        <v>745</v>
      </c>
      <c r="F19" s="597">
        <v>8.17451317E8</v>
      </c>
      <c r="G19" s="27"/>
      <c r="H19" s="604">
        <v>2.0</v>
      </c>
      <c r="I19" s="605" t="s">
        <v>932</v>
      </c>
      <c r="J19" s="583" t="s">
        <v>946</v>
      </c>
      <c r="K19" s="581">
        <v>2750.0</v>
      </c>
      <c r="L19" s="593"/>
      <c r="M19" s="585">
        <v>2716.0</v>
      </c>
      <c r="N19" s="585">
        <v>2716.0</v>
      </c>
      <c r="O19" s="583" t="s">
        <v>936</v>
      </c>
      <c r="P19" s="586" t="s">
        <v>945</v>
      </c>
      <c r="Q19" s="593"/>
      <c r="R19" s="594">
        <v>2973.0</v>
      </c>
      <c r="S19" s="595"/>
      <c r="T19" s="596"/>
      <c r="U19" s="574"/>
    </row>
    <row r="20">
      <c r="A20" s="585">
        <v>17.0</v>
      </c>
      <c r="B20" s="593"/>
      <c r="C20" s="586" t="s">
        <v>59</v>
      </c>
      <c r="D20" s="27"/>
      <c r="E20" s="27"/>
      <c r="F20" s="27"/>
      <c r="G20" s="27"/>
      <c r="H20" s="604">
        <v>2.0</v>
      </c>
      <c r="I20" s="605" t="s">
        <v>932</v>
      </c>
      <c r="J20" s="583" t="s">
        <v>947</v>
      </c>
      <c r="K20" s="581">
        <v>219.0</v>
      </c>
      <c r="L20" s="593"/>
      <c r="M20" s="592"/>
      <c r="N20" s="602"/>
      <c r="O20" s="583" t="s">
        <v>948</v>
      </c>
      <c r="P20" s="593"/>
      <c r="Q20" s="593"/>
      <c r="R20" s="594">
        <v>239.0</v>
      </c>
      <c r="S20" s="595"/>
      <c r="T20" s="596"/>
      <c r="U20" s="574"/>
    </row>
    <row r="21">
      <c r="A21" s="585">
        <v>18.0</v>
      </c>
      <c r="B21" s="593"/>
      <c r="C21" s="586" t="s">
        <v>60</v>
      </c>
      <c r="D21" s="40"/>
      <c r="E21" s="40"/>
      <c r="F21" s="40"/>
      <c r="G21" s="27"/>
      <c r="H21" s="604">
        <v>2.0</v>
      </c>
      <c r="I21" s="605" t="s">
        <v>932</v>
      </c>
      <c r="J21" s="583" t="s">
        <v>949</v>
      </c>
      <c r="K21" s="581">
        <v>156.0</v>
      </c>
      <c r="L21" s="593"/>
      <c r="M21" s="592"/>
      <c r="N21" s="602"/>
      <c r="O21" s="583" t="s">
        <v>950</v>
      </c>
      <c r="P21" s="593"/>
      <c r="Q21" s="593"/>
      <c r="R21" s="594">
        <v>157.0</v>
      </c>
      <c r="S21" s="595"/>
      <c r="T21" s="596"/>
      <c r="U21" s="574"/>
    </row>
    <row r="22">
      <c r="A22" s="585">
        <v>19.0</v>
      </c>
      <c r="B22" s="593"/>
      <c r="C22" s="586" t="s">
        <v>63</v>
      </c>
      <c r="D22" s="587" t="s">
        <v>746</v>
      </c>
      <c r="E22" s="583" t="s">
        <v>747</v>
      </c>
      <c r="F22" s="581">
        <v>8.1283804022E10</v>
      </c>
      <c r="G22" s="27"/>
      <c r="H22" s="604">
        <v>2.0</v>
      </c>
      <c r="I22" s="605" t="s">
        <v>932</v>
      </c>
      <c r="J22" s="583" t="s">
        <v>951</v>
      </c>
      <c r="K22" s="593"/>
      <c r="L22" s="593"/>
      <c r="M22" s="592"/>
      <c r="N22" s="581">
        <v>10.0</v>
      </c>
      <c r="O22" s="583" t="s">
        <v>952</v>
      </c>
      <c r="P22" s="593"/>
      <c r="Q22" s="593"/>
      <c r="R22" s="594">
        <v>18.0</v>
      </c>
      <c r="S22" s="595"/>
      <c r="T22" s="596"/>
      <c r="U22" s="574"/>
    </row>
    <row r="23">
      <c r="A23" s="585">
        <v>20.0</v>
      </c>
      <c r="B23" s="593"/>
      <c r="C23" s="586" t="s">
        <v>65</v>
      </c>
      <c r="D23" s="27"/>
      <c r="E23" s="607" t="s">
        <v>748</v>
      </c>
      <c r="F23" s="581" t="s">
        <v>0</v>
      </c>
      <c r="G23" s="27"/>
      <c r="H23" s="604">
        <v>2.0</v>
      </c>
      <c r="I23" s="605" t="s">
        <v>932</v>
      </c>
      <c r="J23" s="593"/>
      <c r="K23" s="581">
        <v>0.0</v>
      </c>
      <c r="L23" s="593"/>
      <c r="M23" s="592"/>
      <c r="N23" s="602"/>
      <c r="O23" s="583" t="s">
        <v>953</v>
      </c>
      <c r="P23" s="593"/>
      <c r="Q23" s="593"/>
      <c r="R23" s="594">
        <v>61.0</v>
      </c>
      <c r="S23" s="595"/>
      <c r="T23" s="596"/>
      <c r="U23" s="574"/>
    </row>
    <row r="24">
      <c r="A24" s="585">
        <v>21.0</v>
      </c>
      <c r="B24" s="593"/>
      <c r="C24" s="586" t="s">
        <v>67</v>
      </c>
      <c r="D24" s="27"/>
      <c r="E24" s="583" t="s">
        <v>749</v>
      </c>
      <c r="F24" s="581">
        <v>8.5727607603E10</v>
      </c>
      <c r="G24" s="27"/>
      <c r="H24" s="598">
        <v>4.0</v>
      </c>
      <c r="I24" s="599" t="s">
        <v>926</v>
      </c>
      <c r="J24" s="582"/>
      <c r="K24" s="581">
        <v>423.0</v>
      </c>
      <c r="L24" s="581">
        <v>341.0</v>
      </c>
      <c r="M24" s="585">
        <v>423.0</v>
      </c>
      <c r="N24" s="581">
        <v>341.0</v>
      </c>
      <c r="O24" s="583" t="s">
        <v>954</v>
      </c>
      <c r="P24" s="586" t="s">
        <v>955</v>
      </c>
      <c r="Q24" s="585">
        <v>390.0</v>
      </c>
      <c r="R24" s="594">
        <v>427.0</v>
      </c>
      <c r="S24" s="595"/>
      <c r="T24" s="596"/>
      <c r="U24" s="574"/>
    </row>
    <row r="25">
      <c r="A25" s="585">
        <v>22.0</v>
      </c>
      <c r="B25" s="593"/>
      <c r="C25" s="586" t="s">
        <v>69</v>
      </c>
      <c r="D25" s="27"/>
      <c r="E25" s="583" t="s">
        <v>750</v>
      </c>
      <c r="F25" s="581">
        <v>8.113783877E9</v>
      </c>
      <c r="G25" s="27"/>
      <c r="H25" s="604">
        <v>2.0</v>
      </c>
      <c r="I25" s="605" t="s">
        <v>932</v>
      </c>
      <c r="J25" s="583" t="s">
        <v>956</v>
      </c>
      <c r="K25" s="581">
        <v>39.0</v>
      </c>
      <c r="L25" s="585">
        <v>39.0</v>
      </c>
      <c r="M25" s="592"/>
      <c r="N25" s="602"/>
      <c r="O25" s="583" t="s">
        <v>938</v>
      </c>
      <c r="P25" s="593"/>
      <c r="Q25" s="593"/>
      <c r="R25" s="594">
        <v>62.0</v>
      </c>
      <c r="S25" s="595"/>
      <c r="T25" s="596"/>
      <c r="U25" s="574"/>
    </row>
    <row r="26">
      <c r="A26" s="585">
        <v>23.0</v>
      </c>
      <c r="B26" s="593"/>
      <c r="C26" s="586" t="s">
        <v>71</v>
      </c>
      <c r="D26" s="27"/>
      <c r="E26" s="583" t="s">
        <v>751</v>
      </c>
      <c r="F26" s="581">
        <v>8.7734280143E10</v>
      </c>
      <c r="G26" s="27"/>
      <c r="H26" s="604">
        <v>2.0</v>
      </c>
      <c r="I26" s="605" t="s">
        <v>932</v>
      </c>
      <c r="J26" s="583" t="s">
        <v>957</v>
      </c>
      <c r="K26" s="593"/>
      <c r="L26" s="593"/>
      <c r="M26" s="585">
        <v>115.0</v>
      </c>
      <c r="N26" s="581">
        <v>115.0</v>
      </c>
      <c r="O26" s="583" t="s">
        <v>938</v>
      </c>
      <c r="P26" s="593"/>
      <c r="Q26" s="593"/>
      <c r="R26" s="594">
        <v>115.0</v>
      </c>
      <c r="S26" s="595"/>
      <c r="T26" s="596"/>
      <c r="U26" s="574"/>
    </row>
    <row r="27">
      <c r="A27" s="585">
        <v>24.0</v>
      </c>
      <c r="B27" s="593"/>
      <c r="C27" s="586" t="s">
        <v>73</v>
      </c>
      <c r="D27" s="27"/>
      <c r="E27" s="583" t="s">
        <v>752</v>
      </c>
      <c r="F27" s="581">
        <v>8.139003998E10</v>
      </c>
      <c r="G27" s="27"/>
      <c r="H27" s="604">
        <v>2.0</v>
      </c>
      <c r="I27" s="605" t="s">
        <v>932</v>
      </c>
      <c r="J27" s="583" t="s">
        <v>958</v>
      </c>
      <c r="K27" s="581">
        <v>179.0</v>
      </c>
      <c r="L27" s="593"/>
      <c r="M27" s="592"/>
      <c r="N27" s="602"/>
      <c r="O27" s="583" t="s">
        <v>953</v>
      </c>
      <c r="P27" s="586" t="s">
        <v>959</v>
      </c>
      <c r="Q27" s="593"/>
      <c r="R27" s="594">
        <v>184.0</v>
      </c>
      <c r="S27" s="595"/>
      <c r="T27" s="596"/>
      <c r="U27" s="574"/>
    </row>
    <row r="28">
      <c r="A28" s="585">
        <v>25.0</v>
      </c>
      <c r="B28" s="593"/>
      <c r="C28" s="586" t="s">
        <v>76</v>
      </c>
      <c r="D28" s="40"/>
      <c r="E28" s="583" t="s">
        <v>753</v>
      </c>
      <c r="F28" s="608" t="s">
        <v>960</v>
      </c>
      <c r="G28" s="27"/>
      <c r="H28" s="604">
        <v>2.0</v>
      </c>
      <c r="I28" s="605" t="s">
        <v>932</v>
      </c>
      <c r="J28" s="583" t="s">
        <v>961</v>
      </c>
      <c r="K28" s="581">
        <v>213.0</v>
      </c>
      <c r="L28" s="581">
        <v>174.0</v>
      </c>
      <c r="M28" s="592"/>
      <c r="N28" s="602"/>
      <c r="O28" s="583" t="s">
        <v>962</v>
      </c>
      <c r="P28" s="593"/>
      <c r="Q28" s="593"/>
      <c r="R28" s="594">
        <v>229.0</v>
      </c>
      <c r="S28" s="595"/>
      <c r="T28" s="596"/>
      <c r="U28" s="574"/>
    </row>
    <row r="29">
      <c r="A29" s="585">
        <v>26.0</v>
      </c>
      <c r="B29" s="586" t="s">
        <v>79</v>
      </c>
      <c r="C29" s="586" t="s">
        <v>80</v>
      </c>
      <c r="D29" s="587" t="s">
        <v>754</v>
      </c>
      <c r="E29" s="588" t="s">
        <v>755</v>
      </c>
      <c r="F29" s="597">
        <v>8.129957713E9</v>
      </c>
      <c r="G29" s="27"/>
      <c r="H29" s="604">
        <v>2.0</v>
      </c>
      <c r="I29" s="605" t="s">
        <v>932</v>
      </c>
      <c r="J29" s="583" t="s">
        <v>81</v>
      </c>
      <c r="K29" s="581">
        <v>175.0</v>
      </c>
      <c r="L29" s="581" t="s">
        <v>928</v>
      </c>
      <c r="M29" s="592"/>
      <c r="N29" s="602"/>
      <c r="O29" s="583" t="s">
        <v>963</v>
      </c>
      <c r="P29" s="593"/>
      <c r="Q29" s="593"/>
      <c r="R29" s="594">
        <v>186.0</v>
      </c>
      <c r="S29" s="595"/>
      <c r="T29" s="596"/>
      <c r="U29" s="574"/>
    </row>
    <row r="30">
      <c r="A30" s="585">
        <v>27.0</v>
      </c>
      <c r="B30" s="593"/>
      <c r="C30" s="586" t="s">
        <v>82</v>
      </c>
      <c r="D30" s="27"/>
      <c r="E30" s="27"/>
      <c r="F30" s="27"/>
      <c r="G30" s="27"/>
      <c r="H30" s="604">
        <v>2.0</v>
      </c>
      <c r="I30" s="605" t="s">
        <v>932</v>
      </c>
      <c r="J30" s="583" t="s">
        <v>964</v>
      </c>
      <c r="K30" s="581">
        <v>146.0</v>
      </c>
      <c r="L30" s="581">
        <v>146.0</v>
      </c>
      <c r="M30" s="592"/>
      <c r="N30" s="602"/>
      <c r="O30" s="583" t="s">
        <v>938</v>
      </c>
      <c r="P30" s="593"/>
      <c r="Q30" s="593"/>
      <c r="R30" s="594">
        <v>170.0</v>
      </c>
      <c r="S30" s="595"/>
      <c r="T30" s="596"/>
      <c r="U30" s="574"/>
    </row>
    <row r="31">
      <c r="A31" s="585">
        <v>28.0</v>
      </c>
      <c r="B31" s="593"/>
      <c r="C31" s="586" t="s">
        <v>84</v>
      </c>
      <c r="D31" s="27"/>
      <c r="E31" s="27"/>
      <c r="F31" s="27"/>
      <c r="G31" s="27"/>
      <c r="H31" s="604">
        <v>2.0</v>
      </c>
      <c r="I31" s="605" t="s">
        <v>932</v>
      </c>
      <c r="J31" s="583" t="s">
        <v>81</v>
      </c>
      <c r="K31" s="581">
        <v>42.0</v>
      </c>
      <c r="L31" s="581" t="s">
        <v>928</v>
      </c>
      <c r="M31" s="592"/>
      <c r="N31" s="602"/>
      <c r="O31" s="583" t="s">
        <v>963</v>
      </c>
      <c r="P31" s="593"/>
      <c r="Q31" s="593"/>
      <c r="R31" s="594">
        <v>67.0</v>
      </c>
      <c r="S31" s="595"/>
      <c r="T31" s="596"/>
      <c r="U31" s="574"/>
    </row>
    <row r="32">
      <c r="A32" s="585">
        <v>29.0</v>
      </c>
      <c r="B32" s="593"/>
      <c r="C32" s="586" t="s">
        <v>86</v>
      </c>
      <c r="D32" s="27"/>
      <c r="E32" s="27"/>
      <c r="F32" s="27"/>
      <c r="G32" s="27"/>
      <c r="H32" s="604">
        <v>2.0</v>
      </c>
      <c r="I32" s="605" t="s">
        <v>932</v>
      </c>
      <c r="J32" s="583" t="s">
        <v>965</v>
      </c>
      <c r="K32" s="581">
        <v>50.0</v>
      </c>
      <c r="L32" s="581" t="s">
        <v>928</v>
      </c>
      <c r="M32" s="592"/>
      <c r="N32" s="602"/>
      <c r="O32" s="583" t="s">
        <v>966</v>
      </c>
      <c r="P32" s="593"/>
      <c r="Q32" s="593"/>
      <c r="R32" s="594">
        <v>159.0</v>
      </c>
      <c r="S32" s="595"/>
      <c r="T32" s="596"/>
      <c r="U32" s="574"/>
    </row>
    <row r="33">
      <c r="A33" s="585">
        <v>30.0</v>
      </c>
      <c r="B33" s="593"/>
      <c r="C33" s="586" t="s">
        <v>88</v>
      </c>
      <c r="D33" s="27"/>
      <c r="E33" s="40"/>
      <c r="F33" s="40"/>
      <c r="G33" s="27"/>
      <c r="H33" s="604">
        <v>2.0</v>
      </c>
      <c r="I33" s="605" t="s">
        <v>932</v>
      </c>
      <c r="J33" s="583" t="s">
        <v>967</v>
      </c>
      <c r="K33" s="581">
        <v>39.0</v>
      </c>
      <c r="L33" s="581" t="s">
        <v>928</v>
      </c>
      <c r="M33" s="592"/>
      <c r="N33" s="602"/>
      <c r="O33" s="583" t="s">
        <v>963</v>
      </c>
      <c r="P33" s="593"/>
      <c r="Q33" s="593"/>
      <c r="R33" s="594">
        <v>114.0</v>
      </c>
      <c r="S33" s="595"/>
      <c r="T33" s="596"/>
      <c r="U33" s="574"/>
    </row>
    <row r="34">
      <c r="A34" s="585">
        <v>31.0</v>
      </c>
      <c r="B34" s="593"/>
      <c r="C34" s="586" t="s">
        <v>90</v>
      </c>
      <c r="D34" s="27"/>
      <c r="E34" s="588" t="s">
        <v>756</v>
      </c>
      <c r="F34" s="597">
        <v>8.2252909503E10</v>
      </c>
      <c r="G34" s="27"/>
      <c r="H34" s="604">
        <v>2.0</v>
      </c>
      <c r="I34" s="605" t="s">
        <v>932</v>
      </c>
      <c r="J34" s="583" t="s">
        <v>968</v>
      </c>
      <c r="K34" s="609">
        <v>27.0</v>
      </c>
      <c r="L34" s="581" t="s">
        <v>928</v>
      </c>
      <c r="M34" s="592"/>
      <c r="N34" s="602"/>
      <c r="O34" s="583" t="s">
        <v>969</v>
      </c>
      <c r="P34" s="593"/>
      <c r="Q34" s="593"/>
      <c r="R34" s="594">
        <v>27.0</v>
      </c>
      <c r="S34" s="595"/>
      <c r="T34" s="596"/>
      <c r="U34" s="574"/>
    </row>
    <row r="35">
      <c r="A35" s="585">
        <v>32.0</v>
      </c>
      <c r="B35" s="593"/>
      <c r="C35" s="586" t="s">
        <v>92</v>
      </c>
      <c r="D35" s="27"/>
      <c r="E35" s="27"/>
      <c r="F35" s="27"/>
      <c r="G35" s="27"/>
      <c r="H35" s="604">
        <v>2.0</v>
      </c>
      <c r="I35" s="605" t="s">
        <v>932</v>
      </c>
      <c r="J35" s="583" t="s">
        <v>968</v>
      </c>
      <c r="K35" s="609">
        <v>14.0</v>
      </c>
      <c r="L35" s="581" t="s">
        <v>928</v>
      </c>
      <c r="M35" s="592"/>
      <c r="N35" s="602"/>
      <c r="O35" s="583" t="s">
        <v>969</v>
      </c>
      <c r="P35" s="593"/>
      <c r="Q35" s="593"/>
      <c r="R35" s="594">
        <v>72.0</v>
      </c>
      <c r="S35" s="595"/>
      <c r="T35" s="596"/>
      <c r="U35" s="574"/>
    </row>
    <row r="36">
      <c r="A36" s="585">
        <v>33.0</v>
      </c>
      <c r="B36" s="593"/>
      <c r="C36" s="586" t="s">
        <v>94</v>
      </c>
      <c r="D36" s="27"/>
      <c r="E36" s="27"/>
      <c r="F36" s="27"/>
      <c r="G36" s="27"/>
      <c r="H36" s="604">
        <v>2.0</v>
      </c>
      <c r="I36" s="605" t="s">
        <v>932</v>
      </c>
      <c r="J36" s="583" t="s">
        <v>968</v>
      </c>
      <c r="K36" s="609">
        <v>251.0</v>
      </c>
      <c r="L36" s="581" t="s">
        <v>928</v>
      </c>
      <c r="M36" s="592"/>
      <c r="N36" s="602"/>
      <c r="O36" s="583" t="s">
        <v>969</v>
      </c>
      <c r="P36" s="593"/>
      <c r="Q36" s="593"/>
      <c r="R36" s="594">
        <v>267.0</v>
      </c>
      <c r="S36" s="595"/>
      <c r="T36" s="596"/>
      <c r="U36" s="574"/>
    </row>
    <row r="37">
      <c r="A37" s="585">
        <v>34.0</v>
      </c>
      <c r="B37" s="586" t="s">
        <v>686</v>
      </c>
      <c r="C37" s="586" t="s">
        <v>97</v>
      </c>
      <c r="D37" s="27"/>
      <c r="E37" s="27"/>
      <c r="F37" s="27"/>
      <c r="G37" s="27"/>
      <c r="H37" s="604">
        <v>2.0</v>
      </c>
      <c r="I37" s="605" t="s">
        <v>932</v>
      </c>
      <c r="J37" s="583" t="s">
        <v>968</v>
      </c>
      <c r="K37" s="609">
        <v>52.0</v>
      </c>
      <c r="L37" s="581" t="s">
        <v>928</v>
      </c>
      <c r="M37" s="592"/>
      <c r="N37" s="602"/>
      <c r="O37" s="583" t="s">
        <v>970</v>
      </c>
      <c r="P37" s="593"/>
      <c r="Q37" s="593"/>
      <c r="R37" s="594">
        <v>60.0</v>
      </c>
      <c r="S37" s="595"/>
      <c r="T37" s="596"/>
      <c r="U37" s="574"/>
    </row>
    <row r="38">
      <c r="A38" s="585">
        <v>35.0</v>
      </c>
      <c r="B38" s="593"/>
      <c r="C38" s="586" t="s">
        <v>100</v>
      </c>
      <c r="D38" s="27"/>
      <c r="E38" s="40"/>
      <c r="F38" s="40"/>
      <c r="G38" s="27"/>
      <c r="H38" s="604">
        <v>2.0</v>
      </c>
      <c r="I38" s="605" t="s">
        <v>932</v>
      </c>
      <c r="J38" s="583" t="s">
        <v>968</v>
      </c>
      <c r="K38" s="609">
        <v>73.0</v>
      </c>
      <c r="L38" s="581" t="s">
        <v>928</v>
      </c>
      <c r="M38" s="592"/>
      <c r="N38" s="602"/>
      <c r="O38" s="583" t="s">
        <v>971</v>
      </c>
      <c r="P38" s="593"/>
      <c r="Q38" s="593"/>
      <c r="R38" s="594">
        <v>101.0</v>
      </c>
      <c r="S38" s="595"/>
      <c r="T38" s="596"/>
      <c r="U38" s="574"/>
    </row>
    <row r="39">
      <c r="A39" s="585">
        <v>36.0</v>
      </c>
      <c r="B39" s="593"/>
      <c r="C39" s="610" t="s">
        <v>102</v>
      </c>
      <c r="D39" s="27"/>
      <c r="E39" s="588" t="s">
        <v>757</v>
      </c>
      <c r="F39" s="611" t="s">
        <v>972</v>
      </c>
      <c r="G39" s="27"/>
      <c r="H39" s="598">
        <v>4.0</v>
      </c>
      <c r="I39" s="599" t="s">
        <v>926</v>
      </c>
      <c r="J39" s="588" t="s">
        <v>973</v>
      </c>
      <c r="K39" s="581">
        <v>1.0</v>
      </c>
      <c r="L39" s="581" t="s">
        <v>928</v>
      </c>
      <c r="M39" s="609">
        <v>1.0</v>
      </c>
      <c r="N39" s="602"/>
      <c r="O39" s="583" t="s">
        <v>963</v>
      </c>
      <c r="P39" s="593"/>
      <c r="Q39" s="593"/>
      <c r="R39" s="594">
        <v>14.0</v>
      </c>
      <c r="S39" s="595"/>
      <c r="T39" s="596"/>
      <c r="U39" s="574"/>
    </row>
    <row r="40">
      <c r="A40" s="585">
        <v>37.0</v>
      </c>
      <c r="B40" s="593"/>
      <c r="C40" s="610" t="s">
        <v>104</v>
      </c>
      <c r="D40" s="27"/>
      <c r="E40" s="27"/>
      <c r="F40" s="27"/>
      <c r="G40" s="27"/>
      <c r="H40" s="598">
        <v>4.0</v>
      </c>
      <c r="I40" s="599" t="s">
        <v>926</v>
      </c>
      <c r="J40" s="27"/>
      <c r="K40" s="581">
        <v>215.0</v>
      </c>
      <c r="L40" s="581" t="s">
        <v>928</v>
      </c>
      <c r="M40" s="609">
        <v>215.0</v>
      </c>
      <c r="N40" s="602"/>
      <c r="O40" s="583" t="s">
        <v>963</v>
      </c>
      <c r="P40" s="593"/>
      <c r="Q40" s="593"/>
      <c r="R40" s="594">
        <v>233.0</v>
      </c>
      <c r="S40" s="595"/>
      <c r="T40" s="596"/>
      <c r="U40" s="574"/>
    </row>
    <row r="41">
      <c r="A41" s="585">
        <v>38.0</v>
      </c>
      <c r="B41" s="593"/>
      <c r="C41" s="612" t="s">
        <v>105</v>
      </c>
      <c r="D41" s="27"/>
      <c r="E41" s="27"/>
      <c r="F41" s="27"/>
      <c r="G41" s="27"/>
      <c r="H41" s="598">
        <v>4.0</v>
      </c>
      <c r="I41" s="599" t="s">
        <v>926</v>
      </c>
      <c r="J41" s="27"/>
      <c r="K41" s="581">
        <v>138.0</v>
      </c>
      <c r="L41" s="581" t="s">
        <v>928</v>
      </c>
      <c r="M41" s="609">
        <v>138.0</v>
      </c>
      <c r="N41" s="602"/>
      <c r="O41" s="583" t="s">
        <v>963</v>
      </c>
      <c r="P41" s="586" t="s">
        <v>974</v>
      </c>
      <c r="Q41" s="593"/>
      <c r="R41" s="594">
        <v>1366.0</v>
      </c>
      <c r="S41" s="595"/>
      <c r="T41" s="596"/>
      <c r="U41" s="574"/>
    </row>
    <row r="42">
      <c r="A42" s="585">
        <v>39.0</v>
      </c>
      <c r="B42" s="593"/>
      <c r="C42" s="610" t="s">
        <v>107</v>
      </c>
      <c r="D42" s="27"/>
      <c r="E42" s="27"/>
      <c r="F42" s="27"/>
      <c r="G42" s="27"/>
      <c r="H42" s="598">
        <v>4.0</v>
      </c>
      <c r="I42" s="599" t="s">
        <v>926</v>
      </c>
      <c r="J42" s="27"/>
      <c r="K42" s="581">
        <v>1861.0</v>
      </c>
      <c r="L42" s="581" t="s">
        <v>928</v>
      </c>
      <c r="M42" s="609">
        <v>1861.0</v>
      </c>
      <c r="N42" s="602"/>
      <c r="O42" s="583" t="s">
        <v>963</v>
      </c>
      <c r="P42" s="593"/>
      <c r="Q42" s="593"/>
      <c r="R42" s="594">
        <v>2104.0</v>
      </c>
      <c r="S42" s="595"/>
      <c r="T42" s="596"/>
      <c r="U42" s="574"/>
    </row>
    <row r="43">
      <c r="A43" s="585">
        <v>40.0</v>
      </c>
      <c r="B43" s="593"/>
      <c r="C43" s="610" t="s">
        <v>109</v>
      </c>
      <c r="D43" s="27"/>
      <c r="E43" s="40"/>
      <c r="F43" s="40"/>
      <c r="G43" s="27"/>
      <c r="H43" s="598">
        <v>4.0</v>
      </c>
      <c r="I43" s="599" t="s">
        <v>926</v>
      </c>
      <c r="J43" s="40"/>
      <c r="K43" s="581">
        <v>52.0</v>
      </c>
      <c r="L43" s="581" t="s">
        <v>928</v>
      </c>
      <c r="M43" s="609">
        <v>52.0</v>
      </c>
      <c r="N43" s="602"/>
      <c r="O43" s="583" t="s">
        <v>963</v>
      </c>
      <c r="P43" s="593"/>
      <c r="Q43" s="593"/>
      <c r="R43" s="594">
        <v>57.0</v>
      </c>
      <c r="S43" s="595"/>
      <c r="T43" s="596"/>
      <c r="U43" s="574"/>
    </row>
    <row r="44">
      <c r="A44" s="585">
        <v>41.0</v>
      </c>
      <c r="B44" s="593"/>
      <c r="C44" s="610" t="s">
        <v>111</v>
      </c>
      <c r="D44" s="27"/>
      <c r="E44" s="588" t="s">
        <v>758</v>
      </c>
      <c r="F44" s="597">
        <v>8.2299006454E10</v>
      </c>
      <c r="G44" s="27"/>
      <c r="H44" s="598">
        <v>4.0</v>
      </c>
      <c r="I44" s="599" t="s">
        <v>926</v>
      </c>
      <c r="J44" s="601"/>
      <c r="K44" s="581">
        <v>156.0</v>
      </c>
      <c r="L44" s="581" t="s">
        <v>928</v>
      </c>
      <c r="M44" s="609">
        <v>156.0</v>
      </c>
      <c r="N44" s="602"/>
      <c r="O44" s="583" t="s">
        <v>963</v>
      </c>
      <c r="P44" s="593"/>
      <c r="Q44" s="593"/>
      <c r="R44" s="594">
        <v>170.0</v>
      </c>
      <c r="S44" s="595"/>
      <c r="T44" s="596"/>
      <c r="U44" s="574"/>
    </row>
    <row r="45">
      <c r="A45" s="585">
        <v>42.0</v>
      </c>
      <c r="B45" s="593"/>
      <c r="C45" s="586" t="s">
        <v>113</v>
      </c>
      <c r="D45" s="27"/>
      <c r="E45" s="27"/>
      <c r="F45" s="27"/>
      <c r="G45" s="27"/>
      <c r="H45" s="598">
        <v>4.0</v>
      </c>
      <c r="I45" s="599" t="s">
        <v>926</v>
      </c>
      <c r="J45" s="40"/>
      <c r="K45" s="581">
        <v>10.0</v>
      </c>
      <c r="L45" s="581" t="s">
        <v>928</v>
      </c>
      <c r="M45" s="585">
        <v>86.0</v>
      </c>
      <c r="N45" s="581">
        <v>76.0</v>
      </c>
      <c r="O45" s="583" t="s">
        <v>975</v>
      </c>
      <c r="P45" s="593"/>
      <c r="Q45" s="593"/>
      <c r="R45" s="594">
        <v>91.0</v>
      </c>
      <c r="S45" s="595"/>
      <c r="T45" s="596"/>
      <c r="U45" s="574"/>
    </row>
    <row r="46">
      <c r="A46" s="585">
        <v>43.0</v>
      </c>
      <c r="B46" s="586" t="s">
        <v>687</v>
      </c>
      <c r="C46" s="586" t="s">
        <v>116</v>
      </c>
      <c r="D46" s="27"/>
      <c r="E46" s="27"/>
      <c r="F46" s="27"/>
      <c r="G46" s="27"/>
      <c r="H46" s="598">
        <v>4.0</v>
      </c>
      <c r="I46" s="599" t="s">
        <v>926</v>
      </c>
      <c r="J46" s="582"/>
      <c r="K46" s="593"/>
      <c r="L46" s="593"/>
      <c r="M46" s="585">
        <v>36.0</v>
      </c>
      <c r="N46" s="581">
        <v>0.0</v>
      </c>
      <c r="O46" s="583" t="s">
        <v>976</v>
      </c>
      <c r="P46" s="593"/>
      <c r="Q46" s="593"/>
      <c r="R46" s="613">
        <v>36.0</v>
      </c>
      <c r="S46" s="595"/>
      <c r="T46" s="596"/>
      <c r="U46" s="574"/>
    </row>
    <row r="47">
      <c r="A47" s="585">
        <v>44.0</v>
      </c>
      <c r="B47" s="593"/>
      <c r="C47" s="586" t="s">
        <v>118</v>
      </c>
      <c r="D47" s="27"/>
      <c r="E47" s="27"/>
      <c r="F47" s="27"/>
      <c r="G47" s="27"/>
      <c r="H47" s="598">
        <v>4.0</v>
      </c>
      <c r="I47" s="599" t="s">
        <v>926</v>
      </c>
      <c r="J47" s="582"/>
      <c r="K47" s="593"/>
      <c r="L47" s="593"/>
      <c r="M47" s="585">
        <v>243.0</v>
      </c>
      <c r="N47" s="581">
        <v>22.0</v>
      </c>
      <c r="O47" s="583" t="s">
        <v>977</v>
      </c>
      <c r="P47" s="593"/>
      <c r="Q47" s="593"/>
      <c r="R47" s="594">
        <v>259.0</v>
      </c>
      <c r="S47" s="595"/>
      <c r="T47" s="596"/>
      <c r="U47" s="574"/>
    </row>
    <row r="48">
      <c r="A48" s="585">
        <v>45.0</v>
      </c>
      <c r="B48" s="593"/>
      <c r="C48" s="586" t="s">
        <v>120</v>
      </c>
      <c r="D48" s="27"/>
      <c r="E48" s="40"/>
      <c r="F48" s="40"/>
      <c r="G48" s="27"/>
      <c r="H48" s="598">
        <v>4.0</v>
      </c>
      <c r="I48" s="599" t="s">
        <v>926</v>
      </c>
      <c r="J48" s="582"/>
      <c r="K48" s="593"/>
      <c r="L48" s="593"/>
      <c r="M48" s="609">
        <v>122.0</v>
      </c>
      <c r="N48" s="602"/>
      <c r="O48" s="583" t="s">
        <v>978</v>
      </c>
      <c r="P48" s="593"/>
      <c r="Q48" s="593"/>
      <c r="R48" s="594">
        <v>134.0</v>
      </c>
      <c r="S48" s="595"/>
      <c r="T48" s="596"/>
      <c r="U48" s="574"/>
    </row>
    <row r="49">
      <c r="A49" s="585">
        <v>46.0</v>
      </c>
      <c r="B49" s="593"/>
      <c r="C49" s="586" t="s">
        <v>122</v>
      </c>
      <c r="D49" s="27"/>
      <c r="E49" s="588" t="s">
        <v>759</v>
      </c>
      <c r="F49" s="597">
        <v>8.9690537664E10</v>
      </c>
      <c r="G49" s="27"/>
      <c r="H49" s="598">
        <v>4.0</v>
      </c>
      <c r="I49" s="599" t="s">
        <v>926</v>
      </c>
      <c r="J49" s="582"/>
      <c r="K49" s="593"/>
      <c r="L49" s="593"/>
      <c r="M49" s="609">
        <v>124.0</v>
      </c>
      <c r="N49" s="602"/>
      <c r="O49" s="583" t="s">
        <v>979</v>
      </c>
      <c r="P49" s="593"/>
      <c r="Q49" s="593"/>
      <c r="R49" s="594">
        <v>131.0</v>
      </c>
      <c r="S49" s="595"/>
      <c r="T49" s="596"/>
      <c r="U49" s="574"/>
    </row>
    <row r="50">
      <c r="A50" s="585">
        <v>47.0</v>
      </c>
      <c r="B50" s="593"/>
      <c r="C50" s="586" t="s">
        <v>123</v>
      </c>
      <c r="D50" s="27"/>
      <c r="E50" s="27"/>
      <c r="F50" s="27"/>
      <c r="G50" s="27"/>
      <c r="H50" s="598">
        <v>4.0</v>
      </c>
      <c r="I50" s="599" t="s">
        <v>926</v>
      </c>
      <c r="J50" s="582"/>
      <c r="K50" s="593"/>
      <c r="L50" s="593"/>
      <c r="M50" s="609">
        <v>1822.0</v>
      </c>
      <c r="N50" s="602"/>
      <c r="O50" s="583" t="s">
        <v>979</v>
      </c>
      <c r="P50" s="593"/>
      <c r="Q50" s="593"/>
      <c r="R50" s="594">
        <v>2040.0</v>
      </c>
      <c r="S50" s="595"/>
      <c r="T50" s="596"/>
      <c r="U50" s="574"/>
    </row>
    <row r="51">
      <c r="A51" s="585">
        <v>48.0</v>
      </c>
      <c r="B51" s="593"/>
      <c r="C51" s="586" t="s">
        <v>125</v>
      </c>
      <c r="D51" s="27"/>
      <c r="E51" s="27"/>
      <c r="F51" s="27"/>
      <c r="G51" s="27"/>
      <c r="H51" s="598">
        <v>4.0</v>
      </c>
      <c r="I51" s="599" t="s">
        <v>926</v>
      </c>
      <c r="J51" s="582"/>
      <c r="K51" s="593"/>
      <c r="L51" s="593"/>
      <c r="M51" s="585">
        <v>286.0</v>
      </c>
      <c r="N51" s="581">
        <v>187.0</v>
      </c>
      <c r="O51" s="583" t="s">
        <v>980</v>
      </c>
      <c r="P51" s="593"/>
      <c r="Q51" s="593"/>
      <c r="R51" s="594">
        <v>295.0</v>
      </c>
      <c r="S51" s="595"/>
      <c r="T51" s="596"/>
      <c r="U51" s="574"/>
    </row>
    <row r="52">
      <c r="A52" s="585">
        <v>49.0</v>
      </c>
      <c r="B52" s="593"/>
      <c r="C52" s="586" t="s">
        <v>127</v>
      </c>
      <c r="D52" s="27"/>
      <c r="E52" s="27"/>
      <c r="F52" s="27"/>
      <c r="G52" s="27"/>
      <c r="H52" s="598">
        <v>4.0</v>
      </c>
      <c r="I52" s="599" t="s">
        <v>926</v>
      </c>
      <c r="J52" s="582"/>
      <c r="K52" s="593"/>
      <c r="L52" s="593"/>
      <c r="M52" s="609">
        <v>204.0</v>
      </c>
      <c r="N52" s="581">
        <v>80.0</v>
      </c>
      <c r="O52" s="583" t="s">
        <v>981</v>
      </c>
      <c r="P52" s="593"/>
      <c r="Q52" s="593"/>
      <c r="R52" s="594">
        <v>217.0</v>
      </c>
      <c r="S52" s="595"/>
      <c r="T52" s="596"/>
      <c r="U52" s="574"/>
    </row>
    <row r="53">
      <c r="A53" s="585">
        <v>50.0</v>
      </c>
      <c r="B53" s="593"/>
      <c r="C53" s="586" t="s">
        <v>129</v>
      </c>
      <c r="D53" s="40"/>
      <c r="E53" s="40"/>
      <c r="F53" s="40"/>
      <c r="G53" s="27"/>
      <c r="H53" s="598">
        <v>4.0</v>
      </c>
      <c r="I53" s="599" t="s">
        <v>926</v>
      </c>
      <c r="J53" s="582"/>
      <c r="K53" s="593"/>
      <c r="L53" s="593"/>
      <c r="M53" s="614">
        <v>445.0</v>
      </c>
      <c r="N53" s="581">
        <v>4.0</v>
      </c>
      <c r="O53" s="615" t="s">
        <v>982</v>
      </c>
      <c r="P53" s="593"/>
      <c r="Q53" s="593"/>
      <c r="R53" s="616">
        <v>487.0</v>
      </c>
      <c r="S53" s="595"/>
      <c r="T53" s="596"/>
      <c r="U53" s="574"/>
    </row>
    <row r="54">
      <c r="A54" s="585">
        <v>51.0</v>
      </c>
      <c r="B54" s="586" t="s">
        <v>688</v>
      </c>
      <c r="C54" s="586" t="s">
        <v>132</v>
      </c>
      <c r="D54" s="587" t="s">
        <v>760</v>
      </c>
      <c r="E54" s="583" t="s">
        <v>761</v>
      </c>
      <c r="F54" s="581">
        <v>8.1931439073E10</v>
      </c>
      <c r="G54" s="27"/>
      <c r="H54" s="617">
        <v>8.0</v>
      </c>
      <c r="I54" s="618" t="s">
        <v>919</v>
      </c>
      <c r="J54" s="583" t="s">
        <v>983</v>
      </c>
      <c r="K54" s="581">
        <v>430.0</v>
      </c>
      <c r="L54" s="581">
        <v>35.0</v>
      </c>
      <c r="M54" s="592"/>
      <c r="N54" s="602"/>
      <c r="O54" s="582"/>
      <c r="P54" s="593"/>
      <c r="Q54" s="593"/>
      <c r="R54" s="594">
        <v>467.0</v>
      </c>
      <c r="S54" s="595"/>
      <c r="T54" s="596"/>
      <c r="U54" s="574"/>
    </row>
    <row r="55">
      <c r="A55" s="585">
        <v>52.0</v>
      </c>
      <c r="B55" s="593"/>
      <c r="C55" s="586" t="s">
        <v>134</v>
      </c>
      <c r="D55" s="27"/>
      <c r="E55" s="583" t="s">
        <v>762</v>
      </c>
      <c r="F55" s="608" t="s">
        <v>984</v>
      </c>
      <c r="G55" s="27"/>
      <c r="H55" s="590">
        <v>8.0</v>
      </c>
      <c r="I55" s="618" t="s">
        <v>919</v>
      </c>
      <c r="J55" s="583" t="s">
        <v>985</v>
      </c>
      <c r="K55" s="581">
        <v>340.0</v>
      </c>
      <c r="L55" s="581" t="s">
        <v>928</v>
      </c>
      <c r="M55" s="592"/>
      <c r="N55" s="602"/>
      <c r="O55" s="583" t="s">
        <v>936</v>
      </c>
      <c r="P55" s="593"/>
      <c r="Q55" s="593"/>
      <c r="R55" s="594">
        <v>355.0</v>
      </c>
      <c r="S55" s="595"/>
      <c r="T55" s="596"/>
      <c r="U55" s="574"/>
    </row>
    <row r="56">
      <c r="A56" s="585">
        <v>53.0</v>
      </c>
      <c r="B56" s="593"/>
      <c r="C56" s="586" t="s">
        <v>136</v>
      </c>
      <c r="D56" s="27"/>
      <c r="E56" s="583" t="s">
        <v>986</v>
      </c>
      <c r="F56" s="581">
        <v>8.7738788667E10</v>
      </c>
      <c r="G56" s="27"/>
      <c r="H56" s="617">
        <v>8.0</v>
      </c>
      <c r="I56" s="618" t="s">
        <v>919</v>
      </c>
      <c r="J56" s="583" t="s">
        <v>987</v>
      </c>
      <c r="K56" s="581">
        <v>1561.0</v>
      </c>
      <c r="L56" s="593"/>
      <c r="M56" s="592"/>
      <c r="N56" s="602"/>
      <c r="O56" s="583" t="s">
        <v>963</v>
      </c>
      <c r="P56" s="593"/>
      <c r="Q56" s="593"/>
      <c r="R56" s="594">
        <v>1578.0</v>
      </c>
      <c r="S56" s="595"/>
      <c r="T56" s="596"/>
      <c r="U56" s="574"/>
    </row>
    <row r="57">
      <c r="A57" s="585">
        <v>54.0</v>
      </c>
      <c r="B57" s="593"/>
      <c r="C57" s="610" t="s">
        <v>137</v>
      </c>
      <c r="D57" s="27"/>
      <c r="E57" s="607" t="s">
        <v>988</v>
      </c>
      <c r="F57" s="581">
        <v>8.5715130543E10</v>
      </c>
      <c r="G57" s="27"/>
      <c r="H57" s="619">
        <v>4.0</v>
      </c>
      <c r="I57" s="620" t="s">
        <v>926</v>
      </c>
      <c r="J57" s="583" t="s">
        <v>987</v>
      </c>
      <c r="K57" s="581">
        <v>987.0</v>
      </c>
      <c r="L57" s="593"/>
      <c r="M57" s="585">
        <v>987.0</v>
      </c>
      <c r="N57" s="602"/>
      <c r="O57" s="583" t="s">
        <v>989</v>
      </c>
      <c r="P57" s="593"/>
      <c r="Q57" s="593"/>
      <c r="R57" s="594">
        <v>1020.0</v>
      </c>
      <c r="S57" s="595"/>
      <c r="T57" s="596"/>
      <c r="U57" s="574"/>
    </row>
    <row r="58">
      <c r="A58" s="585">
        <v>55.0</v>
      </c>
      <c r="B58" s="593"/>
      <c r="C58" s="610" t="s">
        <v>139</v>
      </c>
      <c r="D58" s="27"/>
      <c r="E58" s="583" t="s">
        <v>765</v>
      </c>
      <c r="F58" s="581">
        <v>6.285641222683E12</v>
      </c>
      <c r="G58" s="27"/>
      <c r="H58" s="619">
        <v>4.0</v>
      </c>
      <c r="I58" s="620" t="s">
        <v>926</v>
      </c>
      <c r="J58" s="583" t="s">
        <v>935</v>
      </c>
      <c r="K58" s="581">
        <v>33.0</v>
      </c>
      <c r="L58" s="581" t="s">
        <v>928</v>
      </c>
      <c r="M58" s="585">
        <v>35.0</v>
      </c>
      <c r="N58" s="602"/>
      <c r="O58" s="583" t="s">
        <v>989</v>
      </c>
      <c r="P58" s="593"/>
      <c r="Q58" s="593"/>
      <c r="R58" s="594">
        <v>35.0</v>
      </c>
      <c r="S58" s="595"/>
      <c r="T58" s="596"/>
      <c r="U58" s="574"/>
    </row>
    <row r="59">
      <c r="A59" s="585">
        <v>56.0</v>
      </c>
      <c r="B59" s="593"/>
      <c r="C59" s="586" t="s">
        <v>141</v>
      </c>
      <c r="D59" s="27"/>
      <c r="E59" s="621" t="s">
        <v>990</v>
      </c>
      <c r="F59" s="581">
        <v>8.561036099E9</v>
      </c>
      <c r="G59" s="27"/>
      <c r="H59" s="622">
        <v>2.0</v>
      </c>
      <c r="I59" s="623" t="s">
        <v>932</v>
      </c>
      <c r="J59" s="583" t="s">
        <v>991</v>
      </c>
      <c r="K59" s="585">
        <v>453.0</v>
      </c>
      <c r="L59" s="581" t="s">
        <v>928</v>
      </c>
      <c r="M59" s="592"/>
      <c r="N59" s="602"/>
      <c r="O59" s="583" t="s">
        <v>992</v>
      </c>
      <c r="P59" s="593"/>
      <c r="Q59" s="593"/>
      <c r="R59" s="594">
        <v>457.0</v>
      </c>
      <c r="S59" s="595"/>
      <c r="T59" s="596"/>
      <c r="U59" s="574"/>
    </row>
    <row r="60">
      <c r="A60" s="585">
        <v>57.0</v>
      </c>
      <c r="B60" s="593"/>
      <c r="C60" s="586" t="s">
        <v>143</v>
      </c>
      <c r="D60" s="40"/>
      <c r="E60" s="583" t="s">
        <v>767</v>
      </c>
      <c r="F60" s="581">
        <v>8.1219238589E10</v>
      </c>
      <c r="G60" s="27"/>
      <c r="H60" s="622">
        <v>2.0</v>
      </c>
      <c r="I60" s="623" t="s">
        <v>932</v>
      </c>
      <c r="J60" s="583" t="s">
        <v>991</v>
      </c>
      <c r="K60" s="581">
        <v>1721.0</v>
      </c>
      <c r="L60" s="581" t="s">
        <v>928</v>
      </c>
      <c r="M60" s="592"/>
      <c r="N60" s="602"/>
      <c r="O60" s="583" t="s">
        <v>936</v>
      </c>
      <c r="P60" s="593"/>
      <c r="Q60" s="593"/>
      <c r="R60" s="594">
        <v>2002.0</v>
      </c>
      <c r="S60" s="595"/>
      <c r="T60" s="596"/>
      <c r="U60" s="574"/>
    </row>
    <row r="61">
      <c r="A61" s="585">
        <v>58.0</v>
      </c>
      <c r="B61" s="593"/>
      <c r="C61" s="586" t="s">
        <v>144</v>
      </c>
      <c r="D61" s="624" t="s">
        <v>993</v>
      </c>
      <c r="E61" s="607" t="s">
        <v>994</v>
      </c>
      <c r="F61" s="581">
        <v>8.519501022E10</v>
      </c>
      <c r="G61" s="27"/>
      <c r="H61" s="590">
        <v>8.0</v>
      </c>
      <c r="I61" s="618" t="s">
        <v>919</v>
      </c>
      <c r="J61" s="583" t="s">
        <v>995</v>
      </c>
      <c r="K61" s="581">
        <v>53.0</v>
      </c>
      <c r="L61" s="581" t="s">
        <v>996</v>
      </c>
      <c r="M61" s="592"/>
      <c r="N61" s="602"/>
      <c r="O61" s="583" t="s">
        <v>997</v>
      </c>
      <c r="P61" s="593"/>
      <c r="Q61" s="593"/>
      <c r="R61" s="594">
        <v>65.0</v>
      </c>
      <c r="S61" s="595"/>
      <c r="T61" s="596"/>
      <c r="U61" s="574"/>
    </row>
    <row r="62">
      <c r="A62" s="585">
        <v>59.0</v>
      </c>
      <c r="B62" s="593"/>
      <c r="C62" s="586" t="s">
        <v>146</v>
      </c>
      <c r="D62" s="27"/>
      <c r="E62" s="607" t="s">
        <v>998</v>
      </c>
      <c r="F62" s="581">
        <v>8.57988811E10</v>
      </c>
      <c r="G62" s="27"/>
      <c r="H62" s="590">
        <v>8.0</v>
      </c>
      <c r="I62" s="618" t="s">
        <v>919</v>
      </c>
      <c r="J62" s="583" t="s">
        <v>999</v>
      </c>
      <c r="K62" s="581">
        <v>68.0</v>
      </c>
      <c r="L62" s="593"/>
      <c r="M62" s="592"/>
      <c r="N62" s="602"/>
      <c r="O62" s="583" t="s">
        <v>936</v>
      </c>
      <c r="P62" s="593"/>
      <c r="Q62" s="593"/>
      <c r="R62" s="594">
        <v>80.0</v>
      </c>
      <c r="S62" s="595"/>
      <c r="T62" s="596"/>
      <c r="U62" s="574"/>
    </row>
    <row r="63">
      <c r="A63" s="585">
        <v>60.0</v>
      </c>
      <c r="B63" s="593"/>
      <c r="C63" s="586" t="s">
        <v>147</v>
      </c>
      <c r="D63" s="27"/>
      <c r="E63" s="583" t="s">
        <v>771</v>
      </c>
      <c r="F63" s="608" t="s">
        <v>1000</v>
      </c>
      <c r="G63" s="27"/>
      <c r="H63" s="590">
        <v>8.0</v>
      </c>
      <c r="I63" s="618" t="s">
        <v>919</v>
      </c>
      <c r="J63" s="583" t="s">
        <v>1001</v>
      </c>
      <c r="K63" s="581">
        <v>325.0</v>
      </c>
      <c r="L63" s="581" t="s">
        <v>1002</v>
      </c>
      <c r="M63" s="592"/>
      <c r="N63" s="602"/>
      <c r="O63" s="583" t="s">
        <v>1003</v>
      </c>
      <c r="P63" s="593"/>
      <c r="Q63" s="593"/>
      <c r="R63" s="594">
        <v>354.0</v>
      </c>
      <c r="S63" s="595"/>
      <c r="T63" s="596"/>
      <c r="U63" s="574"/>
    </row>
    <row r="64">
      <c r="A64" s="585">
        <v>61.0</v>
      </c>
      <c r="B64" s="593"/>
      <c r="C64" s="586" t="s">
        <v>149</v>
      </c>
      <c r="D64" s="27"/>
      <c r="E64" s="583" t="s">
        <v>772</v>
      </c>
      <c r="F64" s="581">
        <v>8.1384640684E10</v>
      </c>
      <c r="G64" s="27"/>
      <c r="H64" s="590">
        <v>8.0</v>
      </c>
      <c r="I64" s="618" t="s">
        <v>919</v>
      </c>
      <c r="J64" s="583" t="s">
        <v>957</v>
      </c>
      <c r="K64" s="593"/>
      <c r="L64" s="593"/>
      <c r="M64" s="592"/>
      <c r="N64" s="602"/>
      <c r="O64" s="583" t="s">
        <v>936</v>
      </c>
      <c r="P64" s="593"/>
      <c r="Q64" s="593"/>
      <c r="R64" s="594">
        <v>22.0</v>
      </c>
      <c r="S64" s="595"/>
      <c r="T64" s="596"/>
      <c r="U64" s="574"/>
    </row>
    <row r="65">
      <c r="A65" s="585">
        <v>62.0</v>
      </c>
      <c r="B65" s="593"/>
      <c r="C65" s="586" t="s">
        <v>151</v>
      </c>
      <c r="D65" s="40"/>
      <c r="E65" s="583" t="s">
        <v>773</v>
      </c>
      <c r="F65" s="608" t="s">
        <v>1004</v>
      </c>
      <c r="G65" s="27"/>
      <c r="H65" s="590">
        <v>8.0</v>
      </c>
      <c r="I65" s="618" t="s">
        <v>919</v>
      </c>
      <c r="J65" s="583" t="s">
        <v>1001</v>
      </c>
      <c r="K65" s="581">
        <v>404.0</v>
      </c>
      <c r="L65" s="581">
        <v>374.0</v>
      </c>
      <c r="M65" s="592"/>
      <c r="N65" s="602"/>
      <c r="O65" s="625" t="s">
        <v>1005</v>
      </c>
      <c r="P65" s="593"/>
      <c r="Q65" s="593"/>
      <c r="R65" s="594">
        <v>414.0</v>
      </c>
      <c r="S65" s="595"/>
      <c r="T65" s="596"/>
      <c r="U65" s="574"/>
    </row>
    <row r="66">
      <c r="A66" s="585">
        <v>63.0</v>
      </c>
      <c r="B66" s="593"/>
      <c r="C66" s="586" t="s">
        <v>153</v>
      </c>
      <c r="D66" s="587" t="s">
        <v>774</v>
      </c>
      <c r="E66" s="583" t="s">
        <v>775</v>
      </c>
      <c r="F66" s="581">
        <v>8.121169798E9</v>
      </c>
      <c r="G66" s="27"/>
      <c r="H66" s="617">
        <v>8.0</v>
      </c>
      <c r="I66" s="618" t="s">
        <v>919</v>
      </c>
      <c r="J66" s="583" t="s">
        <v>1006</v>
      </c>
      <c r="K66" s="581">
        <v>159.0</v>
      </c>
      <c r="L66" s="593"/>
      <c r="M66" s="592"/>
      <c r="N66" s="602"/>
      <c r="O66" s="583" t="s">
        <v>1007</v>
      </c>
      <c r="P66" s="593"/>
      <c r="Q66" s="593"/>
      <c r="R66" s="594">
        <v>159.0</v>
      </c>
      <c r="S66" s="595"/>
      <c r="T66" s="596"/>
      <c r="U66" s="574"/>
    </row>
    <row r="67">
      <c r="A67" s="585">
        <v>64.0</v>
      </c>
      <c r="B67" s="586" t="s">
        <v>689</v>
      </c>
      <c r="C67" s="586" t="s">
        <v>157</v>
      </c>
      <c r="D67" s="27"/>
      <c r="E67" s="626" t="s">
        <v>1008</v>
      </c>
      <c r="F67" s="581">
        <v>8.1285766879E10</v>
      </c>
      <c r="G67" s="27"/>
      <c r="H67" s="590">
        <v>8.0</v>
      </c>
      <c r="I67" s="591" t="s">
        <v>919</v>
      </c>
      <c r="J67" s="583" t="s">
        <v>1009</v>
      </c>
      <c r="K67" s="581">
        <v>122.0</v>
      </c>
      <c r="L67" s="581">
        <v>98.0</v>
      </c>
      <c r="M67" s="592"/>
      <c r="N67" s="602"/>
      <c r="O67" s="583" t="s">
        <v>1010</v>
      </c>
      <c r="P67" s="593"/>
      <c r="Q67" s="593"/>
      <c r="R67" s="594">
        <v>65.0</v>
      </c>
      <c r="S67" s="595"/>
      <c r="T67" s="596"/>
      <c r="U67" s="574"/>
    </row>
    <row r="68">
      <c r="A68" s="585">
        <v>65.0</v>
      </c>
      <c r="B68" s="593"/>
      <c r="C68" s="586" t="s">
        <v>160</v>
      </c>
      <c r="D68" s="27"/>
      <c r="E68" s="626" t="s">
        <v>1011</v>
      </c>
      <c r="F68" s="581" t="s">
        <v>1012</v>
      </c>
      <c r="G68" s="27"/>
      <c r="H68" s="590">
        <v>8.0</v>
      </c>
      <c r="I68" s="591" t="s">
        <v>919</v>
      </c>
      <c r="J68" s="583" t="s">
        <v>1009</v>
      </c>
      <c r="K68" s="581">
        <v>350.0</v>
      </c>
      <c r="L68" s="581">
        <v>113.0</v>
      </c>
      <c r="M68" s="592"/>
      <c r="N68" s="602"/>
      <c r="O68" s="583" t="s">
        <v>1013</v>
      </c>
      <c r="P68" s="593"/>
      <c r="Q68" s="593"/>
      <c r="R68" s="594">
        <v>350.0</v>
      </c>
      <c r="S68" s="595"/>
      <c r="T68" s="596"/>
      <c r="U68" s="574"/>
    </row>
    <row r="69">
      <c r="A69" s="585">
        <v>66.0</v>
      </c>
      <c r="B69" s="593"/>
      <c r="C69" s="586" t="s">
        <v>162</v>
      </c>
      <c r="D69" s="27"/>
      <c r="E69" s="615" t="s">
        <v>1014</v>
      </c>
      <c r="F69" s="627">
        <v>8.1293663232E10</v>
      </c>
      <c r="G69" s="27"/>
      <c r="H69" s="598">
        <v>4.0</v>
      </c>
      <c r="I69" s="599" t="s">
        <v>926</v>
      </c>
      <c r="J69" s="615" t="s">
        <v>1009</v>
      </c>
      <c r="K69" s="581">
        <v>15.0</v>
      </c>
      <c r="L69" s="581">
        <v>15.0</v>
      </c>
      <c r="M69" s="585">
        <v>51.0</v>
      </c>
      <c r="N69" s="581">
        <v>51.0</v>
      </c>
      <c r="O69" s="583" t="s">
        <v>1015</v>
      </c>
      <c r="P69" s="593"/>
      <c r="Q69" s="593"/>
      <c r="R69" s="594">
        <v>43.0</v>
      </c>
      <c r="S69" s="595"/>
      <c r="T69" s="596"/>
      <c r="U69" s="574"/>
    </row>
    <row r="70">
      <c r="A70" s="585">
        <v>67.0</v>
      </c>
      <c r="B70" s="593"/>
      <c r="C70" s="586" t="s">
        <v>164</v>
      </c>
      <c r="D70" s="40"/>
      <c r="E70" s="615" t="s">
        <v>1016</v>
      </c>
      <c r="F70" s="627">
        <v>8.2223809415E10</v>
      </c>
      <c r="G70" s="27"/>
      <c r="H70" s="598">
        <v>4.0</v>
      </c>
      <c r="I70" s="599" t="s">
        <v>926</v>
      </c>
      <c r="J70" s="615" t="s">
        <v>1009</v>
      </c>
      <c r="K70" s="581">
        <v>545.0</v>
      </c>
      <c r="L70" s="581">
        <v>95.0</v>
      </c>
      <c r="M70" s="585">
        <v>545.0</v>
      </c>
      <c r="N70" s="627">
        <v>545.0</v>
      </c>
      <c r="O70" s="583" t="s">
        <v>1017</v>
      </c>
      <c r="P70" s="593"/>
      <c r="Q70" s="593"/>
      <c r="R70" s="594">
        <v>460.0</v>
      </c>
      <c r="S70" s="595"/>
      <c r="T70" s="596"/>
      <c r="U70" s="574"/>
    </row>
    <row r="71">
      <c r="A71" s="585">
        <v>68.0</v>
      </c>
      <c r="B71" s="586" t="s">
        <v>690</v>
      </c>
      <c r="C71" s="610" t="s">
        <v>167</v>
      </c>
      <c r="D71" s="587" t="s">
        <v>780</v>
      </c>
      <c r="E71" s="615" t="s">
        <v>781</v>
      </c>
      <c r="F71" s="627">
        <v>8.1905015863E10</v>
      </c>
      <c r="G71" s="27"/>
      <c r="H71" s="598">
        <v>4.0</v>
      </c>
      <c r="I71" s="599" t="s">
        <v>926</v>
      </c>
      <c r="J71" s="628"/>
      <c r="K71" s="581">
        <v>1214.0</v>
      </c>
      <c r="L71" s="581" t="s">
        <v>928</v>
      </c>
      <c r="M71" s="585">
        <v>1214.0</v>
      </c>
      <c r="N71" s="629"/>
      <c r="O71" s="583" t="s">
        <v>989</v>
      </c>
      <c r="P71" s="593"/>
      <c r="Q71" s="593"/>
      <c r="R71" s="594">
        <v>1214.0</v>
      </c>
      <c r="S71" s="595"/>
      <c r="T71" s="596"/>
      <c r="U71" s="574"/>
    </row>
    <row r="72">
      <c r="A72" s="585">
        <v>69.0</v>
      </c>
      <c r="B72" s="593"/>
      <c r="C72" s="586" t="s">
        <v>169</v>
      </c>
      <c r="D72" s="27"/>
      <c r="E72" s="615" t="s">
        <v>782</v>
      </c>
      <c r="F72" s="627">
        <v>8.5295378181E10</v>
      </c>
      <c r="G72" s="27"/>
      <c r="H72" s="598">
        <v>4.0</v>
      </c>
      <c r="I72" s="599" t="s">
        <v>926</v>
      </c>
      <c r="J72" s="615" t="s">
        <v>1018</v>
      </c>
      <c r="K72" s="581">
        <v>560.0</v>
      </c>
      <c r="L72" s="581">
        <v>211.0</v>
      </c>
      <c r="M72" s="585">
        <v>560.0</v>
      </c>
      <c r="N72" s="629"/>
      <c r="O72" s="583" t="s">
        <v>1019</v>
      </c>
      <c r="P72" s="593"/>
      <c r="Q72" s="593"/>
      <c r="R72" s="594">
        <v>578.0</v>
      </c>
      <c r="S72" s="595"/>
      <c r="T72" s="596"/>
      <c r="U72" s="574"/>
    </row>
    <row r="73">
      <c r="A73" s="585">
        <v>70.0</v>
      </c>
      <c r="B73" s="593"/>
      <c r="C73" s="586" t="s">
        <v>171</v>
      </c>
      <c r="D73" s="27"/>
      <c r="E73" s="583" t="s">
        <v>1020</v>
      </c>
      <c r="F73" s="581">
        <v>8.522095065E10</v>
      </c>
      <c r="G73" s="27"/>
      <c r="H73" s="598">
        <v>4.0</v>
      </c>
      <c r="I73" s="599" t="s">
        <v>926</v>
      </c>
      <c r="J73" s="582"/>
      <c r="K73" s="581">
        <v>78.0</v>
      </c>
      <c r="L73" s="581" t="s">
        <v>928</v>
      </c>
      <c r="M73" s="585">
        <v>560.0</v>
      </c>
      <c r="N73" s="581">
        <v>72.0</v>
      </c>
      <c r="O73" s="630" t="s">
        <v>1021</v>
      </c>
      <c r="P73" s="593"/>
      <c r="Q73" s="593"/>
      <c r="R73" s="594">
        <v>84.0</v>
      </c>
      <c r="S73" s="595"/>
      <c r="T73" s="596"/>
      <c r="U73" s="574"/>
    </row>
    <row r="74">
      <c r="A74" s="585">
        <v>71.0</v>
      </c>
      <c r="B74" s="593"/>
      <c r="C74" s="610" t="s">
        <v>173</v>
      </c>
      <c r="D74" s="27"/>
      <c r="E74" s="583" t="s">
        <v>784</v>
      </c>
      <c r="F74" s="581">
        <v>8.1944430122E10</v>
      </c>
      <c r="G74" s="27"/>
      <c r="H74" s="598">
        <v>4.0</v>
      </c>
      <c r="I74" s="599" t="s">
        <v>926</v>
      </c>
      <c r="J74" s="582"/>
      <c r="K74" s="581">
        <v>5.0</v>
      </c>
      <c r="L74" s="581" t="s">
        <v>928</v>
      </c>
      <c r="M74" s="585">
        <v>5.0</v>
      </c>
      <c r="N74" s="581">
        <v>5.0</v>
      </c>
      <c r="O74" s="583" t="s">
        <v>1022</v>
      </c>
      <c r="P74" s="593"/>
      <c r="Q74" s="593"/>
      <c r="R74" s="594">
        <v>5.0</v>
      </c>
      <c r="S74" s="595"/>
      <c r="T74" s="596"/>
      <c r="U74" s="574"/>
    </row>
    <row r="75">
      <c r="A75" s="585">
        <v>72.0</v>
      </c>
      <c r="B75" s="593"/>
      <c r="C75" s="586" t="s">
        <v>175</v>
      </c>
      <c r="D75" s="40"/>
      <c r="E75" s="583" t="s">
        <v>785</v>
      </c>
      <c r="F75" s="581">
        <v>8.9637762228E10</v>
      </c>
      <c r="G75" s="27"/>
      <c r="H75" s="598">
        <v>4.0</v>
      </c>
      <c r="I75" s="599" t="s">
        <v>926</v>
      </c>
      <c r="J75" s="582"/>
      <c r="K75" s="581">
        <v>50.0</v>
      </c>
      <c r="L75" s="581">
        <v>1.0</v>
      </c>
      <c r="M75" s="585">
        <v>49.0</v>
      </c>
      <c r="N75" s="581">
        <v>1.0</v>
      </c>
      <c r="O75" s="631" t="s">
        <v>1023</v>
      </c>
      <c r="P75" s="593"/>
      <c r="Q75" s="593"/>
      <c r="R75" s="594">
        <v>53.0</v>
      </c>
      <c r="S75" s="595"/>
      <c r="T75" s="596"/>
      <c r="U75" s="574"/>
    </row>
    <row r="76">
      <c r="A76" s="585">
        <v>73.0</v>
      </c>
      <c r="B76" s="593"/>
      <c r="C76" s="586" t="s">
        <v>177</v>
      </c>
      <c r="D76" s="587" t="s">
        <v>1024</v>
      </c>
      <c r="E76" s="583" t="s">
        <v>1025</v>
      </c>
      <c r="F76" s="581" t="s">
        <v>1026</v>
      </c>
      <c r="G76" s="40"/>
      <c r="H76" s="590">
        <v>8.0</v>
      </c>
      <c r="I76" s="591" t="s">
        <v>919</v>
      </c>
      <c r="J76" s="582"/>
      <c r="K76" s="581">
        <v>721.0</v>
      </c>
      <c r="L76" s="593"/>
      <c r="M76" s="592"/>
      <c r="N76" s="602"/>
      <c r="O76" s="583" t="s">
        <v>1027</v>
      </c>
      <c r="P76" s="593"/>
      <c r="Q76" s="593"/>
      <c r="R76" s="594">
        <v>1076.0</v>
      </c>
      <c r="S76" s="595"/>
      <c r="T76" s="596"/>
      <c r="U76" s="574"/>
    </row>
    <row r="77">
      <c r="A77" s="585">
        <v>74.0</v>
      </c>
      <c r="B77" s="593"/>
      <c r="C77" s="586" t="s">
        <v>179</v>
      </c>
      <c r="D77" s="27"/>
      <c r="E77" s="583" t="s">
        <v>788</v>
      </c>
      <c r="F77" s="581">
        <v>8.1283659618E10</v>
      </c>
      <c r="G77" s="589" t="s">
        <v>1028</v>
      </c>
      <c r="H77" s="590">
        <v>8.0</v>
      </c>
      <c r="I77" s="591" t="s">
        <v>919</v>
      </c>
      <c r="J77" s="582"/>
      <c r="K77" s="581">
        <v>130.0</v>
      </c>
      <c r="L77" s="593"/>
      <c r="M77" s="592"/>
      <c r="N77" s="602"/>
      <c r="O77" s="583" t="s">
        <v>1029</v>
      </c>
      <c r="P77" s="593"/>
      <c r="Q77" s="593"/>
      <c r="R77" s="594">
        <v>144.0</v>
      </c>
      <c r="S77" s="595"/>
      <c r="T77" s="596"/>
      <c r="U77" s="574"/>
    </row>
    <row r="78">
      <c r="A78" s="585">
        <v>75.0</v>
      </c>
      <c r="B78" s="593"/>
      <c r="C78" s="586" t="s">
        <v>181</v>
      </c>
      <c r="D78" s="27"/>
      <c r="E78" s="583" t="s">
        <v>789</v>
      </c>
      <c r="F78" s="581" t="s">
        <v>1030</v>
      </c>
      <c r="G78" s="27"/>
      <c r="H78" s="590">
        <v>8.0</v>
      </c>
      <c r="I78" s="591" t="s">
        <v>919</v>
      </c>
      <c r="J78" s="582"/>
      <c r="K78" s="581">
        <v>59.0</v>
      </c>
      <c r="L78" s="593"/>
      <c r="M78" s="592"/>
      <c r="N78" s="602"/>
      <c r="O78" s="583" t="s">
        <v>1031</v>
      </c>
      <c r="P78" s="593"/>
      <c r="Q78" s="593"/>
      <c r="R78" s="594">
        <v>59.0</v>
      </c>
      <c r="S78" s="595"/>
      <c r="T78" s="596"/>
      <c r="U78" s="574"/>
    </row>
    <row r="79">
      <c r="A79" s="585">
        <v>76.0</v>
      </c>
      <c r="B79" s="593"/>
      <c r="C79" s="586" t="s">
        <v>184</v>
      </c>
      <c r="D79" s="40"/>
      <c r="E79" s="583" t="s">
        <v>1032</v>
      </c>
      <c r="F79" s="581">
        <v>8.9682350619E10</v>
      </c>
      <c r="G79" s="27"/>
      <c r="H79" s="590">
        <v>8.0</v>
      </c>
      <c r="I79" s="591" t="s">
        <v>919</v>
      </c>
      <c r="J79" s="582"/>
      <c r="K79" s="581">
        <v>48.0</v>
      </c>
      <c r="L79" s="593"/>
      <c r="M79" s="592"/>
      <c r="N79" s="602"/>
      <c r="O79" s="583" t="s">
        <v>1033</v>
      </c>
      <c r="P79" s="593"/>
      <c r="Q79" s="593"/>
      <c r="R79" s="594">
        <v>48.0</v>
      </c>
      <c r="S79" s="595"/>
      <c r="T79" s="596"/>
      <c r="U79" s="574"/>
    </row>
    <row r="80">
      <c r="A80" s="585">
        <v>77.0</v>
      </c>
      <c r="B80" s="586" t="s">
        <v>691</v>
      </c>
      <c r="C80" s="586" t="s">
        <v>187</v>
      </c>
      <c r="D80" s="587" t="s">
        <v>791</v>
      </c>
      <c r="E80" s="588" t="s">
        <v>792</v>
      </c>
      <c r="F80" s="597">
        <v>8.78846292E10</v>
      </c>
      <c r="G80" s="27"/>
      <c r="H80" s="590">
        <v>3.0</v>
      </c>
      <c r="I80" s="591" t="s">
        <v>1034</v>
      </c>
      <c r="J80" s="583" t="s">
        <v>1035</v>
      </c>
      <c r="K80" s="581">
        <v>6575.0</v>
      </c>
      <c r="L80" s="581">
        <v>979.0</v>
      </c>
      <c r="M80" s="592"/>
      <c r="N80" s="602"/>
      <c r="O80" s="583" t="s">
        <v>1036</v>
      </c>
      <c r="P80" s="593"/>
      <c r="Q80" s="593"/>
      <c r="R80" s="594">
        <v>8597.0</v>
      </c>
      <c r="S80" s="595"/>
      <c r="T80" s="596"/>
      <c r="U80" s="574"/>
    </row>
    <row r="81">
      <c r="A81" s="585">
        <v>78.0</v>
      </c>
      <c r="B81" s="593"/>
      <c r="C81" s="586" t="s">
        <v>189</v>
      </c>
      <c r="D81" s="27"/>
      <c r="E81" s="27"/>
      <c r="F81" s="27"/>
      <c r="G81" s="27"/>
      <c r="H81" s="590">
        <v>3.0</v>
      </c>
      <c r="I81" s="591" t="s">
        <v>1034</v>
      </c>
      <c r="J81" s="583" t="s">
        <v>1035</v>
      </c>
      <c r="K81" s="581">
        <v>2262.0</v>
      </c>
      <c r="L81" s="581">
        <v>1270.0</v>
      </c>
      <c r="M81" s="592"/>
      <c r="N81" s="602"/>
      <c r="O81" s="583" t="s">
        <v>1037</v>
      </c>
      <c r="P81" s="593"/>
      <c r="Q81" s="593"/>
      <c r="R81" s="594">
        <v>2385.0</v>
      </c>
      <c r="S81" s="595"/>
      <c r="T81" s="596"/>
      <c r="U81" s="574"/>
    </row>
    <row r="82">
      <c r="A82" s="585">
        <v>79.0</v>
      </c>
      <c r="B82" s="593"/>
      <c r="C82" s="586" t="s">
        <v>190</v>
      </c>
      <c r="D82" s="27"/>
      <c r="E82" s="40"/>
      <c r="F82" s="40"/>
      <c r="G82" s="27"/>
      <c r="H82" s="590">
        <v>3.0</v>
      </c>
      <c r="I82" s="591" t="s">
        <v>1034</v>
      </c>
      <c r="J82" s="583" t="s">
        <v>1038</v>
      </c>
      <c r="K82" s="581">
        <v>975.0</v>
      </c>
      <c r="L82" s="581" t="s">
        <v>928</v>
      </c>
      <c r="M82" s="592"/>
      <c r="N82" s="602"/>
      <c r="O82" s="583" t="s">
        <v>1039</v>
      </c>
      <c r="P82" s="593"/>
      <c r="Q82" s="593"/>
      <c r="R82" s="594">
        <v>1066.0</v>
      </c>
      <c r="S82" s="595"/>
      <c r="T82" s="596"/>
      <c r="U82" s="574"/>
    </row>
    <row r="83">
      <c r="A83" s="585">
        <v>80.0</v>
      </c>
      <c r="B83" s="593"/>
      <c r="C83" s="586" t="s">
        <v>191</v>
      </c>
      <c r="D83" s="27"/>
      <c r="E83" s="588" t="s">
        <v>793</v>
      </c>
      <c r="F83" s="597">
        <v>8.2211552522E10</v>
      </c>
      <c r="G83" s="27"/>
      <c r="H83" s="590">
        <v>3.0</v>
      </c>
      <c r="I83" s="591" t="s">
        <v>1034</v>
      </c>
      <c r="J83" s="583" t="s">
        <v>1040</v>
      </c>
      <c r="K83" s="585">
        <v>353.0</v>
      </c>
      <c r="L83" s="585">
        <v>1988.0</v>
      </c>
      <c r="M83" s="592"/>
      <c r="N83" s="602"/>
      <c r="O83" s="583" t="s">
        <v>1041</v>
      </c>
      <c r="P83" s="593"/>
      <c r="Q83" s="593"/>
      <c r="R83" s="594">
        <v>3076.0</v>
      </c>
      <c r="S83" s="595"/>
      <c r="T83" s="596"/>
      <c r="U83" s="574"/>
    </row>
    <row r="84">
      <c r="A84" s="585">
        <v>81.0</v>
      </c>
      <c r="B84" s="593"/>
      <c r="C84" s="586" t="s">
        <v>193</v>
      </c>
      <c r="D84" s="27"/>
      <c r="E84" s="27"/>
      <c r="F84" s="27"/>
      <c r="G84" s="27"/>
      <c r="H84" s="590">
        <v>3.0</v>
      </c>
      <c r="I84" s="591" t="s">
        <v>1034</v>
      </c>
      <c r="J84" s="583" t="s">
        <v>1040</v>
      </c>
      <c r="K84" s="585">
        <v>0.0</v>
      </c>
      <c r="L84" s="585">
        <v>40.0</v>
      </c>
      <c r="M84" s="592"/>
      <c r="N84" s="602"/>
      <c r="O84" s="583" t="s">
        <v>1042</v>
      </c>
      <c r="P84" s="593"/>
      <c r="Q84" s="593"/>
      <c r="R84" s="594">
        <v>2041.0</v>
      </c>
      <c r="S84" s="595"/>
      <c r="T84" s="596"/>
      <c r="U84" s="574"/>
    </row>
    <row r="85">
      <c r="A85" s="585">
        <v>82.0</v>
      </c>
      <c r="B85" s="593"/>
      <c r="C85" s="586" t="s">
        <v>194</v>
      </c>
      <c r="D85" s="27"/>
      <c r="E85" s="40"/>
      <c r="F85" s="40"/>
      <c r="G85" s="27"/>
      <c r="H85" s="590">
        <v>3.0</v>
      </c>
      <c r="I85" s="591" t="s">
        <v>1034</v>
      </c>
      <c r="J85" s="583" t="s">
        <v>957</v>
      </c>
      <c r="K85" s="593"/>
      <c r="L85" s="593"/>
      <c r="M85" s="592"/>
      <c r="N85" s="602"/>
      <c r="O85" s="583" t="s">
        <v>1043</v>
      </c>
      <c r="P85" s="593"/>
      <c r="Q85" s="593"/>
      <c r="R85" s="594">
        <v>519.0</v>
      </c>
      <c r="S85" s="595"/>
      <c r="T85" s="596"/>
      <c r="U85" s="574"/>
    </row>
    <row r="86">
      <c r="A86" s="585">
        <v>83.0</v>
      </c>
      <c r="B86" s="593"/>
      <c r="C86" s="586" t="s">
        <v>196</v>
      </c>
      <c r="D86" s="27"/>
      <c r="E86" s="632" t="s">
        <v>794</v>
      </c>
      <c r="F86" s="633">
        <v>8.2260606689E10</v>
      </c>
      <c r="G86" s="27"/>
      <c r="H86" s="590">
        <v>3.0</v>
      </c>
      <c r="I86" s="591" t="s">
        <v>1034</v>
      </c>
      <c r="J86" s="632" t="s">
        <v>1044</v>
      </c>
      <c r="K86" s="581">
        <v>369.0</v>
      </c>
      <c r="L86" s="581">
        <v>29.0</v>
      </c>
      <c r="M86" s="592"/>
      <c r="N86" s="602"/>
      <c r="O86" s="583" t="s">
        <v>1045</v>
      </c>
      <c r="P86" s="593"/>
      <c r="Q86" s="593"/>
      <c r="R86" s="594">
        <v>411.0</v>
      </c>
      <c r="S86" s="595"/>
      <c r="T86" s="596"/>
      <c r="U86" s="574"/>
    </row>
    <row r="87">
      <c r="A87" s="585">
        <v>84.0</v>
      </c>
      <c r="B87" s="593"/>
      <c r="C87" s="586" t="s">
        <v>198</v>
      </c>
      <c r="D87" s="27"/>
      <c r="E87" s="27"/>
      <c r="F87" s="27"/>
      <c r="G87" s="27"/>
      <c r="H87" s="590">
        <v>3.0</v>
      </c>
      <c r="I87" s="591" t="s">
        <v>1034</v>
      </c>
      <c r="J87" s="27"/>
      <c r="K87" s="581">
        <v>857.0</v>
      </c>
      <c r="L87" s="581">
        <v>223.0</v>
      </c>
      <c r="M87" s="592"/>
      <c r="N87" s="602"/>
      <c r="O87" s="583" t="s">
        <v>1046</v>
      </c>
      <c r="P87" s="593"/>
      <c r="Q87" s="593"/>
      <c r="R87" s="594">
        <v>893.0</v>
      </c>
      <c r="S87" s="595"/>
      <c r="T87" s="596"/>
      <c r="U87" s="574"/>
    </row>
    <row r="88">
      <c r="A88" s="585">
        <v>85.0</v>
      </c>
      <c r="B88" s="593"/>
      <c r="C88" s="586" t="s">
        <v>200</v>
      </c>
      <c r="D88" s="27"/>
      <c r="E88" s="40"/>
      <c r="F88" s="40"/>
      <c r="G88" s="27"/>
      <c r="H88" s="590">
        <v>3.0</v>
      </c>
      <c r="I88" s="591" t="s">
        <v>1034</v>
      </c>
      <c r="J88" s="40"/>
      <c r="K88" s="581">
        <v>698.0</v>
      </c>
      <c r="L88" s="581">
        <v>125.0</v>
      </c>
      <c r="M88" s="592"/>
      <c r="N88" s="602"/>
      <c r="O88" s="583" t="s">
        <v>1047</v>
      </c>
      <c r="P88" s="593"/>
      <c r="Q88" s="593"/>
      <c r="R88" s="594">
        <v>764.0</v>
      </c>
      <c r="S88" s="595"/>
      <c r="T88" s="596"/>
      <c r="U88" s="574"/>
    </row>
    <row r="89">
      <c r="A89" s="585">
        <v>86.0</v>
      </c>
      <c r="B89" s="593"/>
      <c r="C89" s="586" t="s">
        <v>202</v>
      </c>
      <c r="D89" s="27"/>
      <c r="E89" s="632" t="s">
        <v>795</v>
      </c>
      <c r="F89" s="633">
        <v>8.5263569772E10</v>
      </c>
      <c r="G89" s="27"/>
      <c r="H89" s="590">
        <v>3.0</v>
      </c>
      <c r="I89" s="591" t="s">
        <v>1034</v>
      </c>
      <c r="J89" s="632" t="s">
        <v>1048</v>
      </c>
      <c r="K89" s="581">
        <v>1238.0</v>
      </c>
      <c r="L89" s="581" t="s">
        <v>928</v>
      </c>
      <c r="M89" s="592"/>
      <c r="N89" s="602"/>
      <c r="O89" s="583" t="s">
        <v>1049</v>
      </c>
      <c r="P89" s="593"/>
      <c r="Q89" s="593"/>
      <c r="R89" s="594">
        <v>1414.0</v>
      </c>
      <c r="S89" s="595"/>
      <c r="T89" s="596"/>
      <c r="U89" s="574"/>
    </row>
    <row r="90">
      <c r="A90" s="585">
        <v>87.0</v>
      </c>
      <c r="B90" s="593"/>
      <c r="C90" s="586" t="s">
        <v>203</v>
      </c>
      <c r="D90" s="27"/>
      <c r="E90" s="27"/>
      <c r="F90" s="27"/>
      <c r="G90" s="27"/>
      <c r="H90" s="590">
        <v>3.0</v>
      </c>
      <c r="I90" s="591" t="s">
        <v>1034</v>
      </c>
      <c r="J90" s="27"/>
      <c r="K90" s="581">
        <v>1149.0</v>
      </c>
      <c r="L90" s="581" t="s">
        <v>928</v>
      </c>
      <c r="M90" s="592"/>
      <c r="N90" s="602"/>
      <c r="O90" s="583" t="s">
        <v>208</v>
      </c>
      <c r="P90" s="593"/>
      <c r="Q90" s="593"/>
      <c r="R90" s="594">
        <v>1170.0</v>
      </c>
      <c r="S90" s="595"/>
      <c r="T90" s="596"/>
      <c r="U90" s="574"/>
    </row>
    <row r="91">
      <c r="A91" s="585">
        <v>88.0</v>
      </c>
      <c r="B91" s="593"/>
      <c r="C91" s="586" t="s">
        <v>205</v>
      </c>
      <c r="D91" s="40"/>
      <c r="E91" s="40"/>
      <c r="F91" s="40"/>
      <c r="G91" s="27"/>
      <c r="H91" s="590">
        <v>3.0</v>
      </c>
      <c r="I91" s="591" t="s">
        <v>1034</v>
      </c>
      <c r="J91" s="40"/>
      <c r="K91" s="581">
        <v>918.0</v>
      </c>
      <c r="L91" s="581">
        <v>328.0</v>
      </c>
      <c r="M91" s="592"/>
      <c r="N91" s="602"/>
      <c r="O91" s="583" t="s">
        <v>1050</v>
      </c>
      <c r="P91" s="593"/>
      <c r="Q91" s="593"/>
      <c r="R91" s="594">
        <v>448.0</v>
      </c>
      <c r="S91" s="595"/>
      <c r="T91" s="596"/>
      <c r="U91" s="574"/>
    </row>
    <row r="92">
      <c r="A92" s="585">
        <v>89.0</v>
      </c>
      <c r="B92" s="593"/>
      <c r="C92" s="586" t="s">
        <v>206</v>
      </c>
      <c r="D92" s="587" t="s">
        <v>796</v>
      </c>
      <c r="E92" s="632" t="s">
        <v>797</v>
      </c>
      <c r="F92" s="633">
        <v>8.1393003586E10</v>
      </c>
      <c r="G92" s="27"/>
      <c r="H92" s="590">
        <v>3.0</v>
      </c>
      <c r="I92" s="591" t="s">
        <v>1034</v>
      </c>
      <c r="J92" s="632" t="s">
        <v>1048</v>
      </c>
      <c r="K92" s="581">
        <v>4865.0</v>
      </c>
      <c r="L92" s="581" t="s">
        <v>928</v>
      </c>
      <c r="M92" s="592"/>
      <c r="N92" s="602"/>
      <c r="O92" s="583" t="s">
        <v>208</v>
      </c>
      <c r="P92" s="583" t="s">
        <v>1051</v>
      </c>
      <c r="Q92" s="593"/>
      <c r="R92" s="594">
        <v>6848.0</v>
      </c>
      <c r="S92" s="595"/>
      <c r="T92" s="596"/>
      <c r="U92" s="574"/>
    </row>
    <row r="93">
      <c r="A93" s="585">
        <v>90.0</v>
      </c>
      <c r="B93" s="593"/>
      <c r="C93" s="586" t="s">
        <v>209</v>
      </c>
      <c r="D93" s="27"/>
      <c r="E93" s="27"/>
      <c r="F93" s="27"/>
      <c r="G93" s="27"/>
      <c r="H93" s="590">
        <v>3.0</v>
      </c>
      <c r="I93" s="591" t="s">
        <v>1034</v>
      </c>
      <c r="J93" s="27"/>
      <c r="K93" s="581">
        <v>8430.0</v>
      </c>
      <c r="L93" s="581" t="s">
        <v>928</v>
      </c>
      <c r="M93" s="592"/>
      <c r="N93" s="602"/>
      <c r="O93" s="583" t="s">
        <v>208</v>
      </c>
      <c r="P93" s="583" t="s">
        <v>1052</v>
      </c>
      <c r="Q93" s="593"/>
      <c r="R93" s="594">
        <v>9109.0</v>
      </c>
      <c r="S93" s="595"/>
      <c r="T93" s="596"/>
      <c r="U93" s="574"/>
    </row>
    <row r="94">
      <c r="A94" s="585">
        <v>91.0</v>
      </c>
      <c r="B94" s="593"/>
      <c r="C94" s="586" t="s">
        <v>211</v>
      </c>
      <c r="D94" s="27"/>
      <c r="E94" s="40"/>
      <c r="F94" s="40"/>
      <c r="G94" s="27"/>
      <c r="H94" s="590">
        <v>3.0</v>
      </c>
      <c r="I94" s="591" t="s">
        <v>1034</v>
      </c>
      <c r="J94" s="40"/>
      <c r="K94" s="581">
        <v>1343.0</v>
      </c>
      <c r="L94" s="581" t="s">
        <v>928</v>
      </c>
      <c r="M94" s="592"/>
      <c r="N94" s="602"/>
      <c r="O94" s="583" t="s">
        <v>208</v>
      </c>
      <c r="P94" s="583" t="s">
        <v>1053</v>
      </c>
      <c r="Q94" s="593"/>
      <c r="R94" s="594">
        <v>1612.0</v>
      </c>
      <c r="S94" s="595"/>
      <c r="T94" s="596"/>
      <c r="U94" s="574"/>
    </row>
    <row r="95">
      <c r="A95" s="585">
        <v>92.0</v>
      </c>
      <c r="B95" s="586" t="s">
        <v>213</v>
      </c>
      <c r="C95" s="586" t="s">
        <v>214</v>
      </c>
      <c r="D95" s="27"/>
      <c r="E95" s="588" t="s">
        <v>799</v>
      </c>
      <c r="F95" s="597">
        <v>8.5693090958E10</v>
      </c>
      <c r="G95" s="27"/>
      <c r="H95" s="590">
        <v>3.0</v>
      </c>
      <c r="I95" s="591" t="s">
        <v>1034</v>
      </c>
      <c r="J95" s="583" t="s">
        <v>1054</v>
      </c>
      <c r="K95" s="581">
        <v>599.0</v>
      </c>
      <c r="L95" s="581">
        <v>443.0</v>
      </c>
      <c r="M95" s="592"/>
      <c r="N95" s="602"/>
      <c r="O95" s="583" t="s">
        <v>216</v>
      </c>
      <c r="P95" s="586" t="s">
        <v>1055</v>
      </c>
      <c r="Q95" s="593"/>
      <c r="R95" s="594">
        <v>596.0</v>
      </c>
      <c r="S95" s="595"/>
      <c r="T95" s="596"/>
      <c r="U95" s="574"/>
    </row>
    <row r="96">
      <c r="A96" s="585">
        <v>93.0</v>
      </c>
      <c r="B96" s="593"/>
      <c r="C96" s="586" t="s">
        <v>217</v>
      </c>
      <c r="D96" s="27"/>
      <c r="E96" s="27"/>
      <c r="F96" s="27"/>
      <c r="G96" s="27"/>
      <c r="H96" s="590">
        <v>3.0</v>
      </c>
      <c r="I96" s="591" t="s">
        <v>1034</v>
      </c>
      <c r="J96" s="583" t="s">
        <v>1056</v>
      </c>
      <c r="K96" s="581">
        <v>942.0</v>
      </c>
      <c r="L96" s="581">
        <v>740.0</v>
      </c>
      <c r="M96" s="592"/>
      <c r="N96" s="602"/>
      <c r="O96" s="583" t="s">
        <v>1057</v>
      </c>
      <c r="P96" s="593"/>
      <c r="Q96" s="593"/>
      <c r="R96" s="594">
        <v>984.0</v>
      </c>
      <c r="S96" s="595"/>
      <c r="T96" s="596"/>
      <c r="U96" s="574"/>
    </row>
    <row r="97">
      <c r="A97" s="585">
        <v>94.0</v>
      </c>
      <c r="B97" s="593"/>
      <c r="C97" s="586" t="s">
        <v>219</v>
      </c>
      <c r="D97" s="27"/>
      <c r="E97" s="40"/>
      <c r="F97" s="40"/>
      <c r="G97" s="27"/>
      <c r="H97" s="590">
        <v>3.0</v>
      </c>
      <c r="I97" s="591" t="s">
        <v>1034</v>
      </c>
      <c r="J97" s="583" t="s">
        <v>1054</v>
      </c>
      <c r="K97" s="581">
        <v>359.0</v>
      </c>
      <c r="L97" s="581">
        <v>465.0</v>
      </c>
      <c r="M97" s="592"/>
      <c r="N97" s="602"/>
      <c r="O97" s="583" t="s">
        <v>1058</v>
      </c>
      <c r="P97" s="593"/>
      <c r="Q97" s="593"/>
      <c r="R97" s="594">
        <v>560.0</v>
      </c>
      <c r="S97" s="595"/>
      <c r="T97" s="596"/>
      <c r="U97" s="574"/>
    </row>
    <row r="98">
      <c r="A98" s="585">
        <v>95.0</v>
      </c>
      <c r="B98" s="593"/>
      <c r="C98" s="586" t="s">
        <v>221</v>
      </c>
      <c r="D98" s="27"/>
      <c r="E98" s="588" t="s">
        <v>800</v>
      </c>
      <c r="F98" s="597">
        <v>8.1329886181E10</v>
      </c>
      <c r="G98" s="27"/>
      <c r="H98" s="590">
        <v>3.0</v>
      </c>
      <c r="I98" s="591" t="s">
        <v>1034</v>
      </c>
      <c r="J98" s="583" t="s">
        <v>1059</v>
      </c>
      <c r="K98" s="581">
        <v>32.0</v>
      </c>
      <c r="L98" s="581" t="s">
        <v>928</v>
      </c>
      <c r="M98" s="592"/>
      <c r="N98" s="602"/>
      <c r="O98" s="615" t="s">
        <v>224</v>
      </c>
      <c r="P98" s="593"/>
      <c r="Q98" s="593"/>
      <c r="R98" s="634">
        <v>36.0</v>
      </c>
      <c r="S98" s="595"/>
      <c r="T98" s="596"/>
      <c r="U98" s="574"/>
    </row>
    <row r="99">
      <c r="A99" s="585">
        <v>96.0</v>
      </c>
      <c r="B99" s="593"/>
      <c r="C99" s="586" t="s">
        <v>225</v>
      </c>
      <c r="D99" s="27"/>
      <c r="E99" s="27"/>
      <c r="F99" s="27"/>
      <c r="G99" s="27"/>
      <c r="H99" s="590">
        <v>3.0</v>
      </c>
      <c r="I99" s="591" t="s">
        <v>1034</v>
      </c>
      <c r="J99" s="583" t="s">
        <v>1060</v>
      </c>
      <c r="K99" s="581">
        <v>79.0</v>
      </c>
      <c r="L99" s="581">
        <v>42.0</v>
      </c>
      <c r="M99" s="592"/>
      <c r="N99" s="602"/>
      <c r="O99" s="583" t="s">
        <v>1058</v>
      </c>
      <c r="P99" s="593"/>
      <c r="Q99" s="593"/>
      <c r="R99" s="634">
        <v>84.0</v>
      </c>
      <c r="S99" s="595"/>
      <c r="T99" s="596"/>
      <c r="U99" s="574"/>
    </row>
    <row r="100">
      <c r="A100" s="585">
        <v>97.0</v>
      </c>
      <c r="B100" s="593"/>
      <c r="C100" s="586" t="s">
        <v>228</v>
      </c>
      <c r="D100" s="27"/>
      <c r="E100" s="40"/>
      <c r="F100" s="40"/>
      <c r="G100" s="27"/>
      <c r="H100" s="590">
        <v>3.0</v>
      </c>
      <c r="I100" s="591" t="s">
        <v>1034</v>
      </c>
      <c r="J100" s="583" t="s">
        <v>1061</v>
      </c>
      <c r="K100" s="581">
        <v>841.0</v>
      </c>
      <c r="L100" s="581">
        <v>716.0</v>
      </c>
      <c r="M100" s="592"/>
      <c r="N100" s="635"/>
      <c r="O100" s="615" t="s">
        <v>1062</v>
      </c>
      <c r="P100" s="593"/>
      <c r="Q100" s="593"/>
      <c r="R100" s="634">
        <v>376.0</v>
      </c>
      <c r="S100" s="595"/>
      <c r="T100" s="596"/>
      <c r="U100" s="574"/>
    </row>
    <row r="101">
      <c r="A101" s="585">
        <v>98.0</v>
      </c>
      <c r="B101" s="593"/>
      <c r="C101" s="586" t="s">
        <v>232</v>
      </c>
      <c r="D101" s="27"/>
      <c r="E101" s="606" t="s">
        <v>1063</v>
      </c>
      <c r="F101" s="597" t="s">
        <v>1064</v>
      </c>
      <c r="G101" s="27"/>
      <c r="H101" s="590">
        <v>3.0</v>
      </c>
      <c r="I101" s="591" t="s">
        <v>1034</v>
      </c>
      <c r="J101" s="583" t="s">
        <v>1065</v>
      </c>
      <c r="K101" s="581">
        <v>671.0</v>
      </c>
      <c r="L101" s="581" t="s">
        <v>928</v>
      </c>
      <c r="M101" s="592"/>
      <c r="N101" s="602"/>
      <c r="O101" s="583" t="s">
        <v>1066</v>
      </c>
      <c r="P101" s="593"/>
      <c r="Q101" s="593"/>
      <c r="R101" s="594">
        <v>686.0</v>
      </c>
      <c r="S101" s="595"/>
      <c r="T101" s="596"/>
      <c r="U101" s="574"/>
    </row>
    <row r="102">
      <c r="A102" s="585">
        <v>99.0</v>
      </c>
      <c r="B102" s="593"/>
      <c r="C102" s="586" t="s">
        <v>235</v>
      </c>
      <c r="D102" s="27"/>
      <c r="E102" s="27"/>
      <c r="F102" s="27"/>
      <c r="G102" s="27"/>
      <c r="H102" s="590">
        <v>3.0</v>
      </c>
      <c r="I102" s="591" t="s">
        <v>1034</v>
      </c>
      <c r="J102" s="583" t="s">
        <v>1065</v>
      </c>
      <c r="K102" s="581">
        <v>1352.0</v>
      </c>
      <c r="L102" s="581" t="s">
        <v>928</v>
      </c>
      <c r="M102" s="592"/>
      <c r="N102" s="602"/>
      <c r="O102" s="583" t="s">
        <v>1066</v>
      </c>
      <c r="P102" s="593"/>
      <c r="Q102" s="593"/>
      <c r="R102" s="594">
        <v>1378.0</v>
      </c>
      <c r="S102" s="595"/>
      <c r="T102" s="596"/>
      <c r="U102" s="574"/>
    </row>
    <row r="103">
      <c r="A103" s="585">
        <v>100.0</v>
      </c>
      <c r="B103" s="593"/>
      <c r="C103" s="586" t="s">
        <v>238</v>
      </c>
      <c r="D103" s="27"/>
      <c r="E103" s="40"/>
      <c r="F103" s="40"/>
      <c r="G103" s="27"/>
      <c r="H103" s="590">
        <v>3.0</v>
      </c>
      <c r="I103" s="591" t="s">
        <v>1034</v>
      </c>
      <c r="J103" s="583" t="s">
        <v>1065</v>
      </c>
      <c r="K103" s="581">
        <v>2149.0</v>
      </c>
      <c r="L103" s="581" t="s">
        <v>928</v>
      </c>
      <c r="M103" s="592"/>
      <c r="N103" s="602"/>
      <c r="O103" s="583" t="s">
        <v>1066</v>
      </c>
      <c r="P103" s="593"/>
      <c r="Q103" s="593"/>
      <c r="R103" s="594">
        <v>2180.0</v>
      </c>
      <c r="S103" s="595"/>
      <c r="T103" s="596"/>
      <c r="U103" s="574"/>
    </row>
    <row r="104">
      <c r="A104" s="585">
        <v>101.0</v>
      </c>
      <c r="B104" s="593"/>
      <c r="C104" s="586" t="s">
        <v>241</v>
      </c>
      <c r="D104" s="27"/>
      <c r="E104" s="588" t="s">
        <v>802</v>
      </c>
      <c r="F104" s="597">
        <v>8.122942497E9</v>
      </c>
      <c r="G104" s="27"/>
      <c r="H104" s="590">
        <v>3.0</v>
      </c>
      <c r="I104" s="591" t="s">
        <v>1034</v>
      </c>
      <c r="J104" s="583" t="s">
        <v>1067</v>
      </c>
      <c r="K104" s="581">
        <v>1085.0</v>
      </c>
      <c r="L104" s="593"/>
      <c r="M104" s="592"/>
      <c r="N104" s="602"/>
      <c r="O104" s="583" t="s">
        <v>1068</v>
      </c>
      <c r="P104" s="593"/>
      <c r="Q104" s="593"/>
      <c r="R104" s="594">
        <v>1089.0</v>
      </c>
      <c r="S104" s="595"/>
      <c r="T104" s="596"/>
      <c r="U104" s="574"/>
    </row>
    <row r="105">
      <c r="A105" s="585">
        <v>102.0</v>
      </c>
      <c r="B105" s="593"/>
      <c r="C105" s="586" t="s">
        <v>243</v>
      </c>
      <c r="D105" s="27"/>
      <c r="E105" s="27"/>
      <c r="F105" s="27"/>
      <c r="G105" s="27"/>
      <c r="H105" s="590">
        <v>3.0</v>
      </c>
      <c r="I105" s="591" t="s">
        <v>1034</v>
      </c>
      <c r="J105" s="583" t="s">
        <v>1069</v>
      </c>
      <c r="K105" s="581">
        <v>1116.0</v>
      </c>
      <c r="L105" s="581">
        <v>154.0</v>
      </c>
      <c r="M105" s="592"/>
      <c r="N105" s="602"/>
      <c r="O105" s="583" t="s">
        <v>1058</v>
      </c>
      <c r="P105" s="593"/>
      <c r="Q105" s="593"/>
      <c r="R105" s="594">
        <v>1256.0</v>
      </c>
      <c r="S105" s="595"/>
      <c r="T105" s="596"/>
      <c r="U105" s="574"/>
    </row>
    <row r="106">
      <c r="A106" s="585">
        <v>103.0</v>
      </c>
      <c r="B106" s="593"/>
      <c r="C106" s="586" t="s">
        <v>245</v>
      </c>
      <c r="D106" s="40"/>
      <c r="E106" s="40"/>
      <c r="F106" s="40"/>
      <c r="G106" s="27"/>
      <c r="H106" s="590">
        <v>3.0</v>
      </c>
      <c r="I106" s="591" t="s">
        <v>1034</v>
      </c>
      <c r="J106" s="583" t="s">
        <v>1070</v>
      </c>
      <c r="K106" s="581">
        <v>224.0</v>
      </c>
      <c r="L106" s="581">
        <v>44.0</v>
      </c>
      <c r="M106" s="592"/>
      <c r="N106" s="602"/>
      <c r="O106" s="583" t="s">
        <v>1071</v>
      </c>
      <c r="P106" s="593"/>
      <c r="Q106" s="593"/>
      <c r="R106" s="594">
        <v>269.0</v>
      </c>
      <c r="S106" s="595"/>
      <c r="T106" s="596"/>
      <c r="U106" s="574"/>
    </row>
    <row r="107">
      <c r="A107" s="585">
        <v>104.0</v>
      </c>
      <c r="B107" s="593"/>
      <c r="C107" s="586" t="s">
        <v>247</v>
      </c>
      <c r="D107" s="636" t="s">
        <v>786</v>
      </c>
      <c r="E107" s="583" t="s">
        <v>803</v>
      </c>
      <c r="F107" s="581">
        <v>8.595985011E10</v>
      </c>
      <c r="G107" s="27"/>
      <c r="H107" s="590">
        <v>3.0</v>
      </c>
      <c r="I107" s="591" t="s">
        <v>1034</v>
      </c>
      <c r="J107" s="583" t="s">
        <v>1072</v>
      </c>
      <c r="K107" s="593"/>
      <c r="L107" s="593"/>
      <c r="M107" s="592"/>
      <c r="N107" s="602"/>
      <c r="O107" s="583" t="s">
        <v>1073</v>
      </c>
      <c r="P107" s="593"/>
      <c r="Q107" s="593"/>
      <c r="R107" s="594">
        <v>1772.0</v>
      </c>
      <c r="S107" s="595"/>
      <c r="T107" s="596"/>
      <c r="U107" s="574"/>
    </row>
    <row r="108">
      <c r="A108" s="585">
        <v>105.0</v>
      </c>
      <c r="B108" s="593"/>
      <c r="C108" s="586" t="s">
        <v>249</v>
      </c>
      <c r="D108" s="587" t="s">
        <v>1074</v>
      </c>
      <c r="E108" s="615" t="s">
        <v>1075</v>
      </c>
      <c r="F108" s="627">
        <v>8.2240593569E10</v>
      </c>
      <c r="G108" s="27"/>
      <c r="H108" s="590">
        <v>3.0</v>
      </c>
      <c r="I108" s="591" t="s">
        <v>1034</v>
      </c>
      <c r="J108" s="583" t="s">
        <v>1072</v>
      </c>
      <c r="K108" s="593"/>
      <c r="L108" s="593"/>
      <c r="M108" s="592"/>
      <c r="N108" s="602"/>
      <c r="O108" s="583" t="s">
        <v>251</v>
      </c>
      <c r="P108" s="593"/>
      <c r="Q108" s="593"/>
      <c r="R108" s="594">
        <v>770.0</v>
      </c>
      <c r="S108" s="595"/>
      <c r="T108" s="596"/>
      <c r="U108" s="574"/>
    </row>
    <row r="109">
      <c r="A109" s="585">
        <v>106.0</v>
      </c>
      <c r="B109" s="593"/>
      <c r="C109" s="586" t="s">
        <v>252</v>
      </c>
      <c r="D109" s="27"/>
      <c r="E109" s="583" t="s">
        <v>806</v>
      </c>
      <c r="F109" s="581">
        <v>8.5717115105E10</v>
      </c>
      <c r="G109" s="27"/>
      <c r="H109" s="590">
        <v>3.0</v>
      </c>
      <c r="I109" s="591" t="s">
        <v>1034</v>
      </c>
      <c r="J109" s="583" t="s">
        <v>1072</v>
      </c>
      <c r="K109" s="593"/>
      <c r="L109" s="593"/>
      <c r="M109" s="592"/>
      <c r="N109" s="602"/>
      <c r="O109" s="583" t="s">
        <v>1066</v>
      </c>
      <c r="P109" s="593"/>
      <c r="Q109" s="593"/>
      <c r="R109" s="594">
        <v>1210.0</v>
      </c>
      <c r="S109" s="595"/>
      <c r="T109" s="596"/>
      <c r="U109" s="574"/>
    </row>
    <row r="110">
      <c r="A110" s="585">
        <v>107.0</v>
      </c>
      <c r="B110" s="593"/>
      <c r="C110" s="586" t="s">
        <v>254</v>
      </c>
      <c r="D110" s="27"/>
      <c r="E110" s="583" t="s">
        <v>807</v>
      </c>
      <c r="F110" s="581">
        <v>8.2316683835E10</v>
      </c>
      <c r="G110" s="27"/>
      <c r="H110" s="590">
        <v>3.0</v>
      </c>
      <c r="I110" s="591" t="s">
        <v>1034</v>
      </c>
      <c r="J110" s="586" t="s">
        <v>1076</v>
      </c>
      <c r="K110" s="581">
        <v>95.0</v>
      </c>
      <c r="L110" s="581" t="s">
        <v>928</v>
      </c>
      <c r="M110" s="592"/>
      <c r="N110" s="602"/>
      <c r="O110" s="583" t="s">
        <v>1066</v>
      </c>
      <c r="P110" s="593"/>
      <c r="Q110" s="593"/>
      <c r="R110" s="594">
        <v>1053.0</v>
      </c>
      <c r="S110" s="595"/>
      <c r="T110" s="596"/>
      <c r="U110" s="574"/>
    </row>
    <row r="111">
      <c r="A111" s="585">
        <v>108.0</v>
      </c>
      <c r="B111" s="593"/>
      <c r="C111" s="586" t="s">
        <v>256</v>
      </c>
      <c r="D111" s="27"/>
      <c r="E111" s="583" t="s">
        <v>808</v>
      </c>
      <c r="F111" s="608" t="s">
        <v>1077</v>
      </c>
      <c r="G111" s="27"/>
      <c r="H111" s="590">
        <v>3.0</v>
      </c>
      <c r="I111" s="591" t="s">
        <v>1034</v>
      </c>
      <c r="J111" s="583" t="s">
        <v>1078</v>
      </c>
      <c r="K111" s="581">
        <v>183.0</v>
      </c>
      <c r="L111" s="581" t="s">
        <v>928</v>
      </c>
      <c r="M111" s="592"/>
      <c r="N111" s="602"/>
      <c r="O111" s="583" t="s">
        <v>1066</v>
      </c>
      <c r="P111" s="593"/>
      <c r="Q111" s="593"/>
      <c r="R111" s="594">
        <v>190.0</v>
      </c>
      <c r="S111" s="595"/>
      <c r="T111" s="596"/>
      <c r="U111" s="574"/>
    </row>
    <row r="112">
      <c r="A112" s="585">
        <v>109.0</v>
      </c>
      <c r="B112" s="593"/>
      <c r="C112" s="586" t="s">
        <v>258</v>
      </c>
      <c r="D112" s="27"/>
      <c r="E112" s="583" t="s">
        <v>1079</v>
      </c>
      <c r="F112" s="581">
        <v>8.129592929E10</v>
      </c>
      <c r="G112" s="27"/>
      <c r="H112" s="590">
        <v>3.0</v>
      </c>
      <c r="I112" s="591" t="s">
        <v>1034</v>
      </c>
      <c r="J112" s="583" t="s">
        <v>1080</v>
      </c>
      <c r="K112" s="581">
        <v>496.0</v>
      </c>
      <c r="L112" s="593"/>
      <c r="M112" s="592"/>
      <c r="N112" s="602"/>
      <c r="O112" s="583" t="s">
        <v>1081</v>
      </c>
      <c r="P112" s="593"/>
      <c r="Q112" s="593"/>
      <c r="R112" s="594">
        <v>496.0</v>
      </c>
      <c r="S112" s="595"/>
      <c r="T112" s="596"/>
      <c r="U112" s="574"/>
    </row>
    <row r="113">
      <c r="A113" s="585">
        <v>110.0</v>
      </c>
      <c r="B113" s="593"/>
      <c r="C113" s="586" t="s">
        <v>260</v>
      </c>
      <c r="D113" s="40"/>
      <c r="E113" s="583" t="s">
        <v>810</v>
      </c>
      <c r="F113" s="608" t="s">
        <v>1082</v>
      </c>
      <c r="G113" s="27"/>
      <c r="H113" s="590">
        <v>3.0</v>
      </c>
      <c r="I113" s="591" t="s">
        <v>1034</v>
      </c>
      <c r="J113" s="583" t="s">
        <v>1078</v>
      </c>
      <c r="K113" s="581">
        <v>1267.0</v>
      </c>
      <c r="L113" s="581" t="s">
        <v>1083</v>
      </c>
      <c r="M113" s="592"/>
      <c r="N113" s="602"/>
      <c r="O113" s="583" t="s">
        <v>1066</v>
      </c>
      <c r="P113" s="593"/>
      <c r="Q113" s="593"/>
      <c r="R113" s="594">
        <v>1285.0</v>
      </c>
      <c r="S113" s="595"/>
      <c r="T113" s="596"/>
      <c r="U113" s="574"/>
    </row>
    <row r="114">
      <c r="A114" s="585">
        <v>111.0</v>
      </c>
      <c r="B114" s="593"/>
      <c r="C114" s="586" t="s">
        <v>263</v>
      </c>
      <c r="D114" s="587" t="s">
        <v>811</v>
      </c>
      <c r="E114" s="583" t="s">
        <v>812</v>
      </c>
      <c r="F114" s="581">
        <v>8.1379862105E10</v>
      </c>
      <c r="G114" s="27"/>
      <c r="H114" s="637">
        <v>6.0</v>
      </c>
      <c r="I114" s="638" t="s">
        <v>1084</v>
      </c>
      <c r="J114" s="583" t="s">
        <v>957</v>
      </c>
      <c r="K114" s="593"/>
      <c r="L114" s="593"/>
      <c r="M114" s="592"/>
      <c r="N114" s="602"/>
      <c r="O114" s="639"/>
      <c r="P114" s="593"/>
      <c r="Q114" s="593"/>
      <c r="R114" s="594">
        <v>945.0</v>
      </c>
      <c r="S114" s="595"/>
      <c r="T114" s="596"/>
      <c r="U114" s="574"/>
    </row>
    <row r="115">
      <c r="A115" s="585">
        <v>112.0</v>
      </c>
      <c r="B115" s="593"/>
      <c r="C115" s="586" t="s">
        <v>265</v>
      </c>
      <c r="D115" s="27"/>
      <c r="E115" s="583" t="s">
        <v>1085</v>
      </c>
      <c r="F115" s="581">
        <v>8.1211677469E10</v>
      </c>
      <c r="G115" s="27"/>
      <c r="H115" s="637">
        <v>6.0</v>
      </c>
      <c r="I115" s="638" t="s">
        <v>1084</v>
      </c>
      <c r="J115" s="583" t="s">
        <v>1072</v>
      </c>
      <c r="K115" s="581">
        <v>107.0</v>
      </c>
      <c r="L115" s="593"/>
      <c r="M115" s="592"/>
      <c r="N115" s="602"/>
      <c r="O115" s="583" t="s">
        <v>267</v>
      </c>
      <c r="P115" s="593"/>
      <c r="Q115" s="593"/>
      <c r="R115" s="594">
        <v>471.0</v>
      </c>
      <c r="S115" s="595"/>
      <c r="T115" s="596"/>
      <c r="U115" s="574"/>
    </row>
    <row r="116">
      <c r="A116" s="585">
        <v>113.0</v>
      </c>
      <c r="B116" s="593"/>
      <c r="C116" s="586" t="s">
        <v>268</v>
      </c>
      <c r="D116" s="27"/>
      <c r="E116" s="583" t="s">
        <v>814</v>
      </c>
      <c r="F116" s="585">
        <v>8.5328802822E10</v>
      </c>
      <c r="G116" s="27"/>
      <c r="H116" s="637">
        <v>6.0</v>
      </c>
      <c r="I116" s="638" t="s">
        <v>1084</v>
      </c>
      <c r="J116" s="583" t="s">
        <v>1086</v>
      </c>
      <c r="K116" s="581">
        <v>2075.0</v>
      </c>
      <c r="L116" s="581" t="s">
        <v>928</v>
      </c>
      <c r="M116" s="592"/>
      <c r="N116" s="602"/>
      <c r="O116" s="583" t="s">
        <v>1087</v>
      </c>
      <c r="P116" s="574"/>
      <c r="Q116" s="593"/>
      <c r="R116" s="594">
        <v>2557.0</v>
      </c>
      <c r="S116" s="595"/>
      <c r="T116" s="596"/>
      <c r="U116" s="574"/>
    </row>
    <row r="117">
      <c r="A117" s="585">
        <v>114.0</v>
      </c>
      <c r="B117" s="593"/>
      <c r="C117" s="586" t="s">
        <v>271</v>
      </c>
      <c r="D117" s="27"/>
      <c r="E117" s="583" t="s">
        <v>1088</v>
      </c>
      <c r="F117" s="585">
        <v>8.9652965147E10</v>
      </c>
      <c r="G117" s="27"/>
      <c r="H117" s="637">
        <v>6.0</v>
      </c>
      <c r="I117" s="638" t="s">
        <v>1084</v>
      </c>
      <c r="J117" s="583" t="s">
        <v>1072</v>
      </c>
      <c r="K117" s="581">
        <v>548.0</v>
      </c>
      <c r="L117" s="581" t="s">
        <v>928</v>
      </c>
      <c r="M117" s="592"/>
      <c r="N117" s="602"/>
      <c r="O117" s="583" t="s">
        <v>273</v>
      </c>
      <c r="P117" s="593"/>
      <c r="Q117" s="593"/>
      <c r="R117" s="594">
        <v>597.0</v>
      </c>
      <c r="S117" s="595"/>
      <c r="T117" s="596"/>
      <c r="U117" s="574"/>
    </row>
    <row r="118">
      <c r="A118" s="585">
        <v>115.0</v>
      </c>
      <c r="B118" s="593"/>
      <c r="C118" s="586" t="s">
        <v>274</v>
      </c>
      <c r="D118" s="40"/>
      <c r="E118" s="583" t="s">
        <v>816</v>
      </c>
      <c r="F118" s="608" t="s">
        <v>1089</v>
      </c>
      <c r="G118" s="27"/>
      <c r="H118" s="637">
        <v>6.0</v>
      </c>
      <c r="I118" s="638" t="s">
        <v>1084</v>
      </c>
      <c r="J118" s="583" t="s">
        <v>1090</v>
      </c>
      <c r="K118" s="581">
        <v>276.0</v>
      </c>
      <c r="L118" s="581" t="s">
        <v>928</v>
      </c>
      <c r="M118" s="592"/>
      <c r="N118" s="602"/>
      <c r="O118" s="583" t="s">
        <v>1091</v>
      </c>
      <c r="P118" s="582"/>
      <c r="Q118" s="593"/>
      <c r="R118" s="594">
        <v>360.0</v>
      </c>
      <c r="S118" s="595"/>
      <c r="T118" s="596"/>
      <c r="U118" s="574"/>
    </row>
    <row r="119">
      <c r="A119" s="585">
        <v>116.0</v>
      </c>
      <c r="B119" s="593"/>
      <c r="C119" s="586" t="s">
        <v>277</v>
      </c>
      <c r="D119" s="587" t="s">
        <v>1092</v>
      </c>
      <c r="E119" s="583" t="s">
        <v>1093</v>
      </c>
      <c r="F119" s="608" t="s">
        <v>1094</v>
      </c>
      <c r="G119" s="27"/>
      <c r="H119" s="637">
        <v>6.0</v>
      </c>
      <c r="I119" s="638" t="s">
        <v>1084</v>
      </c>
      <c r="J119" s="593"/>
      <c r="K119" s="581">
        <v>320.0</v>
      </c>
      <c r="L119" s="581" t="s">
        <v>1095</v>
      </c>
      <c r="M119" s="592"/>
      <c r="N119" s="602"/>
      <c r="O119" s="583" t="s">
        <v>1096</v>
      </c>
      <c r="P119" s="596"/>
      <c r="Q119" s="593"/>
      <c r="R119" s="594">
        <v>336.0</v>
      </c>
      <c r="S119" s="595"/>
      <c r="T119" s="596"/>
      <c r="U119" s="574"/>
    </row>
    <row r="120">
      <c r="A120" s="585">
        <v>117.0</v>
      </c>
      <c r="B120" s="593"/>
      <c r="C120" s="586" t="s">
        <v>279</v>
      </c>
      <c r="D120" s="27"/>
      <c r="E120" s="583" t="s">
        <v>1097</v>
      </c>
      <c r="F120" s="581">
        <v>8.1295564444E10</v>
      </c>
      <c r="G120" s="27"/>
      <c r="H120" s="637">
        <v>6.0</v>
      </c>
      <c r="I120" s="638" t="s">
        <v>1084</v>
      </c>
      <c r="J120" s="583" t="s">
        <v>1098</v>
      </c>
      <c r="K120" s="581">
        <v>741.0</v>
      </c>
      <c r="L120" s="581">
        <v>1706.0</v>
      </c>
      <c r="M120" s="592"/>
      <c r="N120" s="602"/>
      <c r="O120" s="583" t="s">
        <v>1099</v>
      </c>
      <c r="P120" s="596"/>
      <c r="Q120" s="593"/>
      <c r="R120" s="594">
        <v>774.0</v>
      </c>
      <c r="S120" s="595"/>
      <c r="T120" s="596"/>
      <c r="U120" s="574"/>
    </row>
    <row r="121">
      <c r="A121" s="585">
        <v>118.0</v>
      </c>
      <c r="B121" s="586" t="s">
        <v>692</v>
      </c>
      <c r="C121" s="586" t="s">
        <v>282</v>
      </c>
      <c r="D121" s="27"/>
      <c r="E121" s="640" t="s">
        <v>1100</v>
      </c>
      <c r="F121" s="641">
        <v>8.1249737879E10</v>
      </c>
      <c r="G121" s="27"/>
      <c r="H121" s="637">
        <v>6.0</v>
      </c>
      <c r="I121" s="638" t="s">
        <v>1084</v>
      </c>
      <c r="J121" s="640" t="s">
        <v>1101</v>
      </c>
      <c r="K121" s="581">
        <v>273.0</v>
      </c>
      <c r="L121" s="581">
        <v>656.0</v>
      </c>
      <c r="M121" s="592"/>
      <c r="N121" s="602"/>
      <c r="O121" s="583" t="s">
        <v>1102</v>
      </c>
      <c r="P121" s="596"/>
      <c r="Q121" s="593"/>
      <c r="R121" s="594">
        <v>316.0</v>
      </c>
      <c r="S121" s="595"/>
      <c r="T121" s="596"/>
      <c r="U121" s="574"/>
    </row>
    <row r="122">
      <c r="A122" s="585">
        <v>119.0</v>
      </c>
      <c r="B122" s="593"/>
      <c r="C122" s="586" t="s">
        <v>284</v>
      </c>
      <c r="D122" s="27"/>
      <c r="E122" s="640" t="s">
        <v>1103</v>
      </c>
      <c r="F122" s="641">
        <v>8.5732127009E10</v>
      </c>
      <c r="G122" s="27"/>
      <c r="H122" s="637">
        <v>6.0</v>
      </c>
      <c r="I122" s="638" t="s">
        <v>1084</v>
      </c>
      <c r="J122" s="640" t="s">
        <v>1104</v>
      </c>
      <c r="K122" s="581">
        <v>391.0</v>
      </c>
      <c r="L122" s="581">
        <v>2137.0</v>
      </c>
      <c r="M122" s="592"/>
      <c r="N122" s="602"/>
      <c r="O122" s="583" t="s">
        <v>1105</v>
      </c>
      <c r="P122" s="596"/>
      <c r="Q122" s="593"/>
      <c r="R122" s="594">
        <v>314.0</v>
      </c>
      <c r="S122" s="595"/>
      <c r="T122" s="596"/>
      <c r="U122" s="574"/>
    </row>
    <row r="123">
      <c r="A123" s="585">
        <v>120.0</v>
      </c>
      <c r="B123" s="593"/>
      <c r="C123" s="586" t="s">
        <v>286</v>
      </c>
      <c r="D123" s="40"/>
      <c r="E123" s="583" t="s">
        <v>822</v>
      </c>
      <c r="F123" s="581">
        <v>8.1280749591E10</v>
      </c>
      <c r="G123" s="27"/>
      <c r="H123" s="637">
        <v>6.0</v>
      </c>
      <c r="I123" s="638" t="s">
        <v>1084</v>
      </c>
      <c r="J123" s="583" t="s">
        <v>1106</v>
      </c>
      <c r="K123" s="581">
        <v>395.0</v>
      </c>
      <c r="L123" s="581">
        <v>258.0</v>
      </c>
      <c r="M123" s="592"/>
      <c r="N123" s="602"/>
      <c r="O123" s="586" t="s">
        <v>1107</v>
      </c>
      <c r="P123" s="596"/>
      <c r="Q123" s="593"/>
      <c r="R123" s="594">
        <v>402.0</v>
      </c>
      <c r="S123" s="595"/>
      <c r="T123" s="596"/>
      <c r="U123" s="574"/>
    </row>
    <row r="124">
      <c r="A124" s="585">
        <v>121.0</v>
      </c>
      <c r="B124" s="593"/>
      <c r="C124" s="586" t="s">
        <v>288</v>
      </c>
      <c r="D124" s="587" t="s">
        <v>823</v>
      </c>
      <c r="E124" s="583" t="s">
        <v>1108</v>
      </c>
      <c r="F124" s="581">
        <v>8.569520979E10</v>
      </c>
      <c r="G124" s="27"/>
      <c r="H124" s="637">
        <v>6.0</v>
      </c>
      <c r="I124" s="638" t="s">
        <v>1084</v>
      </c>
      <c r="J124" s="583" t="s">
        <v>1109</v>
      </c>
      <c r="K124" s="581">
        <v>697.0</v>
      </c>
      <c r="L124" s="581">
        <v>659.0</v>
      </c>
      <c r="M124" s="592"/>
      <c r="N124" s="602"/>
      <c r="O124" s="586" t="s">
        <v>1110</v>
      </c>
      <c r="P124" s="596"/>
      <c r="Q124" s="593"/>
      <c r="R124" s="594">
        <v>697.0</v>
      </c>
      <c r="S124" s="595"/>
      <c r="T124" s="596"/>
      <c r="U124" s="574"/>
    </row>
    <row r="125">
      <c r="A125" s="585">
        <v>122.0</v>
      </c>
      <c r="B125" s="586" t="s">
        <v>693</v>
      </c>
      <c r="C125" s="586" t="s">
        <v>291</v>
      </c>
      <c r="D125" s="27"/>
      <c r="E125" s="583" t="s">
        <v>825</v>
      </c>
      <c r="F125" s="581">
        <v>8.1319121578E10</v>
      </c>
      <c r="G125" s="27"/>
      <c r="H125" s="637">
        <v>6.0</v>
      </c>
      <c r="I125" s="638" t="s">
        <v>1084</v>
      </c>
      <c r="J125" s="583" t="s">
        <v>1111</v>
      </c>
      <c r="K125" s="581">
        <v>24.0</v>
      </c>
      <c r="L125" s="581">
        <v>24.0</v>
      </c>
      <c r="M125" s="592"/>
      <c r="N125" s="602"/>
      <c r="O125" s="586" t="s">
        <v>1110</v>
      </c>
      <c r="P125" s="596"/>
      <c r="Q125" s="593"/>
      <c r="R125" s="594">
        <v>24.0</v>
      </c>
      <c r="S125" s="595"/>
      <c r="T125" s="596"/>
      <c r="U125" s="574"/>
    </row>
    <row r="126">
      <c r="A126" s="585">
        <v>123.0</v>
      </c>
      <c r="B126" s="593"/>
      <c r="C126" s="586" t="s">
        <v>293</v>
      </c>
      <c r="D126" s="40"/>
      <c r="E126" s="607" t="s">
        <v>826</v>
      </c>
      <c r="F126" s="581">
        <v>8.9672323147E10</v>
      </c>
      <c r="G126" s="27"/>
      <c r="H126" s="637">
        <v>6.0</v>
      </c>
      <c r="I126" s="638" t="s">
        <v>1084</v>
      </c>
      <c r="J126" s="583" t="s">
        <v>1112</v>
      </c>
      <c r="K126" s="581">
        <v>46.0</v>
      </c>
      <c r="L126" s="593"/>
      <c r="M126" s="592"/>
      <c r="N126" s="602"/>
      <c r="O126" s="583" t="s">
        <v>1113</v>
      </c>
      <c r="P126" s="596"/>
      <c r="Q126" s="593"/>
      <c r="R126" s="594">
        <v>46.0</v>
      </c>
      <c r="S126" s="595"/>
      <c r="T126" s="596"/>
      <c r="U126" s="574"/>
    </row>
    <row r="127">
      <c r="A127" s="585">
        <v>124.0</v>
      </c>
      <c r="B127" s="593"/>
      <c r="C127" s="586" t="s">
        <v>295</v>
      </c>
      <c r="D127" s="587" t="s">
        <v>827</v>
      </c>
      <c r="E127" s="615" t="s">
        <v>1114</v>
      </c>
      <c r="F127" s="627">
        <v>8.9636015111E10</v>
      </c>
      <c r="G127" s="27"/>
      <c r="H127" s="637">
        <v>6.0</v>
      </c>
      <c r="I127" s="638" t="s">
        <v>1084</v>
      </c>
      <c r="J127" s="583" t="s">
        <v>1072</v>
      </c>
      <c r="K127" s="593"/>
      <c r="L127" s="593"/>
      <c r="M127" s="592"/>
      <c r="N127" s="602"/>
      <c r="O127" s="583" t="s">
        <v>1115</v>
      </c>
      <c r="P127" s="596"/>
      <c r="Q127" s="593"/>
      <c r="R127" s="594">
        <v>792.0</v>
      </c>
      <c r="S127" s="595"/>
      <c r="T127" s="596"/>
      <c r="U127" s="574"/>
    </row>
    <row r="128">
      <c r="A128" s="585">
        <v>125.0</v>
      </c>
      <c r="B128" s="593"/>
      <c r="C128" s="586" t="s">
        <v>297</v>
      </c>
      <c r="D128" s="27"/>
      <c r="E128" s="583" t="s">
        <v>1116</v>
      </c>
      <c r="F128" s="581" t="s">
        <v>1117</v>
      </c>
      <c r="G128" s="27"/>
      <c r="H128" s="637">
        <v>6.0</v>
      </c>
      <c r="I128" s="638" t="s">
        <v>1084</v>
      </c>
      <c r="J128" s="583" t="s">
        <v>1072</v>
      </c>
      <c r="K128" s="581">
        <v>109.0</v>
      </c>
      <c r="L128" s="581" t="s">
        <v>928</v>
      </c>
      <c r="M128" s="592"/>
      <c r="N128" s="602"/>
      <c r="O128" s="583" t="s">
        <v>1118</v>
      </c>
      <c r="P128" s="596"/>
      <c r="Q128" s="593"/>
      <c r="R128" s="594">
        <v>493.0</v>
      </c>
      <c r="S128" s="595"/>
      <c r="T128" s="596"/>
      <c r="U128" s="574"/>
    </row>
    <row r="129">
      <c r="A129" s="585">
        <v>126.0</v>
      </c>
      <c r="B129" s="593"/>
      <c r="C129" s="586" t="s">
        <v>300</v>
      </c>
      <c r="D129" s="40"/>
      <c r="E129" s="607" t="s">
        <v>1119</v>
      </c>
      <c r="F129" s="581">
        <v>8.1210073339E10</v>
      </c>
      <c r="G129" s="27"/>
      <c r="H129" s="637">
        <v>6.0</v>
      </c>
      <c r="I129" s="638" t="s">
        <v>1084</v>
      </c>
      <c r="J129" s="583" t="s">
        <v>1120</v>
      </c>
      <c r="K129" s="581">
        <v>579.0</v>
      </c>
      <c r="L129" s="593"/>
      <c r="M129" s="592"/>
      <c r="N129" s="602"/>
      <c r="O129" s="586" t="s">
        <v>1121</v>
      </c>
      <c r="P129" s="596"/>
      <c r="Q129" s="593"/>
      <c r="R129" s="594">
        <v>315.0</v>
      </c>
      <c r="S129" s="595"/>
      <c r="T129" s="596"/>
      <c r="U129" s="574"/>
    </row>
    <row r="130">
      <c r="A130" s="585">
        <v>127.0</v>
      </c>
      <c r="B130" s="593"/>
      <c r="C130" s="586" t="s">
        <v>302</v>
      </c>
      <c r="D130" s="587" t="s">
        <v>831</v>
      </c>
      <c r="E130" s="583" t="s">
        <v>1122</v>
      </c>
      <c r="F130" s="581">
        <v>8.1271532977E10</v>
      </c>
      <c r="G130" s="27"/>
      <c r="H130" s="637">
        <v>6.0</v>
      </c>
      <c r="I130" s="638" t="s">
        <v>1084</v>
      </c>
      <c r="J130" s="583" t="s">
        <v>1123</v>
      </c>
      <c r="K130" s="581">
        <v>1388.0</v>
      </c>
      <c r="L130" s="581">
        <v>1311.0</v>
      </c>
      <c r="M130" s="592"/>
      <c r="N130" s="602"/>
      <c r="O130" s="583" t="s">
        <v>1124</v>
      </c>
      <c r="P130" s="596"/>
      <c r="Q130" s="593"/>
      <c r="R130" s="594">
        <v>1427.0</v>
      </c>
      <c r="S130" s="595"/>
      <c r="T130" s="596"/>
      <c r="U130" s="574"/>
    </row>
    <row r="131">
      <c r="A131" s="585">
        <v>128.0</v>
      </c>
      <c r="B131" s="593"/>
      <c r="C131" s="586" t="s">
        <v>304</v>
      </c>
      <c r="D131" s="27"/>
      <c r="E131" s="586" t="s">
        <v>833</v>
      </c>
      <c r="F131" s="581" t="s">
        <v>1125</v>
      </c>
      <c r="G131" s="27"/>
      <c r="H131" s="637">
        <v>6.0</v>
      </c>
      <c r="I131" s="638" t="s">
        <v>1084</v>
      </c>
      <c r="J131" s="583" t="s">
        <v>1126</v>
      </c>
      <c r="K131" s="581">
        <v>2717.0</v>
      </c>
      <c r="L131" s="581">
        <v>3268.0</v>
      </c>
      <c r="M131" s="592"/>
      <c r="N131" s="602"/>
      <c r="O131" s="586" t="s">
        <v>1110</v>
      </c>
      <c r="P131" s="596"/>
      <c r="Q131" s="593"/>
      <c r="R131" s="594">
        <v>3101.0</v>
      </c>
      <c r="S131" s="595"/>
      <c r="T131" s="596"/>
      <c r="U131" s="574"/>
    </row>
    <row r="132">
      <c r="A132" s="585">
        <v>129.0</v>
      </c>
      <c r="B132" s="593"/>
      <c r="C132" s="586" t="s">
        <v>306</v>
      </c>
      <c r="D132" s="27"/>
      <c r="E132" s="586" t="s">
        <v>834</v>
      </c>
      <c r="F132" s="581">
        <v>8.1808177102E10</v>
      </c>
      <c r="G132" s="27"/>
      <c r="H132" s="637">
        <v>6.0</v>
      </c>
      <c r="I132" s="638" t="s">
        <v>1084</v>
      </c>
      <c r="J132" s="583" t="s">
        <v>1127</v>
      </c>
      <c r="K132" s="581">
        <v>439.0</v>
      </c>
      <c r="L132" s="581">
        <v>436.0</v>
      </c>
      <c r="M132" s="592"/>
      <c r="N132" s="602"/>
      <c r="O132" s="583" t="s">
        <v>1128</v>
      </c>
      <c r="P132" s="596"/>
      <c r="Q132" s="593"/>
      <c r="R132" s="594">
        <v>719.0</v>
      </c>
      <c r="S132" s="595"/>
      <c r="T132" s="596"/>
      <c r="U132" s="574"/>
    </row>
    <row r="133">
      <c r="A133" s="585">
        <v>130.0</v>
      </c>
      <c r="B133" s="593"/>
      <c r="C133" s="586" t="s">
        <v>309</v>
      </c>
      <c r="D133" s="27"/>
      <c r="E133" s="583" t="s">
        <v>835</v>
      </c>
      <c r="F133" s="581">
        <v>8.3149737666E10</v>
      </c>
      <c r="G133" s="27"/>
      <c r="H133" s="637">
        <v>6.0</v>
      </c>
      <c r="I133" s="638" t="s">
        <v>1084</v>
      </c>
      <c r="J133" s="583" t="s">
        <v>1129</v>
      </c>
      <c r="K133" s="581">
        <v>1146.0</v>
      </c>
      <c r="L133" s="581">
        <v>37.0</v>
      </c>
      <c r="M133" s="592"/>
      <c r="N133" s="602"/>
      <c r="O133" s="583" t="s">
        <v>1130</v>
      </c>
      <c r="P133" s="596"/>
      <c r="Q133" s="593"/>
      <c r="R133" s="594">
        <v>2067.0</v>
      </c>
      <c r="S133" s="595"/>
      <c r="T133" s="596"/>
      <c r="U133" s="574"/>
    </row>
    <row r="134">
      <c r="A134" s="585">
        <v>131.0</v>
      </c>
      <c r="B134" s="593"/>
      <c r="C134" s="586" t="s">
        <v>311</v>
      </c>
      <c r="D134" s="27"/>
      <c r="E134" s="583" t="s">
        <v>836</v>
      </c>
      <c r="F134" s="581">
        <v>8.1807136092E10</v>
      </c>
      <c r="G134" s="27"/>
      <c r="H134" s="637">
        <v>6.0</v>
      </c>
      <c r="I134" s="638" t="s">
        <v>1084</v>
      </c>
      <c r="J134" s="583" t="s">
        <v>1040</v>
      </c>
      <c r="K134" s="593"/>
      <c r="L134" s="593"/>
      <c r="M134" s="592"/>
      <c r="N134" s="602"/>
      <c r="O134" s="586" t="s">
        <v>1131</v>
      </c>
      <c r="P134" s="596"/>
      <c r="Q134" s="593"/>
      <c r="R134" s="594">
        <v>154.0</v>
      </c>
      <c r="S134" s="595"/>
      <c r="T134" s="596"/>
      <c r="U134" s="574"/>
    </row>
    <row r="135">
      <c r="A135" s="585">
        <v>132.0</v>
      </c>
      <c r="B135" s="593"/>
      <c r="C135" s="586" t="s">
        <v>313</v>
      </c>
      <c r="D135" s="40"/>
      <c r="E135" s="583" t="s">
        <v>837</v>
      </c>
      <c r="F135" s="581">
        <v>8.7873757736E10</v>
      </c>
      <c r="G135" s="27"/>
      <c r="H135" s="637">
        <v>6.0</v>
      </c>
      <c r="I135" s="638" t="s">
        <v>1084</v>
      </c>
      <c r="J135" s="583" t="s">
        <v>1132</v>
      </c>
      <c r="K135" s="581">
        <v>1248.0</v>
      </c>
      <c r="L135" s="581">
        <v>46.0</v>
      </c>
      <c r="M135" s="592"/>
      <c r="N135" s="602"/>
      <c r="O135" s="583" t="s">
        <v>1133</v>
      </c>
      <c r="P135" s="596"/>
      <c r="Q135" s="593"/>
      <c r="R135" s="594">
        <v>821.0</v>
      </c>
      <c r="S135" s="595"/>
      <c r="T135" s="596"/>
      <c r="U135" s="574"/>
    </row>
    <row r="136">
      <c r="A136" s="585">
        <v>133.0</v>
      </c>
      <c r="B136" s="593"/>
      <c r="C136" s="586" t="s">
        <v>315</v>
      </c>
      <c r="D136" s="587" t="s">
        <v>838</v>
      </c>
      <c r="E136" s="583" t="s">
        <v>1134</v>
      </c>
      <c r="F136" s="581">
        <v>8.1221923484E10</v>
      </c>
      <c r="G136" s="27"/>
      <c r="H136" s="637">
        <v>6.0</v>
      </c>
      <c r="I136" s="638" t="s">
        <v>1084</v>
      </c>
      <c r="J136" s="583" t="s">
        <v>1135</v>
      </c>
      <c r="K136" s="593"/>
      <c r="L136" s="593"/>
      <c r="M136" s="592"/>
      <c r="N136" s="602"/>
      <c r="O136" s="583" t="s">
        <v>1136</v>
      </c>
      <c r="P136" s="596"/>
      <c r="Q136" s="593"/>
      <c r="R136" s="594">
        <v>248.0</v>
      </c>
      <c r="S136" s="595"/>
      <c r="T136" s="596"/>
      <c r="U136" s="574"/>
    </row>
    <row r="137">
      <c r="A137" s="585">
        <v>134.0</v>
      </c>
      <c r="B137" s="593"/>
      <c r="C137" s="586" t="s">
        <v>317</v>
      </c>
      <c r="D137" s="27"/>
      <c r="E137" s="583" t="s">
        <v>1137</v>
      </c>
      <c r="F137" s="581" t="s">
        <v>1138</v>
      </c>
      <c r="G137" s="27"/>
      <c r="H137" s="637">
        <v>6.0</v>
      </c>
      <c r="I137" s="638" t="s">
        <v>1084</v>
      </c>
      <c r="J137" s="583" t="s">
        <v>1139</v>
      </c>
      <c r="K137" s="581">
        <v>637.0</v>
      </c>
      <c r="L137" s="581">
        <v>204.0</v>
      </c>
      <c r="M137" s="592"/>
      <c r="N137" s="602"/>
      <c r="O137" s="586" t="s">
        <v>1110</v>
      </c>
      <c r="P137" s="596"/>
      <c r="Q137" s="593"/>
      <c r="R137" s="594">
        <v>681.0</v>
      </c>
      <c r="S137" s="595"/>
      <c r="T137" s="596"/>
      <c r="U137" s="574"/>
    </row>
    <row r="138">
      <c r="A138" s="585">
        <v>135.0</v>
      </c>
      <c r="B138" s="593"/>
      <c r="C138" s="586" t="s">
        <v>319</v>
      </c>
      <c r="D138" s="27"/>
      <c r="E138" s="640" t="s">
        <v>841</v>
      </c>
      <c r="F138" s="641">
        <v>8.9639593238E10</v>
      </c>
      <c r="G138" s="27"/>
      <c r="H138" s="637">
        <v>6.0</v>
      </c>
      <c r="I138" s="638" t="s">
        <v>1084</v>
      </c>
      <c r="J138" s="640" t="s">
        <v>1140</v>
      </c>
      <c r="K138" s="581">
        <v>888.0</v>
      </c>
      <c r="L138" s="581" t="s">
        <v>928</v>
      </c>
      <c r="M138" s="592"/>
      <c r="N138" s="602"/>
      <c r="O138" s="586" t="s">
        <v>1141</v>
      </c>
      <c r="P138" s="596"/>
      <c r="Q138" s="593"/>
      <c r="R138" s="594">
        <v>932.0</v>
      </c>
      <c r="S138" s="595"/>
      <c r="T138" s="596"/>
      <c r="U138" s="574"/>
    </row>
    <row r="139">
      <c r="A139" s="585">
        <v>136.0</v>
      </c>
      <c r="B139" s="593"/>
      <c r="C139" s="586" t="s">
        <v>321</v>
      </c>
      <c r="D139" s="27"/>
      <c r="E139" s="607" t="s">
        <v>1142</v>
      </c>
      <c r="F139" s="581">
        <v>8.1311950722E10</v>
      </c>
      <c r="G139" s="27"/>
      <c r="H139" s="637">
        <v>6.0</v>
      </c>
      <c r="I139" s="638" t="s">
        <v>1084</v>
      </c>
      <c r="J139" s="583" t="s">
        <v>1143</v>
      </c>
      <c r="K139" s="581">
        <v>763.0</v>
      </c>
      <c r="L139" s="593"/>
      <c r="M139" s="592"/>
      <c r="N139" s="602"/>
      <c r="O139" s="586" t="s">
        <v>1144</v>
      </c>
      <c r="P139" s="596"/>
      <c r="Q139" s="593"/>
      <c r="R139" s="594">
        <v>813.0</v>
      </c>
      <c r="S139" s="595"/>
      <c r="T139" s="596"/>
      <c r="U139" s="574"/>
    </row>
    <row r="140">
      <c r="A140" s="585">
        <v>137.0</v>
      </c>
      <c r="B140" s="593"/>
      <c r="C140" s="586" t="s">
        <v>323</v>
      </c>
      <c r="D140" s="27"/>
      <c r="E140" s="583" t="s">
        <v>843</v>
      </c>
      <c r="F140" s="581">
        <v>8.2114155521E10</v>
      </c>
      <c r="G140" s="27"/>
      <c r="H140" s="637">
        <v>6.0</v>
      </c>
      <c r="I140" s="638" t="s">
        <v>1084</v>
      </c>
      <c r="J140" s="583" t="s">
        <v>991</v>
      </c>
      <c r="K140" s="581">
        <v>620.0</v>
      </c>
      <c r="L140" s="581" t="s">
        <v>928</v>
      </c>
      <c r="M140" s="592"/>
      <c r="N140" s="602"/>
      <c r="O140" s="583" t="s">
        <v>1145</v>
      </c>
      <c r="P140" s="596"/>
      <c r="Q140" s="593"/>
      <c r="R140" s="594">
        <v>668.0</v>
      </c>
      <c r="S140" s="595"/>
      <c r="T140" s="596"/>
      <c r="U140" s="574"/>
    </row>
    <row r="141">
      <c r="A141" s="585">
        <v>138.0</v>
      </c>
      <c r="B141" s="593"/>
      <c r="C141" s="586" t="s">
        <v>325</v>
      </c>
      <c r="D141" s="27"/>
      <c r="E141" s="583" t="s">
        <v>844</v>
      </c>
      <c r="F141" s="581">
        <v>8.2123103779E10</v>
      </c>
      <c r="G141" s="27"/>
      <c r="H141" s="637">
        <v>6.0</v>
      </c>
      <c r="I141" s="638" t="s">
        <v>1084</v>
      </c>
      <c r="J141" s="583" t="s">
        <v>1076</v>
      </c>
      <c r="K141" s="609">
        <v>260.0</v>
      </c>
      <c r="L141" s="581" t="s">
        <v>928</v>
      </c>
      <c r="M141" s="592"/>
      <c r="N141" s="602"/>
      <c r="O141" s="583" t="s">
        <v>1146</v>
      </c>
      <c r="P141" s="582"/>
      <c r="Q141" s="593"/>
      <c r="R141" s="594">
        <v>263.0</v>
      </c>
      <c r="S141" s="595"/>
      <c r="T141" s="596"/>
      <c r="U141" s="574"/>
    </row>
    <row r="142">
      <c r="A142" s="585">
        <v>139.0</v>
      </c>
      <c r="B142" s="593"/>
      <c r="C142" s="586" t="s">
        <v>327</v>
      </c>
      <c r="D142" s="27"/>
      <c r="E142" s="583" t="s">
        <v>846</v>
      </c>
      <c r="F142" s="581">
        <v>8.5693881054E10</v>
      </c>
      <c r="G142" s="27"/>
      <c r="H142" s="637">
        <v>6.0</v>
      </c>
      <c r="I142" s="638" t="s">
        <v>1084</v>
      </c>
      <c r="J142" s="583" t="s">
        <v>967</v>
      </c>
      <c r="K142" s="581">
        <v>707.0</v>
      </c>
      <c r="L142" s="581" t="s">
        <v>928</v>
      </c>
      <c r="M142" s="592"/>
      <c r="N142" s="602"/>
      <c r="O142" s="586" t="s">
        <v>1147</v>
      </c>
      <c r="P142" s="593"/>
      <c r="Q142" s="593"/>
      <c r="R142" s="594">
        <v>716.0</v>
      </c>
      <c r="S142" s="595"/>
      <c r="T142" s="596"/>
      <c r="U142" s="574"/>
    </row>
    <row r="143">
      <c r="A143" s="585">
        <v>140.0</v>
      </c>
      <c r="B143" s="593"/>
      <c r="C143" s="586" t="s">
        <v>328</v>
      </c>
      <c r="D143" s="27"/>
      <c r="E143" s="583" t="s">
        <v>847</v>
      </c>
      <c r="F143" s="608" t="s">
        <v>1148</v>
      </c>
      <c r="G143" s="27"/>
      <c r="H143" s="637">
        <v>6.0</v>
      </c>
      <c r="I143" s="638" t="s">
        <v>1084</v>
      </c>
      <c r="J143" s="583" t="s">
        <v>1149</v>
      </c>
      <c r="K143" s="581">
        <v>1401.0</v>
      </c>
      <c r="L143" s="581" t="s">
        <v>928</v>
      </c>
      <c r="M143" s="592"/>
      <c r="N143" s="602"/>
      <c r="O143" s="586" t="s">
        <v>1150</v>
      </c>
      <c r="P143" s="593"/>
      <c r="Q143" s="593"/>
      <c r="R143" s="594">
        <v>1407.0</v>
      </c>
      <c r="S143" s="595"/>
      <c r="T143" s="596"/>
      <c r="U143" s="574"/>
    </row>
    <row r="144">
      <c r="A144" s="585">
        <v>141.0</v>
      </c>
      <c r="B144" s="593"/>
      <c r="C144" s="586" t="s">
        <v>330</v>
      </c>
      <c r="D144" s="27"/>
      <c r="E144" s="640" t="s">
        <v>848</v>
      </c>
      <c r="F144" s="641">
        <v>8.1314463338E10</v>
      </c>
      <c r="G144" s="27"/>
      <c r="H144" s="637">
        <v>6.0</v>
      </c>
      <c r="I144" s="638" t="s">
        <v>1084</v>
      </c>
      <c r="J144" s="640" t="s">
        <v>1151</v>
      </c>
      <c r="K144" s="581">
        <v>1150.0</v>
      </c>
      <c r="L144" s="581" t="s">
        <v>928</v>
      </c>
      <c r="M144" s="592"/>
      <c r="N144" s="602"/>
      <c r="O144" s="583" t="s">
        <v>1152</v>
      </c>
      <c r="P144" s="582"/>
      <c r="Q144" s="593"/>
      <c r="R144" s="594">
        <v>1212.0</v>
      </c>
      <c r="S144" s="595"/>
      <c r="T144" s="596"/>
      <c r="U144" s="574"/>
    </row>
    <row r="145">
      <c r="A145" s="585">
        <v>142.0</v>
      </c>
      <c r="B145" s="593"/>
      <c r="C145" s="586" t="s">
        <v>332</v>
      </c>
      <c r="D145" s="27"/>
      <c r="E145" s="640" t="s">
        <v>849</v>
      </c>
      <c r="F145" s="641">
        <v>8.1283938104E10</v>
      </c>
      <c r="G145" s="27"/>
      <c r="H145" s="637">
        <v>6.0</v>
      </c>
      <c r="I145" s="638" t="s">
        <v>1084</v>
      </c>
      <c r="J145" s="640" t="s">
        <v>1153</v>
      </c>
      <c r="K145" s="581">
        <v>496.0</v>
      </c>
      <c r="L145" s="581" t="s">
        <v>928</v>
      </c>
      <c r="M145" s="592"/>
      <c r="N145" s="602"/>
      <c r="O145" s="586" t="s">
        <v>1154</v>
      </c>
      <c r="P145" s="593"/>
      <c r="Q145" s="593"/>
      <c r="R145" s="594">
        <v>185.0</v>
      </c>
      <c r="S145" s="595"/>
      <c r="T145" s="596"/>
      <c r="U145" s="574"/>
    </row>
    <row r="146">
      <c r="A146" s="585">
        <v>143.0</v>
      </c>
      <c r="B146" s="586" t="s">
        <v>694</v>
      </c>
      <c r="C146" s="586" t="s">
        <v>335</v>
      </c>
      <c r="D146" s="40"/>
      <c r="E146" s="583" t="s">
        <v>850</v>
      </c>
      <c r="F146" s="581">
        <v>8.1221923484E10</v>
      </c>
      <c r="G146" s="27"/>
      <c r="H146" s="637">
        <v>6.0</v>
      </c>
      <c r="I146" s="638" t="s">
        <v>1084</v>
      </c>
      <c r="J146" s="586" t="s">
        <v>1155</v>
      </c>
      <c r="K146" s="581">
        <v>636.0</v>
      </c>
      <c r="L146" s="581" t="s">
        <v>928</v>
      </c>
      <c r="M146" s="592"/>
      <c r="N146" s="602"/>
      <c r="O146" s="586" t="s">
        <v>1154</v>
      </c>
      <c r="P146" s="593"/>
      <c r="Q146" s="593"/>
      <c r="R146" s="594">
        <v>753.0</v>
      </c>
      <c r="S146" s="595"/>
      <c r="T146" s="596"/>
      <c r="U146" s="574"/>
    </row>
    <row r="147">
      <c r="A147" s="585">
        <v>144.0</v>
      </c>
      <c r="B147" s="593"/>
      <c r="C147" s="586" t="s">
        <v>337</v>
      </c>
      <c r="D147" s="587" t="s">
        <v>851</v>
      </c>
      <c r="E147" s="583" t="s">
        <v>852</v>
      </c>
      <c r="F147" s="581">
        <v>8.121339758E10</v>
      </c>
      <c r="G147" s="27"/>
      <c r="H147" s="637">
        <v>6.0</v>
      </c>
      <c r="I147" s="638" t="s">
        <v>1084</v>
      </c>
      <c r="J147" s="583" t="s">
        <v>1156</v>
      </c>
      <c r="K147" s="642">
        <v>1197.0</v>
      </c>
      <c r="L147" s="581">
        <v>1197.0</v>
      </c>
      <c r="M147" s="592"/>
      <c r="N147" s="602"/>
      <c r="O147" s="586" t="s">
        <v>1157</v>
      </c>
      <c r="P147" s="593"/>
      <c r="Q147" s="593"/>
      <c r="R147" s="594">
        <v>4208.0</v>
      </c>
      <c r="S147" s="595"/>
      <c r="T147" s="596"/>
      <c r="U147" s="574"/>
    </row>
    <row r="148">
      <c r="A148" s="585">
        <v>145.0</v>
      </c>
      <c r="B148" s="593"/>
      <c r="C148" s="586" t="s">
        <v>339</v>
      </c>
      <c r="D148" s="27"/>
      <c r="E148" s="583" t="s">
        <v>853</v>
      </c>
      <c r="F148" s="581" t="s">
        <v>1158</v>
      </c>
      <c r="G148" s="27"/>
      <c r="H148" s="637">
        <v>6.0</v>
      </c>
      <c r="I148" s="638" t="s">
        <v>1084</v>
      </c>
      <c r="J148" s="643" t="s">
        <v>1076</v>
      </c>
      <c r="K148" s="642">
        <v>216.0</v>
      </c>
      <c r="L148" s="642">
        <v>216.0</v>
      </c>
      <c r="M148" s="592"/>
      <c r="N148" s="602"/>
      <c r="O148" s="586" t="s">
        <v>1157</v>
      </c>
      <c r="P148" s="593"/>
      <c r="Q148" s="593"/>
      <c r="R148" s="594">
        <v>1708.0</v>
      </c>
      <c r="S148" s="595"/>
      <c r="T148" s="596"/>
      <c r="U148" s="574"/>
    </row>
    <row r="149">
      <c r="A149" s="585">
        <v>146.0</v>
      </c>
      <c r="B149" s="586" t="s">
        <v>695</v>
      </c>
      <c r="C149" s="586" t="s">
        <v>342</v>
      </c>
      <c r="D149" s="27"/>
      <c r="E149" s="583" t="s">
        <v>854</v>
      </c>
      <c r="F149" s="581">
        <v>8.1310228458E10</v>
      </c>
      <c r="G149" s="40"/>
      <c r="H149" s="637">
        <v>6.0</v>
      </c>
      <c r="I149" s="638" t="s">
        <v>1084</v>
      </c>
      <c r="J149" s="583" t="s">
        <v>1098</v>
      </c>
      <c r="K149" s="581">
        <v>94.0</v>
      </c>
      <c r="L149" s="581">
        <v>7.0</v>
      </c>
      <c r="M149" s="592"/>
      <c r="N149" s="602"/>
      <c r="O149" s="583" t="s">
        <v>1159</v>
      </c>
      <c r="P149" s="582"/>
      <c r="Q149" s="593"/>
      <c r="R149" s="594">
        <v>97.0</v>
      </c>
      <c r="S149" s="595"/>
      <c r="T149" s="596"/>
      <c r="U149" s="574"/>
    </row>
    <row r="150">
      <c r="A150" s="585">
        <v>147.0</v>
      </c>
      <c r="B150" s="593"/>
      <c r="C150" s="586" t="s">
        <v>344</v>
      </c>
      <c r="D150" s="27"/>
      <c r="E150" s="583" t="s">
        <v>855</v>
      </c>
      <c r="F150" s="585" t="s">
        <v>1160</v>
      </c>
      <c r="G150" s="589" t="s">
        <v>1161</v>
      </c>
      <c r="H150" s="644">
        <v>5.0</v>
      </c>
      <c r="I150" s="645" t="s">
        <v>1162</v>
      </c>
      <c r="J150" s="643" t="s">
        <v>1076</v>
      </c>
      <c r="K150" s="586" t="s">
        <v>1163</v>
      </c>
      <c r="L150" s="642">
        <v>148.0</v>
      </c>
      <c r="M150" s="592"/>
      <c r="N150" s="602"/>
      <c r="O150" s="583" t="s">
        <v>1164</v>
      </c>
      <c r="P150" s="593"/>
      <c r="Q150" s="593"/>
      <c r="R150" s="594">
        <v>148.0</v>
      </c>
      <c r="S150" s="595"/>
      <c r="T150" s="596"/>
      <c r="U150" s="574"/>
    </row>
    <row r="151">
      <c r="A151" s="585">
        <v>148.0</v>
      </c>
      <c r="B151" s="593"/>
      <c r="C151" s="586" t="s">
        <v>346</v>
      </c>
      <c r="D151" s="27"/>
      <c r="E151" s="583" t="s">
        <v>856</v>
      </c>
      <c r="F151" s="581" t="s">
        <v>1165</v>
      </c>
      <c r="G151" s="27"/>
      <c r="H151" s="644">
        <v>5.0</v>
      </c>
      <c r="I151" s="645" t="s">
        <v>1162</v>
      </c>
      <c r="J151" s="586" t="s">
        <v>1076</v>
      </c>
      <c r="K151" s="574"/>
      <c r="L151" s="574"/>
      <c r="M151" s="585">
        <v>18.0</v>
      </c>
      <c r="N151" s="581">
        <v>18.0</v>
      </c>
      <c r="O151" s="583" t="s">
        <v>1166</v>
      </c>
      <c r="P151" s="593"/>
      <c r="Q151" s="593"/>
      <c r="R151" s="594">
        <v>18.0</v>
      </c>
      <c r="S151" s="595"/>
      <c r="T151" s="596"/>
      <c r="U151" s="574"/>
    </row>
    <row r="152">
      <c r="A152" s="585">
        <v>149.0</v>
      </c>
      <c r="B152" s="593"/>
      <c r="C152" s="586" t="s">
        <v>348</v>
      </c>
      <c r="D152" s="40"/>
      <c r="E152" s="583" t="s">
        <v>857</v>
      </c>
      <c r="F152" s="581">
        <v>8.118882223E9</v>
      </c>
      <c r="G152" s="27"/>
      <c r="H152" s="644">
        <v>5.0</v>
      </c>
      <c r="I152" s="645" t="s">
        <v>1162</v>
      </c>
      <c r="J152" s="583" t="s">
        <v>1167</v>
      </c>
      <c r="K152" s="581">
        <v>0.0</v>
      </c>
      <c r="L152" s="581" t="s">
        <v>928</v>
      </c>
      <c r="M152" s="585">
        <v>0.0</v>
      </c>
      <c r="N152" s="646">
        <v>0.0</v>
      </c>
      <c r="O152" s="583" t="s">
        <v>1168</v>
      </c>
      <c r="P152" s="593"/>
      <c r="Q152" s="593"/>
      <c r="R152" s="594">
        <v>19.0</v>
      </c>
      <c r="S152" s="595"/>
      <c r="T152" s="596"/>
      <c r="U152" s="574"/>
    </row>
    <row r="153">
      <c r="A153" s="585">
        <v>150.0</v>
      </c>
      <c r="B153" s="586" t="s">
        <v>696</v>
      </c>
      <c r="C153" s="586" t="s">
        <v>350</v>
      </c>
      <c r="D153" s="587" t="s">
        <v>885</v>
      </c>
      <c r="E153" s="647" t="s">
        <v>1169</v>
      </c>
      <c r="F153" s="581">
        <v>8.1260604462E10</v>
      </c>
      <c r="G153" s="27"/>
      <c r="H153" s="644">
        <v>5.0</v>
      </c>
      <c r="I153" s="645" t="s">
        <v>1162</v>
      </c>
      <c r="J153" s="583" t="s">
        <v>1170</v>
      </c>
      <c r="K153" s="586" t="s">
        <v>1171</v>
      </c>
      <c r="L153" s="593"/>
      <c r="M153" s="592"/>
      <c r="N153" s="581">
        <v>121.0</v>
      </c>
      <c r="O153" s="583" t="s">
        <v>1172</v>
      </c>
      <c r="P153" s="593"/>
      <c r="Q153" s="593"/>
      <c r="R153" s="594">
        <v>108.0</v>
      </c>
      <c r="S153" s="595"/>
      <c r="T153" s="596"/>
      <c r="U153" s="574"/>
    </row>
    <row r="154">
      <c r="A154" s="585">
        <v>151.0</v>
      </c>
      <c r="B154" s="593"/>
      <c r="C154" s="586" t="s">
        <v>352</v>
      </c>
      <c r="D154" s="27"/>
      <c r="E154" s="648" t="s">
        <v>887</v>
      </c>
      <c r="F154" s="581">
        <v>8.7887015755E10</v>
      </c>
      <c r="G154" s="27"/>
      <c r="H154" s="644">
        <v>5.0</v>
      </c>
      <c r="I154" s="645" t="s">
        <v>1162</v>
      </c>
      <c r="J154" s="583" t="s">
        <v>1173</v>
      </c>
      <c r="K154" s="581">
        <v>174.0</v>
      </c>
      <c r="L154" s="602"/>
      <c r="M154" s="592"/>
      <c r="N154" s="602"/>
      <c r="O154" s="583" t="s">
        <v>1174</v>
      </c>
      <c r="P154" s="593"/>
      <c r="Q154" s="593"/>
      <c r="R154" s="594">
        <v>670.0</v>
      </c>
      <c r="S154" s="595"/>
      <c r="T154" s="596"/>
      <c r="U154" s="574"/>
    </row>
    <row r="155">
      <c r="A155" s="585">
        <v>152.0</v>
      </c>
      <c r="B155" s="593"/>
      <c r="C155" s="586" t="s">
        <v>354</v>
      </c>
      <c r="D155" s="40"/>
      <c r="E155" s="647" t="s">
        <v>888</v>
      </c>
      <c r="F155" s="581">
        <v>8.3873011071E10</v>
      </c>
      <c r="G155" s="27"/>
      <c r="H155" s="644">
        <v>5.0</v>
      </c>
      <c r="I155" s="645" t="s">
        <v>1162</v>
      </c>
      <c r="J155" s="583" t="s">
        <v>1175</v>
      </c>
      <c r="K155" s="649"/>
      <c r="L155" s="649"/>
      <c r="M155" s="650">
        <v>57.0</v>
      </c>
      <c r="N155" s="651"/>
      <c r="O155" s="583" t="s">
        <v>1176</v>
      </c>
      <c r="P155" s="593"/>
      <c r="Q155" s="593"/>
      <c r="R155" s="594">
        <v>1014.0</v>
      </c>
      <c r="S155" s="595"/>
      <c r="T155" s="596"/>
      <c r="U155" s="574"/>
    </row>
    <row r="156">
      <c r="A156" s="585">
        <v>153.0</v>
      </c>
      <c r="B156" s="593"/>
      <c r="C156" s="586" t="s">
        <v>356</v>
      </c>
      <c r="D156" s="587" t="s">
        <v>1177</v>
      </c>
      <c r="E156" s="607" t="s">
        <v>890</v>
      </c>
      <c r="F156" s="581">
        <v>8.1318078468E10</v>
      </c>
      <c r="G156" s="27"/>
      <c r="H156" s="644">
        <v>5.0</v>
      </c>
      <c r="I156" s="645" t="s">
        <v>1162</v>
      </c>
      <c r="J156" s="583" t="s">
        <v>1178</v>
      </c>
      <c r="K156" s="581">
        <v>790.0</v>
      </c>
      <c r="L156" s="593"/>
      <c r="M156" s="585">
        <v>790.0</v>
      </c>
      <c r="N156" s="602"/>
      <c r="O156" s="583" t="s">
        <v>1179</v>
      </c>
      <c r="P156" s="593"/>
      <c r="Q156" s="593"/>
      <c r="R156" s="594">
        <v>839.0</v>
      </c>
      <c r="S156" s="595"/>
      <c r="T156" s="596"/>
      <c r="U156" s="574"/>
    </row>
    <row r="157">
      <c r="A157" s="585">
        <v>154.0</v>
      </c>
      <c r="B157" s="593"/>
      <c r="C157" s="586" t="s">
        <v>357</v>
      </c>
      <c r="D157" s="27"/>
      <c r="E157" s="607" t="s">
        <v>1180</v>
      </c>
      <c r="F157" s="581">
        <v>8.5361235656E10</v>
      </c>
      <c r="G157" s="27"/>
      <c r="H157" s="644">
        <v>5.0</v>
      </c>
      <c r="I157" s="645" t="s">
        <v>1162</v>
      </c>
      <c r="J157" s="583" t="s">
        <v>1181</v>
      </c>
      <c r="K157" s="581">
        <v>655.0</v>
      </c>
      <c r="L157" s="593"/>
      <c r="M157" s="585">
        <v>655.0</v>
      </c>
      <c r="N157" s="602"/>
      <c r="O157" s="583" t="s">
        <v>1179</v>
      </c>
      <c r="P157" s="593"/>
      <c r="Q157" s="593"/>
      <c r="R157" s="594">
        <v>707.0</v>
      </c>
      <c r="S157" s="595"/>
      <c r="T157" s="596"/>
      <c r="U157" s="574"/>
    </row>
    <row r="158">
      <c r="A158" s="585">
        <v>155.0</v>
      </c>
      <c r="B158" s="593"/>
      <c r="C158" s="586" t="s">
        <v>359</v>
      </c>
      <c r="D158" s="40"/>
      <c r="E158" s="607" t="s">
        <v>892</v>
      </c>
      <c r="F158" s="652">
        <v>8.1280689675E10</v>
      </c>
      <c r="G158" s="27"/>
      <c r="H158" s="644">
        <v>5.0</v>
      </c>
      <c r="I158" s="645" t="s">
        <v>1162</v>
      </c>
      <c r="J158" s="583" t="s">
        <v>1182</v>
      </c>
      <c r="K158" s="593"/>
      <c r="L158" s="593"/>
      <c r="M158" s="592"/>
      <c r="N158" s="602"/>
      <c r="O158" s="653" t="s">
        <v>1183</v>
      </c>
      <c r="P158" s="593"/>
      <c r="Q158" s="593"/>
      <c r="R158" s="654"/>
      <c r="S158" s="595"/>
      <c r="T158" s="596"/>
      <c r="U158" s="574"/>
    </row>
    <row r="159">
      <c r="A159" s="585">
        <v>156.0</v>
      </c>
      <c r="B159" s="593"/>
      <c r="C159" s="586" t="s">
        <v>361</v>
      </c>
      <c r="D159" s="587" t="s">
        <v>1184</v>
      </c>
      <c r="E159" s="607" t="s">
        <v>1185</v>
      </c>
      <c r="F159" s="652">
        <v>8.111819858E9</v>
      </c>
      <c r="G159" s="27"/>
      <c r="H159" s="655">
        <v>1.0</v>
      </c>
      <c r="I159" s="656" t="s">
        <v>1186</v>
      </c>
      <c r="J159" s="583" t="s">
        <v>1187</v>
      </c>
      <c r="K159" s="581">
        <v>174.0</v>
      </c>
      <c r="L159" s="581">
        <v>159.0</v>
      </c>
      <c r="M159" s="592"/>
      <c r="N159" s="602"/>
      <c r="O159" s="582"/>
      <c r="P159" s="593"/>
      <c r="Q159" s="593"/>
      <c r="R159" s="594">
        <v>189.0</v>
      </c>
      <c r="S159" s="595"/>
      <c r="T159" s="596"/>
      <c r="U159" s="574"/>
    </row>
    <row r="160">
      <c r="A160" s="585">
        <v>157.0</v>
      </c>
      <c r="B160" s="593"/>
      <c r="C160" s="586" t="s">
        <v>363</v>
      </c>
      <c r="D160" s="27"/>
      <c r="E160" s="583" t="s">
        <v>862</v>
      </c>
      <c r="F160" s="581">
        <v>8.1284864042E10</v>
      </c>
      <c r="G160" s="27"/>
      <c r="H160" s="655">
        <v>1.0</v>
      </c>
      <c r="I160" s="656" t="s">
        <v>1186</v>
      </c>
      <c r="J160" s="583" t="s">
        <v>1188</v>
      </c>
      <c r="K160" s="581">
        <v>27.0</v>
      </c>
      <c r="L160" s="581">
        <v>34.0</v>
      </c>
      <c r="M160" s="592"/>
      <c r="N160" s="602"/>
      <c r="O160" s="582"/>
      <c r="P160" s="593"/>
      <c r="Q160" s="593"/>
      <c r="R160" s="594">
        <v>38.0</v>
      </c>
      <c r="S160" s="595"/>
      <c r="T160" s="596"/>
      <c r="U160" s="574"/>
    </row>
    <row r="161">
      <c r="A161" s="585">
        <v>158.0</v>
      </c>
      <c r="B161" s="586" t="s">
        <v>1189</v>
      </c>
      <c r="C161" s="586" t="s">
        <v>366</v>
      </c>
      <c r="D161" s="40"/>
      <c r="E161" s="583" t="s">
        <v>863</v>
      </c>
      <c r="F161" s="608" t="s">
        <v>1190</v>
      </c>
      <c r="G161" s="27"/>
      <c r="H161" s="655">
        <v>1.0</v>
      </c>
      <c r="I161" s="656" t="s">
        <v>1186</v>
      </c>
      <c r="J161" s="583" t="s">
        <v>1191</v>
      </c>
      <c r="K161" s="593"/>
      <c r="L161" s="593"/>
      <c r="M161" s="592"/>
      <c r="N161" s="602"/>
      <c r="O161" s="582"/>
      <c r="P161" s="593"/>
      <c r="Q161" s="593"/>
      <c r="R161" s="594">
        <v>771.0</v>
      </c>
      <c r="S161" s="595"/>
      <c r="T161" s="596"/>
      <c r="U161" s="574"/>
    </row>
    <row r="162">
      <c r="A162" s="585">
        <v>159.0</v>
      </c>
      <c r="B162" s="593"/>
      <c r="C162" s="586" t="s">
        <v>368</v>
      </c>
      <c r="D162" s="587" t="s">
        <v>1192</v>
      </c>
      <c r="E162" s="583" t="s">
        <v>898</v>
      </c>
      <c r="F162" s="608" t="s">
        <v>1193</v>
      </c>
      <c r="G162" s="27"/>
      <c r="H162" s="655">
        <v>1.0</v>
      </c>
      <c r="I162" s="656" t="s">
        <v>1186</v>
      </c>
      <c r="J162" s="583" t="s">
        <v>1194</v>
      </c>
      <c r="K162" s="581">
        <v>644.0</v>
      </c>
      <c r="L162" s="581">
        <v>122.0</v>
      </c>
      <c r="M162" s="592"/>
      <c r="N162" s="602"/>
      <c r="O162" s="582"/>
      <c r="P162" s="593"/>
      <c r="Q162" s="593"/>
      <c r="R162" s="594">
        <v>700.0</v>
      </c>
      <c r="S162" s="595"/>
      <c r="T162" s="596"/>
      <c r="U162" s="574"/>
    </row>
    <row r="163">
      <c r="A163" s="585">
        <v>160.0</v>
      </c>
      <c r="B163" s="593"/>
      <c r="C163" s="586" t="s">
        <v>371</v>
      </c>
      <c r="D163" s="27"/>
      <c r="E163" s="621" t="s">
        <v>1195</v>
      </c>
      <c r="F163" s="641">
        <v>8.1348469226E10</v>
      </c>
      <c r="G163" s="27"/>
      <c r="H163" s="655">
        <v>1.0</v>
      </c>
      <c r="I163" s="656" t="s">
        <v>1186</v>
      </c>
      <c r="J163" s="640" t="s">
        <v>1076</v>
      </c>
      <c r="K163" s="581">
        <v>201.0</v>
      </c>
      <c r="L163" s="581" t="s">
        <v>928</v>
      </c>
      <c r="M163" s="592"/>
      <c r="N163" s="602"/>
      <c r="O163" s="582"/>
      <c r="P163" s="593"/>
      <c r="Q163" s="593"/>
      <c r="R163" s="594">
        <v>285.0</v>
      </c>
      <c r="S163" s="595"/>
      <c r="T163" s="596"/>
      <c r="U163" s="574"/>
    </row>
    <row r="164">
      <c r="A164" s="585">
        <v>161.0</v>
      </c>
      <c r="B164" s="593"/>
      <c r="C164" s="586" t="s">
        <v>373</v>
      </c>
      <c r="D164" s="27"/>
      <c r="E164" s="640" t="s">
        <v>1196</v>
      </c>
      <c r="F164" s="641">
        <v>8.1299019999E10</v>
      </c>
      <c r="G164" s="27"/>
      <c r="H164" s="655">
        <v>1.0</v>
      </c>
      <c r="I164" s="656" t="s">
        <v>1186</v>
      </c>
      <c r="J164" s="640" t="s">
        <v>1076</v>
      </c>
      <c r="K164" s="581">
        <v>417.0</v>
      </c>
      <c r="L164" s="581" t="s">
        <v>928</v>
      </c>
      <c r="M164" s="592"/>
      <c r="N164" s="602"/>
      <c r="O164" s="582"/>
      <c r="P164" s="593"/>
      <c r="Q164" s="593"/>
      <c r="R164" s="594">
        <v>325.0</v>
      </c>
      <c r="S164" s="595"/>
      <c r="T164" s="596"/>
      <c r="U164" s="574"/>
    </row>
    <row r="165">
      <c r="A165" s="585">
        <v>162.0</v>
      </c>
      <c r="B165" s="593"/>
      <c r="C165" s="586" t="s">
        <v>375</v>
      </c>
      <c r="D165" s="27"/>
      <c r="E165" s="583" t="s">
        <v>1197</v>
      </c>
      <c r="F165" s="581">
        <v>8.1316103195E10</v>
      </c>
      <c r="G165" s="27"/>
      <c r="H165" s="655">
        <v>1.0</v>
      </c>
      <c r="I165" s="656" t="s">
        <v>1186</v>
      </c>
      <c r="J165" s="583" t="s">
        <v>1198</v>
      </c>
      <c r="K165" s="627">
        <v>119.0</v>
      </c>
      <c r="L165" s="627">
        <v>309.0</v>
      </c>
      <c r="M165" s="592"/>
      <c r="N165" s="635"/>
      <c r="O165" s="582"/>
      <c r="P165" s="593"/>
      <c r="Q165" s="593"/>
      <c r="R165" s="594">
        <v>124.0</v>
      </c>
      <c r="S165" s="595"/>
      <c r="T165" s="596"/>
      <c r="U165" s="574"/>
    </row>
    <row r="166">
      <c r="A166" s="585">
        <v>163.0</v>
      </c>
      <c r="B166" s="593"/>
      <c r="C166" s="586" t="s">
        <v>377</v>
      </c>
      <c r="D166" s="27"/>
      <c r="E166" s="583" t="s">
        <v>903</v>
      </c>
      <c r="F166" s="581">
        <v>8.3806672009E10</v>
      </c>
      <c r="G166" s="27"/>
      <c r="H166" s="655">
        <v>1.0</v>
      </c>
      <c r="I166" s="656" t="s">
        <v>1186</v>
      </c>
      <c r="J166" s="583" t="s">
        <v>1199</v>
      </c>
      <c r="K166" s="581">
        <v>44.0</v>
      </c>
      <c r="L166" s="581">
        <v>14.0</v>
      </c>
      <c r="M166" s="592"/>
      <c r="N166" s="602"/>
      <c r="O166" s="582"/>
      <c r="P166" s="593"/>
      <c r="Q166" s="593"/>
      <c r="R166" s="594">
        <v>48.0</v>
      </c>
      <c r="S166" s="595"/>
      <c r="T166" s="596"/>
      <c r="U166" s="574"/>
    </row>
    <row r="167">
      <c r="A167" s="585">
        <v>164.0</v>
      </c>
      <c r="B167" s="593"/>
      <c r="C167" s="586" t="s">
        <v>379</v>
      </c>
      <c r="D167" s="40"/>
      <c r="E167" s="583" t="s">
        <v>904</v>
      </c>
      <c r="F167" s="585">
        <v>8.1316383848E10</v>
      </c>
      <c r="G167" s="27"/>
      <c r="H167" s="644">
        <v>5.0</v>
      </c>
      <c r="I167" s="645" t="s">
        <v>1162</v>
      </c>
      <c r="J167" s="583" t="s">
        <v>1200</v>
      </c>
      <c r="K167" s="642">
        <v>79.0</v>
      </c>
      <c r="L167" s="642">
        <v>79.0</v>
      </c>
      <c r="M167" s="585">
        <v>79.0</v>
      </c>
      <c r="N167" s="602"/>
      <c r="O167" s="583" t="s">
        <v>1201</v>
      </c>
      <c r="P167" s="593"/>
      <c r="Q167" s="593"/>
      <c r="R167" s="594">
        <v>80.0</v>
      </c>
      <c r="S167" s="595"/>
      <c r="T167" s="596"/>
      <c r="U167" s="574"/>
    </row>
    <row r="168">
      <c r="A168" s="585">
        <v>165.0</v>
      </c>
      <c r="B168" s="593"/>
      <c r="C168" s="586" t="s">
        <v>381</v>
      </c>
      <c r="D168" s="587" t="s">
        <v>866</v>
      </c>
      <c r="E168" s="588" t="s">
        <v>1202</v>
      </c>
      <c r="F168" s="597">
        <v>8.1338040808E10</v>
      </c>
      <c r="G168" s="27"/>
      <c r="H168" s="644">
        <v>5.0</v>
      </c>
      <c r="I168" s="645" t="s">
        <v>1162</v>
      </c>
      <c r="J168" s="583" t="s">
        <v>1203</v>
      </c>
      <c r="K168" s="581">
        <v>8.0</v>
      </c>
      <c r="L168" s="581" t="s">
        <v>928</v>
      </c>
      <c r="M168" s="585">
        <v>8.0</v>
      </c>
      <c r="N168" s="602"/>
      <c r="O168" s="583" t="s">
        <v>1204</v>
      </c>
      <c r="P168" s="593"/>
      <c r="Q168" s="593"/>
      <c r="R168" s="594">
        <v>8.0</v>
      </c>
      <c r="S168" s="595"/>
      <c r="T168" s="596"/>
      <c r="U168" s="574"/>
    </row>
    <row r="169">
      <c r="A169" s="585">
        <v>166.0</v>
      </c>
      <c r="B169" s="593"/>
      <c r="C169" s="586" t="s">
        <v>383</v>
      </c>
      <c r="D169" s="27"/>
      <c r="E169" s="27"/>
      <c r="F169" s="27"/>
      <c r="G169" s="27"/>
      <c r="H169" s="644">
        <v>5.0</v>
      </c>
      <c r="I169" s="645" t="s">
        <v>1162</v>
      </c>
      <c r="J169" s="583" t="s">
        <v>1203</v>
      </c>
      <c r="K169" s="581">
        <v>125.0</v>
      </c>
      <c r="L169" s="581" t="s">
        <v>928</v>
      </c>
      <c r="M169" s="585">
        <v>125.0</v>
      </c>
      <c r="N169" s="602"/>
      <c r="O169" s="583" t="s">
        <v>1204</v>
      </c>
      <c r="P169" s="593"/>
      <c r="Q169" s="593"/>
      <c r="R169" s="594">
        <v>128.0</v>
      </c>
      <c r="S169" s="595"/>
      <c r="T169" s="596"/>
      <c r="U169" s="574"/>
    </row>
    <row r="170">
      <c r="A170" s="585">
        <v>167.0</v>
      </c>
      <c r="B170" s="593"/>
      <c r="C170" s="586" t="s">
        <v>384</v>
      </c>
      <c r="D170" s="27"/>
      <c r="E170" s="40"/>
      <c r="F170" s="40"/>
      <c r="G170" s="27"/>
      <c r="H170" s="644">
        <v>5.0</v>
      </c>
      <c r="I170" s="645" t="s">
        <v>1162</v>
      </c>
      <c r="J170" s="583" t="s">
        <v>1205</v>
      </c>
      <c r="K170" s="581">
        <v>10.0</v>
      </c>
      <c r="L170" s="581" t="s">
        <v>928</v>
      </c>
      <c r="M170" s="585">
        <v>10.0</v>
      </c>
      <c r="N170" s="602"/>
      <c r="O170" s="583" t="s">
        <v>1204</v>
      </c>
      <c r="P170" s="593"/>
      <c r="Q170" s="593"/>
      <c r="R170" s="594">
        <v>131.0</v>
      </c>
      <c r="S170" s="595"/>
      <c r="T170" s="596"/>
      <c r="U170" s="574"/>
    </row>
    <row r="171">
      <c r="A171" s="585">
        <v>168.0</v>
      </c>
      <c r="B171" s="593"/>
      <c r="C171" s="586" t="s">
        <v>386</v>
      </c>
      <c r="D171" s="27"/>
      <c r="E171" s="606" t="s">
        <v>1206</v>
      </c>
      <c r="F171" s="597">
        <v>8.129500626E9</v>
      </c>
      <c r="G171" s="27"/>
      <c r="H171" s="644">
        <v>5.0</v>
      </c>
      <c r="I171" s="645" t="s">
        <v>1162</v>
      </c>
      <c r="J171" s="588" t="s">
        <v>1207</v>
      </c>
      <c r="K171" s="581">
        <v>102.0</v>
      </c>
      <c r="L171" s="593"/>
      <c r="M171" s="585">
        <v>102.0</v>
      </c>
      <c r="N171" s="602"/>
      <c r="O171" s="583" t="s">
        <v>1204</v>
      </c>
      <c r="P171" s="593"/>
      <c r="Q171" s="593"/>
      <c r="R171" s="594">
        <v>107.0</v>
      </c>
      <c r="S171" s="595"/>
      <c r="T171" s="596"/>
      <c r="U171" s="574"/>
    </row>
    <row r="172">
      <c r="A172" s="585">
        <v>169.0</v>
      </c>
      <c r="B172" s="593"/>
      <c r="C172" s="586" t="s">
        <v>387</v>
      </c>
      <c r="D172" s="27"/>
      <c r="E172" s="27"/>
      <c r="F172" s="27"/>
      <c r="G172" s="27"/>
      <c r="H172" s="644">
        <v>5.0</v>
      </c>
      <c r="I172" s="645" t="s">
        <v>1162</v>
      </c>
      <c r="J172" s="27"/>
      <c r="K172" s="581">
        <v>106.0</v>
      </c>
      <c r="L172" s="593"/>
      <c r="M172" s="585">
        <v>119.0</v>
      </c>
      <c r="N172" s="602"/>
      <c r="O172" s="583" t="s">
        <v>1208</v>
      </c>
      <c r="P172" s="593"/>
      <c r="Q172" s="593"/>
      <c r="R172" s="594">
        <v>124.0</v>
      </c>
      <c r="S172" s="595"/>
      <c r="T172" s="596"/>
      <c r="U172" s="574"/>
    </row>
    <row r="173">
      <c r="A173" s="585">
        <v>170.0</v>
      </c>
      <c r="B173" s="593"/>
      <c r="C173" s="586" t="s">
        <v>389</v>
      </c>
      <c r="D173" s="27"/>
      <c r="E173" s="40"/>
      <c r="F173" s="40"/>
      <c r="G173" s="27"/>
      <c r="H173" s="644">
        <v>5.0</v>
      </c>
      <c r="I173" s="645" t="s">
        <v>1162</v>
      </c>
      <c r="J173" s="40"/>
      <c r="K173" s="581">
        <v>53.0</v>
      </c>
      <c r="L173" s="593"/>
      <c r="M173" s="585">
        <v>53.0</v>
      </c>
      <c r="N173" s="602"/>
      <c r="O173" s="583" t="s">
        <v>1204</v>
      </c>
      <c r="P173" s="593"/>
      <c r="Q173" s="593"/>
      <c r="R173" s="594">
        <v>59.0</v>
      </c>
      <c r="S173" s="595"/>
      <c r="T173" s="596"/>
      <c r="U173" s="574"/>
    </row>
    <row r="174">
      <c r="A174" s="585">
        <v>171.0</v>
      </c>
      <c r="B174" s="586" t="s">
        <v>391</v>
      </c>
      <c r="C174" s="586" t="s">
        <v>392</v>
      </c>
      <c r="D174" s="27"/>
      <c r="E174" s="588" t="s">
        <v>869</v>
      </c>
      <c r="F174" s="597">
        <v>8.5211517032E10</v>
      </c>
      <c r="G174" s="27"/>
      <c r="H174" s="657">
        <v>7.0</v>
      </c>
      <c r="I174" s="658" t="s">
        <v>1209</v>
      </c>
      <c r="J174" s="621" t="s">
        <v>1210</v>
      </c>
      <c r="K174" s="593"/>
      <c r="L174" s="593"/>
      <c r="M174" s="592"/>
      <c r="N174" s="602"/>
      <c r="O174" s="583" t="s">
        <v>1211</v>
      </c>
      <c r="P174" s="593"/>
      <c r="Q174" s="593"/>
      <c r="R174" s="594">
        <v>1622.0</v>
      </c>
      <c r="S174" s="595"/>
      <c r="T174" s="596"/>
      <c r="U174" s="574"/>
    </row>
    <row r="175">
      <c r="A175" s="585">
        <v>172.0</v>
      </c>
      <c r="B175" s="593"/>
      <c r="C175" s="586" t="s">
        <v>395</v>
      </c>
      <c r="D175" s="27"/>
      <c r="E175" s="27"/>
      <c r="F175" s="27"/>
      <c r="G175" s="27"/>
      <c r="H175" s="657">
        <v>7.0</v>
      </c>
      <c r="I175" s="658" t="s">
        <v>1209</v>
      </c>
      <c r="J175" s="621" t="s">
        <v>1212</v>
      </c>
      <c r="K175" s="593"/>
      <c r="L175" s="593"/>
      <c r="M175" s="592"/>
      <c r="N175" s="602"/>
      <c r="O175" s="583" t="s">
        <v>1213</v>
      </c>
      <c r="P175" s="593"/>
      <c r="Q175" s="593"/>
      <c r="R175" s="594">
        <v>405.0</v>
      </c>
      <c r="S175" s="595"/>
      <c r="T175" s="596"/>
      <c r="U175" s="574"/>
    </row>
    <row r="176">
      <c r="A176" s="585">
        <v>173.0</v>
      </c>
      <c r="B176" s="593"/>
      <c r="C176" s="586" t="s">
        <v>398</v>
      </c>
      <c r="D176" s="27"/>
      <c r="E176" s="40"/>
      <c r="F176" s="40"/>
      <c r="G176" s="27"/>
      <c r="H176" s="657">
        <v>7.0</v>
      </c>
      <c r="I176" s="658" t="s">
        <v>1209</v>
      </c>
      <c r="J176" s="621" t="s">
        <v>1214</v>
      </c>
      <c r="K176" s="593"/>
      <c r="L176" s="593"/>
      <c r="M176" s="592"/>
      <c r="N176" s="602"/>
      <c r="O176" s="583" t="s">
        <v>1215</v>
      </c>
      <c r="P176" s="593"/>
      <c r="Q176" s="593"/>
      <c r="R176" s="594">
        <v>655.0</v>
      </c>
      <c r="S176" s="595"/>
      <c r="T176" s="596"/>
      <c r="U176" s="574"/>
    </row>
    <row r="177">
      <c r="A177" s="585">
        <v>174.0</v>
      </c>
      <c r="B177" s="593"/>
      <c r="C177" s="586" t="s">
        <v>400</v>
      </c>
      <c r="D177" s="27"/>
      <c r="E177" s="632" t="s">
        <v>870</v>
      </c>
      <c r="F177" s="633">
        <v>8.1319765385E10</v>
      </c>
      <c r="G177" s="27"/>
      <c r="H177" s="657">
        <v>7.0</v>
      </c>
      <c r="I177" s="658" t="s">
        <v>1209</v>
      </c>
      <c r="J177" s="583" t="s">
        <v>1216</v>
      </c>
      <c r="K177" s="581">
        <v>85.0</v>
      </c>
      <c r="L177" s="581" t="s">
        <v>928</v>
      </c>
      <c r="M177" s="592"/>
      <c r="N177" s="602"/>
      <c r="O177" s="583" t="s">
        <v>0</v>
      </c>
      <c r="P177" s="593"/>
      <c r="Q177" s="593"/>
      <c r="R177" s="594">
        <v>91.0</v>
      </c>
      <c r="S177" s="595"/>
      <c r="T177" s="596"/>
      <c r="U177" s="574"/>
    </row>
    <row r="178">
      <c r="A178" s="585">
        <v>175.0</v>
      </c>
      <c r="B178" s="593"/>
      <c r="C178" s="586" t="s">
        <v>402</v>
      </c>
      <c r="D178" s="27"/>
      <c r="E178" s="27"/>
      <c r="F178" s="27"/>
      <c r="G178" s="27"/>
      <c r="H178" s="657">
        <v>7.0</v>
      </c>
      <c r="I178" s="658" t="s">
        <v>1209</v>
      </c>
      <c r="J178" s="583" t="s">
        <v>1216</v>
      </c>
      <c r="K178" s="581">
        <v>197.0</v>
      </c>
      <c r="L178" s="581" t="s">
        <v>928</v>
      </c>
      <c r="M178" s="592"/>
      <c r="N178" s="602"/>
      <c r="O178" s="583" t="s">
        <v>0</v>
      </c>
      <c r="P178" s="593"/>
      <c r="Q178" s="593"/>
      <c r="R178" s="594">
        <v>209.0</v>
      </c>
      <c r="S178" s="595"/>
      <c r="T178" s="596"/>
      <c r="U178" s="574"/>
    </row>
    <row r="179">
      <c r="A179" s="585">
        <v>176.0</v>
      </c>
      <c r="B179" s="593"/>
      <c r="C179" s="586" t="s">
        <v>403</v>
      </c>
      <c r="D179" s="27"/>
      <c r="E179" s="40"/>
      <c r="F179" s="40"/>
      <c r="G179" s="27"/>
      <c r="H179" s="657">
        <v>7.0</v>
      </c>
      <c r="I179" s="658" t="s">
        <v>1209</v>
      </c>
      <c r="J179" s="583" t="s">
        <v>1216</v>
      </c>
      <c r="K179" s="581">
        <v>90.0</v>
      </c>
      <c r="L179" s="581" t="s">
        <v>928</v>
      </c>
      <c r="M179" s="592"/>
      <c r="N179" s="602"/>
      <c r="O179" s="583" t="s">
        <v>0</v>
      </c>
      <c r="P179" s="593"/>
      <c r="Q179" s="593"/>
      <c r="R179" s="594">
        <v>92.0</v>
      </c>
      <c r="S179" s="595"/>
      <c r="T179" s="596"/>
      <c r="U179" s="574"/>
    </row>
    <row r="180">
      <c r="A180" s="585">
        <v>177.0</v>
      </c>
      <c r="B180" s="593"/>
      <c r="C180" s="586" t="s">
        <v>405</v>
      </c>
      <c r="D180" s="27"/>
      <c r="E180" s="632" t="s">
        <v>871</v>
      </c>
      <c r="F180" s="633">
        <v>8.1291236227E10</v>
      </c>
      <c r="G180" s="27"/>
      <c r="H180" s="644">
        <v>5.0</v>
      </c>
      <c r="I180" s="645" t="s">
        <v>1162</v>
      </c>
      <c r="J180" s="659"/>
      <c r="K180" s="581">
        <v>483.0</v>
      </c>
      <c r="L180" s="581">
        <v>190.0</v>
      </c>
      <c r="M180" s="592"/>
      <c r="N180" s="581">
        <v>483.0</v>
      </c>
      <c r="O180" s="583" t="s">
        <v>1039</v>
      </c>
      <c r="P180" s="593"/>
      <c r="Q180" s="593"/>
      <c r="R180" s="594">
        <v>501.0</v>
      </c>
      <c r="S180" s="595"/>
      <c r="T180" s="596"/>
      <c r="U180" s="574"/>
    </row>
    <row r="181">
      <c r="A181" s="585">
        <v>178.0</v>
      </c>
      <c r="B181" s="593"/>
      <c r="C181" s="586" t="s">
        <v>407</v>
      </c>
      <c r="D181" s="27"/>
      <c r="E181" s="27"/>
      <c r="F181" s="27"/>
      <c r="G181" s="27"/>
      <c r="H181" s="644">
        <v>5.0</v>
      </c>
      <c r="I181" s="645" t="s">
        <v>1162</v>
      </c>
      <c r="J181" s="659"/>
      <c r="K181" s="581">
        <v>352.0</v>
      </c>
      <c r="L181" s="581" t="s">
        <v>928</v>
      </c>
      <c r="M181" s="592"/>
      <c r="N181" s="602"/>
      <c r="O181" s="583" t="s">
        <v>1204</v>
      </c>
      <c r="P181" s="593"/>
      <c r="Q181" s="593"/>
      <c r="R181" s="594">
        <v>373.0</v>
      </c>
      <c r="S181" s="595"/>
      <c r="T181" s="596"/>
      <c r="U181" s="574"/>
    </row>
    <row r="182">
      <c r="A182" s="585">
        <v>179.0</v>
      </c>
      <c r="B182" s="593"/>
      <c r="C182" s="586" t="s">
        <v>408</v>
      </c>
      <c r="D182" s="40"/>
      <c r="E182" s="40"/>
      <c r="F182" s="40"/>
      <c r="G182" s="27"/>
      <c r="H182" s="644">
        <v>5.0</v>
      </c>
      <c r="I182" s="645" t="s">
        <v>1162</v>
      </c>
      <c r="J182" s="660"/>
      <c r="K182" s="581">
        <v>587.0</v>
      </c>
      <c r="L182" s="581" t="s">
        <v>928</v>
      </c>
      <c r="M182" s="592"/>
      <c r="N182" s="581">
        <v>1335.0</v>
      </c>
      <c r="O182" s="583" t="s">
        <v>1201</v>
      </c>
      <c r="P182" s="593"/>
      <c r="Q182" s="593"/>
      <c r="R182" s="594">
        <v>1345.0</v>
      </c>
      <c r="S182" s="595"/>
      <c r="T182" s="596"/>
      <c r="U182" s="574"/>
    </row>
    <row r="183">
      <c r="A183" s="585">
        <v>180.0</v>
      </c>
      <c r="B183" s="586" t="s">
        <v>699</v>
      </c>
      <c r="C183" s="586" t="s">
        <v>411</v>
      </c>
      <c r="D183" s="636" t="s">
        <v>851</v>
      </c>
      <c r="E183" s="583" t="s">
        <v>872</v>
      </c>
      <c r="F183" s="581" t="s">
        <v>1217</v>
      </c>
      <c r="G183" s="27"/>
      <c r="H183" s="644">
        <v>5.0</v>
      </c>
      <c r="I183" s="645" t="s">
        <v>1162</v>
      </c>
      <c r="J183" s="586" t="s">
        <v>1076</v>
      </c>
      <c r="K183" s="642">
        <v>26.0</v>
      </c>
      <c r="L183" s="593"/>
      <c r="M183" s="581">
        <v>26.0</v>
      </c>
      <c r="N183" s="574"/>
      <c r="O183" s="583" t="s">
        <v>1218</v>
      </c>
      <c r="P183" s="593"/>
      <c r="Q183" s="593"/>
      <c r="R183" s="594">
        <v>31.0</v>
      </c>
      <c r="S183" s="595"/>
      <c r="T183" s="596"/>
      <c r="U183" s="574"/>
    </row>
    <row r="184">
      <c r="A184" s="585">
        <v>181.0</v>
      </c>
      <c r="B184" s="593"/>
      <c r="C184" s="586" t="s">
        <v>412</v>
      </c>
      <c r="D184" s="587" t="s">
        <v>873</v>
      </c>
      <c r="E184" s="607" t="s">
        <v>1219</v>
      </c>
      <c r="F184" s="581">
        <v>8.128441771E9</v>
      </c>
      <c r="G184" s="27"/>
      <c r="H184" s="644">
        <v>5.0</v>
      </c>
      <c r="I184" s="645" t="s">
        <v>1162</v>
      </c>
      <c r="J184" s="583" t="s">
        <v>1207</v>
      </c>
      <c r="K184" s="581">
        <v>21.0</v>
      </c>
      <c r="L184" s="593"/>
      <c r="M184" s="581">
        <v>21.0</v>
      </c>
      <c r="N184" s="574"/>
      <c r="O184" s="583" t="s">
        <v>1220</v>
      </c>
      <c r="P184" s="593"/>
      <c r="Q184" s="593"/>
      <c r="R184" s="594">
        <v>305.0</v>
      </c>
      <c r="S184" s="595"/>
      <c r="T184" s="596"/>
      <c r="U184" s="574"/>
    </row>
    <row r="185">
      <c r="A185" s="585">
        <v>182.0</v>
      </c>
      <c r="B185" s="593"/>
      <c r="C185" s="586" t="s">
        <v>414</v>
      </c>
      <c r="D185" s="27"/>
      <c r="E185" s="583" t="s">
        <v>875</v>
      </c>
      <c r="F185" s="593"/>
      <c r="G185" s="27"/>
      <c r="H185" s="644">
        <v>5.0</v>
      </c>
      <c r="I185" s="645" t="s">
        <v>1162</v>
      </c>
      <c r="J185" s="593"/>
      <c r="K185" s="593"/>
      <c r="L185" s="593"/>
      <c r="M185" s="581">
        <v>98.0</v>
      </c>
      <c r="N185" s="574"/>
      <c r="O185" s="583" t="s">
        <v>1221</v>
      </c>
      <c r="P185" s="593"/>
      <c r="Q185" s="593"/>
      <c r="R185" s="594">
        <v>113.0</v>
      </c>
      <c r="S185" s="595"/>
      <c r="T185" s="596"/>
      <c r="U185" s="574"/>
    </row>
    <row r="186">
      <c r="A186" s="585">
        <v>183.0</v>
      </c>
      <c r="B186" s="593"/>
      <c r="C186" s="586" t="s">
        <v>415</v>
      </c>
      <c r="D186" s="27"/>
      <c r="E186" s="583" t="s">
        <v>876</v>
      </c>
      <c r="F186" s="581" t="s">
        <v>1222</v>
      </c>
      <c r="G186" s="27"/>
      <c r="H186" s="644">
        <v>5.0</v>
      </c>
      <c r="I186" s="645" t="s">
        <v>1162</v>
      </c>
      <c r="J186" s="586" t="s">
        <v>1223</v>
      </c>
      <c r="K186" s="642">
        <v>63.0</v>
      </c>
      <c r="L186" s="586" t="s">
        <v>928</v>
      </c>
      <c r="M186" s="581">
        <v>63.0</v>
      </c>
      <c r="N186" s="574"/>
      <c r="O186" s="583" t="s">
        <v>1220</v>
      </c>
      <c r="P186" s="593"/>
      <c r="Q186" s="593"/>
      <c r="R186" s="594">
        <v>74.0</v>
      </c>
      <c r="S186" s="595"/>
      <c r="T186" s="596"/>
      <c r="U186" s="574"/>
    </row>
    <row r="187">
      <c r="A187" s="585">
        <v>184.0</v>
      </c>
      <c r="B187" s="593"/>
      <c r="C187" s="586" t="s">
        <v>416</v>
      </c>
      <c r="D187" s="27"/>
      <c r="E187" s="640" t="s">
        <v>877</v>
      </c>
      <c r="F187" s="641">
        <v>8.111819858E9</v>
      </c>
      <c r="G187" s="27"/>
      <c r="H187" s="644">
        <v>5.0</v>
      </c>
      <c r="I187" s="645" t="s">
        <v>1162</v>
      </c>
      <c r="J187" s="640" t="s">
        <v>1224</v>
      </c>
      <c r="K187" s="581">
        <v>63.0</v>
      </c>
      <c r="L187" s="581">
        <v>192.0</v>
      </c>
      <c r="M187" s="581">
        <v>109.0</v>
      </c>
      <c r="N187" s="574"/>
      <c r="O187" s="583" t="s">
        <v>1225</v>
      </c>
      <c r="P187" s="593"/>
      <c r="Q187" s="593"/>
      <c r="R187" s="594">
        <v>112.0</v>
      </c>
      <c r="S187" s="595"/>
      <c r="T187" s="596"/>
      <c r="U187" s="574"/>
    </row>
    <row r="188">
      <c r="A188" s="585">
        <v>185.0</v>
      </c>
      <c r="B188" s="593"/>
      <c r="C188" s="586" t="s">
        <v>418</v>
      </c>
      <c r="D188" s="27"/>
      <c r="E188" s="583" t="s">
        <v>878</v>
      </c>
      <c r="F188" s="581">
        <v>8.1286884026E10</v>
      </c>
      <c r="G188" s="27"/>
      <c r="H188" s="644">
        <v>5.0</v>
      </c>
      <c r="I188" s="645" t="s">
        <v>1162</v>
      </c>
      <c r="J188" s="583" t="s">
        <v>1226</v>
      </c>
      <c r="K188" s="581">
        <v>20.0</v>
      </c>
      <c r="L188" s="581">
        <v>20.0</v>
      </c>
      <c r="M188" s="581">
        <v>20.0</v>
      </c>
      <c r="N188" s="574"/>
      <c r="O188" s="583" t="s">
        <v>1227</v>
      </c>
      <c r="P188" s="593"/>
      <c r="Q188" s="593"/>
      <c r="R188" s="594">
        <v>20.0</v>
      </c>
      <c r="S188" s="595"/>
      <c r="T188" s="596"/>
      <c r="U188" s="574"/>
    </row>
    <row r="189">
      <c r="A189" s="585">
        <v>186.0</v>
      </c>
      <c r="B189" s="586" t="s">
        <v>700</v>
      </c>
      <c r="C189" s="586" t="s">
        <v>421</v>
      </c>
      <c r="D189" s="27"/>
      <c r="E189" s="583" t="s">
        <v>879</v>
      </c>
      <c r="F189" s="581">
        <v>8.121379966E10</v>
      </c>
      <c r="G189" s="27"/>
      <c r="H189" s="644">
        <v>5.0</v>
      </c>
      <c r="I189" s="645" t="s">
        <v>1162</v>
      </c>
      <c r="J189" s="583" t="s">
        <v>967</v>
      </c>
      <c r="K189" s="593"/>
      <c r="L189" s="593"/>
      <c r="M189" s="581">
        <v>51.0</v>
      </c>
      <c r="N189" s="574"/>
      <c r="O189" s="583" t="s">
        <v>1039</v>
      </c>
      <c r="P189" s="593"/>
      <c r="Q189" s="593"/>
      <c r="R189" s="594">
        <v>51.0</v>
      </c>
      <c r="S189" s="595"/>
      <c r="T189" s="596"/>
      <c r="U189" s="574"/>
    </row>
    <row r="190">
      <c r="A190" s="585">
        <v>187.0</v>
      </c>
      <c r="B190" s="593"/>
      <c r="C190" s="586" t="s">
        <v>423</v>
      </c>
      <c r="D190" s="27"/>
      <c r="E190" s="640" t="s">
        <v>880</v>
      </c>
      <c r="F190" s="641">
        <v>8.5262548774E10</v>
      </c>
      <c r="G190" s="27"/>
      <c r="H190" s="655">
        <v>1.0</v>
      </c>
      <c r="I190" s="656" t="s">
        <v>1186</v>
      </c>
      <c r="J190" s="640" t="s">
        <v>1151</v>
      </c>
      <c r="K190" s="581">
        <v>240.0</v>
      </c>
      <c r="L190" s="581" t="s">
        <v>928</v>
      </c>
      <c r="M190" s="592"/>
      <c r="N190" s="582"/>
      <c r="O190" s="583" t="s">
        <v>1039</v>
      </c>
      <c r="P190" s="593"/>
      <c r="Q190" s="593"/>
      <c r="R190" s="594">
        <v>240.0</v>
      </c>
      <c r="S190" s="595"/>
      <c r="T190" s="596"/>
      <c r="U190" s="574"/>
    </row>
    <row r="191">
      <c r="A191" s="585">
        <v>188.0</v>
      </c>
      <c r="B191" s="593"/>
      <c r="C191" s="586" t="s">
        <v>425</v>
      </c>
      <c r="D191" s="27"/>
      <c r="E191" s="583" t="s">
        <v>881</v>
      </c>
      <c r="F191" s="608" t="s">
        <v>1228</v>
      </c>
      <c r="G191" s="27"/>
      <c r="H191" s="655">
        <v>1.0</v>
      </c>
      <c r="I191" s="656" t="s">
        <v>1186</v>
      </c>
      <c r="J191" s="583" t="s">
        <v>1229</v>
      </c>
      <c r="K191" s="581">
        <v>99.0</v>
      </c>
      <c r="L191" s="581">
        <v>556.0</v>
      </c>
      <c r="M191" s="592"/>
      <c r="N191" s="582"/>
      <c r="O191" s="583" t="s">
        <v>1230</v>
      </c>
      <c r="P191" s="593"/>
      <c r="Q191" s="593"/>
      <c r="R191" s="594">
        <v>100.0</v>
      </c>
      <c r="S191" s="595"/>
      <c r="T191" s="596"/>
      <c r="U191" s="574"/>
    </row>
    <row r="192">
      <c r="A192" s="585">
        <v>189.0</v>
      </c>
      <c r="B192" s="586" t="s">
        <v>701</v>
      </c>
      <c r="C192" s="586" t="s">
        <v>429</v>
      </c>
      <c r="D192" s="27"/>
      <c r="E192" s="583" t="s">
        <v>882</v>
      </c>
      <c r="F192" s="608" t="s">
        <v>1231</v>
      </c>
      <c r="G192" s="27"/>
      <c r="H192" s="655">
        <v>1.0</v>
      </c>
      <c r="I192" s="656" t="s">
        <v>1186</v>
      </c>
      <c r="J192" s="583" t="s">
        <v>1232</v>
      </c>
      <c r="K192" s="581">
        <v>1328.0</v>
      </c>
      <c r="L192" s="581" t="s">
        <v>928</v>
      </c>
      <c r="M192" s="592"/>
      <c r="N192" s="582"/>
      <c r="O192" s="583" t="s">
        <v>1039</v>
      </c>
      <c r="P192" s="593"/>
      <c r="Q192" s="593"/>
      <c r="R192" s="594">
        <v>1467.0</v>
      </c>
      <c r="S192" s="595"/>
      <c r="T192" s="596"/>
      <c r="U192" s="574"/>
    </row>
    <row r="193">
      <c r="A193" s="585">
        <v>190.0</v>
      </c>
      <c r="B193" s="586" t="s">
        <v>702</v>
      </c>
      <c r="C193" s="586" t="s">
        <v>432</v>
      </c>
      <c r="D193" s="40"/>
      <c r="E193" s="583" t="s">
        <v>883</v>
      </c>
      <c r="F193" s="581">
        <v>8.56935227E10</v>
      </c>
      <c r="G193" s="27"/>
      <c r="H193" s="655">
        <v>1.0</v>
      </c>
      <c r="I193" s="656" t="s">
        <v>1186</v>
      </c>
      <c r="J193" s="583" t="s">
        <v>1233</v>
      </c>
      <c r="K193" s="581">
        <v>176.0</v>
      </c>
      <c r="L193" s="581">
        <v>201.0</v>
      </c>
      <c r="M193" s="592"/>
      <c r="N193" s="582"/>
      <c r="O193" s="583" t="s">
        <v>1234</v>
      </c>
      <c r="P193" s="593"/>
      <c r="Q193" s="593"/>
      <c r="R193" s="594">
        <v>197.0</v>
      </c>
      <c r="S193" s="595"/>
      <c r="T193" s="596"/>
      <c r="U193" s="574"/>
    </row>
    <row r="194">
      <c r="A194" s="585">
        <v>191.0</v>
      </c>
      <c r="B194" s="593"/>
      <c r="C194" s="586" t="s">
        <v>884</v>
      </c>
      <c r="D194" s="587" t="s">
        <v>1235</v>
      </c>
      <c r="E194" s="588" t="s">
        <v>859</v>
      </c>
      <c r="F194" s="597">
        <v>8.122355068E10</v>
      </c>
      <c r="G194" s="27"/>
      <c r="H194" s="657">
        <v>7.0</v>
      </c>
      <c r="I194" s="658" t="s">
        <v>1209</v>
      </c>
      <c r="J194" s="621" t="s">
        <v>1236</v>
      </c>
      <c r="K194" s="593"/>
      <c r="L194" s="593"/>
      <c r="M194" s="592"/>
      <c r="N194" s="582"/>
      <c r="O194" s="583" t="s">
        <v>1237</v>
      </c>
      <c r="P194" s="593"/>
      <c r="Q194" s="593"/>
      <c r="R194" s="594">
        <v>578.0</v>
      </c>
      <c r="S194" s="595"/>
      <c r="T194" s="596"/>
      <c r="U194" s="574"/>
    </row>
    <row r="195">
      <c r="A195" s="585">
        <v>192.0</v>
      </c>
      <c r="B195" s="593"/>
      <c r="C195" s="586" t="s">
        <v>436</v>
      </c>
      <c r="D195" s="27"/>
      <c r="E195" s="27"/>
      <c r="F195" s="27"/>
      <c r="G195" s="27"/>
      <c r="H195" s="657">
        <v>7.0</v>
      </c>
      <c r="I195" s="658" t="s">
        <v>1209</v>
      </c>
      <c r="J195" s="621" t="s">
        <v>1238</v>
      </c>
      <c r="K195" s="593"/>
      <c r="L195" s="593"/>
      <c r="M195" s="592"/>
      <c r="N195" s="582"/>
      <c r="O195" s="583" t="s">
        <v>1201</v>
      </c>
      <c r="P195" s="593"/>
      <c r="Q195" s="593"/>
      <c r="R195" s="594">
        <v>146.0</v>
      </c>
      <c r="S195" s="595"/>
      <c r="T195" s="596"/>
      <c r="U195" s="574"/>
    </row>
    <row r="196">
      <c r="A196" s="585">
        <v>193.0</v>
      </c>
      <c r="B196" s="593"/>
      <c r="C196" s="586" t="s">
        <v>438</v>
      </c>
      <c r="D196" s="27"/>
      <c r="E196" s="40"/>
      <c r="F196" s="40"/>
      <c r="G196" s="27"/>
      <c r="H196" s="657">
        <v>7.0</v>
      </c>
      <c r="I196" s="658" t="s">
        <v>1209</v>
      </c>
      <c r="J196" s="621" t="s">
        <v>1239</v>
      </c>
      <c r="K196" s="593"/>
      <c r="L196" s="593"/>
      <c r="M196" s="592"/>
      <c r="N196" s="582"/>
      <c r="O196" s="583" t="s">
        <v>1201</v>
      </c>
      <c r="P196" s="593"/>
      <c r="Q196" s="593"/>
      <c r="R196" s="594">
        <v>17.0</v>
      </c>
      <c r="S196" s="595"/>
      <c r="T196" s="596"/>
      <c r="U196" s="574"/>
    </row>
    <row r="197">
      <c r="A197" s="585">
        <v>194.0</v>
      </c>
      <c r="B197" s="593"/>
      <c r="C197" s="586" t="s">
        <v>440</v>
      </c>
      <c r="D197" s="27"/>
      <c r="E197" s="632" t="s">
        <v>1240</v>
      </c>
      <c r="F197" s="597">
        <v>8.1314278708E10</v>
      </c>
      <c r="G197" s="27"/>
      <c r="H197" s="655">
        <v>1.0</v>
      </c>
      <c r="I197" s="656" t="s">
        <v>1186</v>
      </c>
      <c r="J197" s="640" t="s">
        <v>1241</v>
      </c>
      <c r="K197" s="581">
        <v>30.0</v>
      </c>
      <c r="L197" s="581" t="s">
        <v>928</v>
      </c>
      <c r="M197" s="592"/>
      <c r="N197" s="582"/>
      <c r="O197" s="583" t="s">
        <v>1201</v>
      </c>
      <c r="P197" s="593"/>
      <c r="Q197" s="593"/>
      <c r="R197" s="594">
        <v>30.0</v>
      </c>
      <c r="S197" s="595"/>
      <c r="T197" s="596"/>
      <c r="U197" s="574"/>
    </row>
    <row r="198">
      <c r="A198" s="585">
        <v>195.0</v>
      </c>
      <c r="B198" s="586" t="s">
        <v>703</v>
      </c>
      <c r="C198" s="586" t="s">
        <v>444</v>
      </c>
      <c r="D198" s="27"/>
      <c r="E198" s="27"/>
      <c r="F198" s="40"/>
      <c r="G198" s="27"/>
      <c r="H198" s="655">
        <v>1.0</v>
      </c>
      <c r="I198" s="656" t="s">
        <v>1186</v>
      </c>
      <c r="J198" s="640" t="s">
        <v>1151</v>
      </c>
      <c r="K198" s="581">
        <v>36.0</v>
      </c>
      <c r="L198" s="581" t="s">
        <v>928</v>
      </c>
      <c r="M198" s="592"/>
      <c r="N198" s="582"/>
      <c r="O198" s="583" t="s">
        <v>1201</v>
      </c>
      <c r="P198" s="593"/>
      <c r="Q198" s="593"/>
      <c r="R198" s="594">
        <v>39.0</v>
      </c>
      <c r="S198" s="595"/>
      <c r="T198" s="596"/>
      <c r="U198" s="574"/>
    </row>
    <row r="199">
      <c r="A199" s="585">
        <v>196.0</v>
      </c>
      <c r="B199" s="593"/>
      <c r="C199" s="586" t="s">
        <v>445</v>
      </c>
      <c r="D199" s="27"/>
      <c r="E199" s="40"/>
      <c r="F199" s="661">
        <v>8.1314278708E10</v>
      </c>
      <c r="G199" s="27"/>
      <c r="H199" s="655">
        <v>1.0</v>
      </c>
      <c r="I199" s="656" t="s">
        <v>1186</v>
      </c>
      <c r="J199" s="583" t="s">
        <v>1242</v>
      </c>
      <c r="K199" s="581">
        <v>42.0</v>
      </c>
      <c r="L199" s="581" t="s">
        <v>928</v>
      </c>
      <c r="M199" s="592"/>
      <c r="N199" s="582"/>
      <c r="O199" s="583" t="s">
        <v>1201</v>
      </c>
      <c r="P199" s="593"/>
      <c r="Q199" s="593"/>
      <c r="R199" s="594">
        <v>42.0</v>
      </c>
      <c r="S199" s="595"/>
      <c r="T199" s="596"/>
      <c r="U199" s="574"/>
    </row>
    <row r="200">
      <c r="A200" s="585">
        <v>197.0</v>
      </c>
      <c r="B200" s="586" t="s">
        <v>704</v>
      </c>
      <c r="C200" s="586" t="s">
        <v>447</v>
      </c>
      <c r="D200" s="27"/>
      <c r="E200" s="588" t="s">
        <v>1243</v>
      </c>
      <c r="F200" s="662">
        <v>8.5715616177E10</v>
      </c>
      <c r="G200" s="27"/>
      <c r="H200" s="657">
        <v>7.0</v>
      </c>
      <c r="I200" s="658" t="s">
        <v>1209</v>
      </c>
      <c r="J200" s="621" t="s">
        <v>1244</v>
      </c>
      <c r="K200" s="593"/>
      <c r="L200" s="593"/>
      <c r="M200" s="592"/>
      <c r="N200" s="582"/>
      <c r="O200" s="583" t="s">
        <v>1245</v>
      </c>
      <c r="P200" s="593"/>
      <c r="Q200" s="593"/>
      <c r="R200" s="594">
        <v>1049.0</v>
      </c>
      <c r="S200" s="595"/>
      <c r="T200" s="596"/>
      <c r="U200" s="574"/>
    </row>
    <row r="201">
      <c r="A201" s="585">
        <v>198.0</v>
      </c>
      <c r="B201" s="586" t="s">
        <v>705</v>
      </c>
      <c r="C201" s="586" t="s">
        <v>450</v>
      </c>
      <c r="D201" s="27"/>
      <c r="E201" s="27"/>
      <c r="F201" s="576"/>
      <c r="G201" s="27"/>
      <c r="H201" s="657">
        <v>7.0</v>
      </c>
      <c r="I201" s="658" t="s">
        <v>1209</v>
      </c>
      <c r="J201" s="621" t="s">
        <v>1246</v>
      </c>
      <c r="K201" s="581">
        <v>236.0</v>
      </c>
      <c r="L201" s="581">
        <v>15.0</v>
      </c>
      <c r="M201" s="592"/>
      <c r="N201" s="582"/>
      <c r="O201" s="583" t="s">
        <v>1201</v>
      </c>
      <c r="P201" s="593"/>
      <c r="Q201" s="593"/>
      <c r="R201" s="594">
        <v>260.0</v>
      </c>
      <c r="S201" s="595"/>
      <c r="T201" s="596"/>
      <c r="U201" s="574"/>
    </row>
    <row r="202">
      <c r="A202" s="585">
        <v>199.0</v>
      </c>
      <c r="B202" s="593"/>
      <c r="C202" s="586" t="s">
        <v>452</v>
      </c>
      <c r="D202" s="27"/>
      <c r="E202" s="40"/>
      <c r="F202" s="31"/>
      <c r="G202" s="27"/>
      <c r="H202" s="655">
        <v>1.0</v>
      </c>
      <c r="I202" s="656" t="s">
        <v>1186</v>
      </c>
      <c r="J202" s="583" t="s">
        <v>1247</v>
      </c>
      <c r="K202" s="581">
        <v>3.0</v>
      </c>
      <c r="L202" s="581">
        <v>3.0</v>
      </c>
      <c r="M202" s="592"/>
      <c r="N202" s="582"/>
      <c r="O202" s="583" t="s">
        <v>1201</v>
      </c>
      <c r="P202" s="593"/>
      <c r="Q202" s="593"/>
      <c r="R202" s="594">
        <v>3.0</v>
      </c>
      <c r="S202" s="595"/>
      <c r="T202" s="596"/>
      <c r="U202" s="574"/>
    </row>
    <row r="203">
      <c r="A203" s="585">
        <v>200.0</v>
      </c>
      <c r="B203" s="586" t="s">
        <v>706</v>
      </c>
      <c r="C203" s="586" t="s">
        <v>455</v>
      </c>
      <c r="D203" s="27"/>
      <c r="E203" s="588" t="s">
        <v>864</v>
      </c>
      <c r="F203" s="597">
        <v>8.2238712225E10</v>
      </c>
      <c r="G203" s="27"/>
      <c r="H203" s="657">
        <v>7.0</v>
      </c>
      <c r="I203" s="658" t="s">
        <v>1209</v>
      </c>
      <c r="J203" s="583" t="s">
        <v>1216</v>
      </c>
      <c r="K203" s="581">
        <v>649.0</v>
      </c>
      <c r="L203" s="581" t="s">
        <v>928</v>
      </c>
      <c r="M203" s="592"/>
      <c r="N203" s="582"/>
      <c r="O203" s="582"/>
      <c r="P203" s="593"/>
      <c r="Q203" s="593"/>
      <c r="R203" s="663">
        <v>378.0</v>
      </c>
      <c r="S203" s="595"/>
      <c r="T203" s="596"/>
      <c r="U203" s="574"/>
    </row>
    <row r="204">
      <c r="A204" s="585">
        <v>201.0</v>
      </c>
      <c r="B204" s="593"/>
      <c r="C204" s="586" t="s">
        <v>899</v>
      </c>
      <c r="D204" s="27"/>
      <c r="E204" s="27"/>
      <c r="F204" s="27"/>
      <c r="G204" s="27"/>
      <c r="H204" s="657">
        <v>7.0</v>
      </c>
      <c r="I204" s="658" t="s">
        <v>1209</v>
      </c>
      <c r="J204" s="583" t="s">
        <v>1216</v>
      </c>
      <c r="K204" s="581">
        <v>18.0</v>
      </c>
      <c r="L204" s="581" t="s">
        <v>928</v>
      </c>
      <c r="M204" s="592"/>
      <c r="N204" s="582"/>
      <c r="O204" s="582"/>
      <c r="P204" s="593"/>
      <c r="Q204" s="593"/>
      <c r="R204" s="663">
        <v>18.0</v>
      </c>
      <c r="S204" s="595"/>
      <c r="T204" s="596"/>
      <c r="U204" s="574"/>
    </row>
    <row r="205">
      <c r="A205" s="585">
        <v>202.0</v>
      </c>
      <c r="B205" s="586" t="s">
        <v>707</v>
      </c>
      <c r="C205" s="586" t="s">
        <v>459</v>
      </c>
      <c r="D205" s="27"/>
      <c r="E205" s="40"/>
      <c r="F205" s="40"/>
      <c r="G205" s="27"/>
      <c r="H205" s="657">
        <v>7.0</v>
      </c>
      <c r="I205" s="658" t="s">
        <v>1209</v>
      </c>
      <c r="J205" s="583" t="s">
        <v>1216</v>
      </c>
      <c r="K205" s="581">
        <v>4.0</v>
      </c>
      <c r="L205" s="581" t="s">
        <v>928</v>
      </c>
      <c r="M205" s="592"/>
      <c r="N205" s="582"/>
      <c r="O205" s="582"/>
      <c r="P205" s="593"/>
      <c r="Q205" s="593"/>
      <c r="R205" s="663">
        <v>4.0</v>
      </c>
      <c r="S205" s="595"/>
      <c r="T205" s="596"/>
      <c r="U205" s="574"/>
    </row>
    <row r="206">
      <c r="A206" s="585">
        <v>203.0</v>
      </c>
      <c r="B206" s="586" t="s">
        <v>708</v>
      </c>
      <c r="C206" s="586" t="s">
        <v>461</v>
      </c>
      <c r="D206" s="27"/>
      <c r="E206" s="588" t="s">
        <v>860</v>
      </c>
      <c r="F206" s="597">
        <v>8.1324253485E10</v>
      </c>
      <c r="G206" s="27"/>
      <c r="H206" s="657">
        <v>7.0</v>
      </c>
      <c r="I206" s="658" t="s">
        <v>1209</v>
      </c>
      <c r="J206" s="621" t="s">
        <v>1248</v>
      </c>
      <c r="K206" s="609">
        <v>108.0</v>
      </c>
      <c r="L206" s="581" t="s">
        <v>928</v>
      </c>
      <c r="M206" s="592"/>
      <c r="N206" s="582"/>
      <c r="O206" s="582"/>
      <c r="P206" s="593"/>
      <c r="Q206" s="593"/>
      <c r="R206" s="594">
        <v>108.0</v>
      </c>
      <c r="S206" s="595"/>
      <c r="T206" s="596"/>
      <c r="U206" s="574"/>
    </row>
    <row r="207">
      <c r="A207" s="585">
        <v>204.0</v>
      </c>
      <c r="B207" s="593"/>
      <c r="C207" s="586" t="s">
        <v>464</v>
      </c>
      <c r="D207" s="27"/>
      <c r="E207" s="27"/>
      <c r="F207" s="27"/>
      <c r="G207" s="27"/>
      <c r="H207" s="657">
        <v>7.0</v>
      </c>
      <c r="I207" s="658" t="s">
        <v>1209</v>
      </c>
      <c r="J207" s="583" t="s">
        <v>1216</v>
      </c>
      <c r="K207" s="593"/>
      <c r="L207" s="593"/>
      <c r="M207" s="592"/>
      <c r="N207" s="582"/>
      <c r="O207" s="583" t="s">
        <v>1216</v>
      </c>
      <c r="P207" s="593"/>
      <c r="Q207" s="593"/>
      <c r="R207" s="594">
        <v>123.0</v>
      </c>
      <c r="S207" s="595"/>
      <c r="T207" s="596"/>
      <c r="U207" s="574"/>
    </row>
    <row r="208">
      <c r="A208" s="585">
        <v>205.0</v>
      </c>
      <c r="B208" s="586" t="s">
        <v>709</v>
      </c>
      <c r="C208" s="586" t="s">
        <v>466</v>
      </c>
      <c r="D208" s="27"/>
      <c r="E208" s="40"/>
      <c r="F208" s="40"/>
      <c r="G208" s="27"/>
      <c r="H208" s="657">
        <v>7.0</v>
      </c>
      <c r="I208" s="658" t="s">
        <v>1209</v>
      </c>
      <c r="J208" s="583" t="s">
        <v>1216</v>
      </c>
      <c r="K208" s="593"/>
      <c r="L208" s="593"/>
      <c r="M208" s="592"/>
      <c r="N208" s="582"/>
      <c r="O208" s="583" t="s">
        <v>1216</v>
      </c>
      <c r="P208" s="593"/>
      <c r="Q208" s="593"/>
      <c r="R208" s="594">
        <v>0.0</v>
      </c>
      <c r="S208" s="595"/>
      <c r="T208" s="596"/>
      <c r="U208" s="574"/>
    </row>
    <row r="209">
      <c r="A209" s="585">
        <v>206.0</v>
      </c>
      <c r="B209" s="593"/>
      <c r="C209" s="586" t="s">
        <v>467</v>
      </c>
      <c r="D209" s="27"/>
      <c r="E209" s="588" t="s">
        <v>859</v>
      </c>
      <c r="F209" s="597">
        <v>8.122355068E10</v>
      </c>
      <c r="G209" s="27"/>
      <c r="H209" s="657">
        <v>7.0</v>
      </c>
      <c r="I209" s="658" t="s">
        <v>1209</v>
      </c>
      <c r="J209" s="621" t="s">
        <v>1249</v>
      </c>
      <c r="K209" s="593"/>
      <c r="L209" s="593"/>
      <c r="M209" s="592"/>
      <c r="N209" s="582"/>
      <c r="O209" s="583" t="s">
        <v>1250</v>
      </c>
      <c r="P209" s="593"/>
      <c r="Q209" s="593"/>
      <c r="R209" s="594">
        <v>0.0</v>
      </c>
      <c r="S209" s="595"/>
      <c r="T209" s="596"/>
      <c r="U209" s="574"/>
    </row>
    <row r="210">
      <c r="A210" s="585">
        <v>207.0</v>
      </c>
      <c r="B210" s="593"/>
      <c r="C210" s="586" t="s">
        <v>468</v>
      </c>
      <c r="D210" s="27"/>
      <c r="E210" s="40"/>
      <c r="F210" s="40"/>
      <c r="G210" s="27"/>
      <c r="H210" s="657">
        <v>7.0</v>
      </c>
      <c r="I210" s="658" t="s">
        <v>1209</v>
      </c>
      <c r="J210" s="664" t="s">
        <v>1251</v>
      </c>
      <c r="K210" s="581">
        <v>56.0</v>
      </c>
      <c r="L210" s="581">
        <v>56.0</v>
      </c>
      <c r="M210" s="592"/>
      <c r="N210" s="582"/>
      <c r="O210" s="583" t="s">
        <v>1252</v>
      </c>
      <c r="P210" s="593"/>
      <c r="Q210" s="593"/>
      <c r="R210" s="594">
        <v>54.0</v>
      </c>
      <c r="S210" s="595"/>
      <c r="T210" s="596"/>
      <c r="U210" s="574"/>
    </row>
    <row r="211">
      <c r="A211" s="585">
        <v>208.0</v>
      </c>
      <c r="B211" s="586" t="s">
        <v>710</v>
      </c>
      <c r="C211" s="586" t="s">
        <v>470</v>
      </c>
      <c r="D211" s="27"/>
      <c r="E211" s="588" t="s">
        <v>860</v>
      </c>
      <c r="F211" s="597">
        <v>8.1324253485E10</v>
      </c>
      <c r="G211" s="27"/>
      <c r="H211" s="657">
        <v>7.0</v>
      </c>
      <c r="I211" s="658" t="s">
        <v>1209</v>
      </c>
      <c r="J211" s="583" t="s">
        <v>1216</v>
      </c>
      <c r="K211" s="581">
        <v>0.0</v>
      </c>
      <c r="L211" s="581" t="s">
        <v>928</v>
      </c>
      <c r="M211" s="592"/>
      <c r="N211" s="582"/>
      <c r="O211" s="583" t="s">
        <v>1216</v>
      </c>
      <c r="P211" s="593"/>
      <c r="Q211" s="593"/>
      <c r="R211" s="594">
        <v>0.0</v>
      </c>
      <c r="S211" s="595"/>
      <c r="T211" s="596"/>
      <c r="U211" s="574"/>
    </row>
    <row r="212">
      <c r="A212" s="585">
        <v>209.0</v>
      </c>
      <c r="B212" s="593"/>
      <c r="C212" s="586" t="s">
        <v>471</v>
      </c>
      <c r="D212" s="27"/>
      <c r="E212" s="40"/>
      <c r="F212" s="40"/>
      <c r="G212" s="27"/>
      <c r="H212" s="657">
        <v>7.0</v>
      </c>
      <c r="I212" s="658" t="s">
        <v>1209</v>
      </c>
      <c r="J212" s="583" t="s">
        <v>1216</v>
      </c>
      <c r="K212" s="581">
        <v>174.0</v>
      </c>
      <c r="L212" s="581" t="s">
        <v>928</v>
      </c>
      <c r="M212" s="592"/>
      <c r="N212" s="582"/>
      <c r="O212" s="583" t="s">
        <v>1216</v>
      </c>
      <c r="P212" s="593"/>
      <c r="Q212" s="593"/>
      <c r="R212" s="594">
        <v>185.0</v>
      </c>
      <c r="S212" s="595"/>
      <c r="T212" s="596"/>
      <c r="U212" s="574"/>
    </row>
    <row r="213">
      <c r="A213" s="585">
        <v>210.0</v>
      </c>
      <c r="B213" s="593"/>
      <c r="C213" s="586" t="s">
        <v>473</v>
      </c>
      <c r="D213" s="27"/>
      <c r="E213" s="588" t="s">
        <v>864</v>
      </c>
      <c r="F213" s="597">
        <v>8.2238712225E10</v>
      </c>
      <c r="G213" s="27"/>
      <c r="H213" s="657">
        <v>7.0</v>
      </c>
      <c r="I213" s="658" t="s">
        <v>1209</v>
      </c>
      <c r="J213" s="583" t="s">
        <v>1216</v>
      </c>
      <c r="K213" s="581">
        <v>0.0</v>
      </c>
      <c r="L213" s="581" t="s">
        <v>928</v>
      </c>
      <c r="M213" s="592"/>
      <c r="N213" s="582"/>
      <c r="O213" s="583" t="s">
        <v>1216</v>
      </c>
      <c r="P213" s="593"/>
      <c r="Q213" s="593"/>
      <c r="R213" s="594">
        <v>0.0</v>
      </c>
      <c r="S213" s="595"/>
      <c r="T213" s="596"/>
      <c r="U213" s="574"/>
    </row>
    <row r="214">
      <c r="A214" s="585">
        <v>211.0</v>
      </c>
      <c r="B214" s="593"/>
      <c r="C214" s="586" t="s">
        <v>474</v>
      </c>
      <c r="D214" s="27"/>
      <c r="E214" s="40"/>
      <c r="F214" s="40"/>
      <c r="G214" s="27"/>
      <c r="H214" s="657">
        <v>7.0</v>
      </c>
      <c r="I214" s="658" t="s">
        <v>1209</v>
      </c>
      <c r="J214" s="583" t="s">
        <v>1216</v>
      </c>
      <c r="K214" s="581">
        <v>0.0</v>
      </c>
      <c r="L214" s="581" t="s">
        <v>928</v>
      </c>
      <c r="M214" s="592"/>
      <c r="N214" s="582"/>
      <c r="O214" s="583" t="s">
        <v>1216</v>
      </c>
      <c r="P214" s="593"/>
      <c r="Q214" s="593"/>
      <c r="R214" s="594">
        <v>0.0</v>
      </c>
      <c r="S214" s="595"/>
      <c r="T214" s="596"/>
      <c r="U214" s="574"/>
    </row>
    <row r="215">
      <c r="A215" s="585">
        <v>212.0</v>
      </c>
      <c r="B215" s="593"/>
      <c r="C215" s="586" t="s">
        <v>476</v>
      </c>
      <c r="D215" s="27"/>
      <c r="E215" s="632" t="s">
        <v>865</v>
      </c>
      <c r="F215" s="633">
        <v>8.1314278708E10</v>
      </c>
      <c r="G215" s="27"/>
      <c r="H215" s="657">
        <v>7.0</v>
      </c>
      <c r="I215" s="658" t="s">
        <v>1209</v>
      </c>
      <c r="J215" s="583" t="s">
        <v>1216</v>
      </c>
      <c r="K215" s="581">
        <v>0.0</v>
      </c>
      <c r="L215" s="581" t="s">
        <v>928</v>
      </c>
      <c r="M215" s="592"/>
      <c r="N215" s="582"/>
      <c r="O215" s="583" t="s">
        <v>1216</v>
      </c>
      <c r="P215" s="593"/>
      <c r="Q215" s="593"/>
      <c r="R215" s="594">
        <v>0.0</v>
      </c>
      <c r="S215" s="595"/>
      <c r="T215" s="596"/>
      <c r="U215" s="574"/>
    </row>
    <row r="216">
      <c r="A216" s="585">
        <v>213.0</v>
      </c>
      <c r="B216" s="593"/>
      <c r="C216" s="586" t="s">
        <v>477</v>
      </c>
      <c r="D216" s="40"/>
      <c r="E216" s="40"/>
      <c r="F216" s="40"/>
      <c r="G216" s="27"/>
      <c r="H216" s="657">
        <v>7.0</v>
      </c>
      <c r="I216" s="658" t="s">
        <v>1209</v>
      </c>
      <c r="J216" s="621" t="s">
        <v>1253</v>
      </c>
      <c r="K216" s="581">
        <v>21.0</v>
      </c>
      <c r="L216" s="581" t="s">
        <v>928</v>
      </c>
      <c r="M216" s="592"/>
      <c r="N216" s="582"/>
      <c r="O216" s="583" t="s">
        <v>1201</v>
      </c>
      <c r="P216" s="593"/>
      <c r="Q216" s="593"/>
      <c r="R216" s="594">
        <v>21.0</v>
      </c>
      <c r="S216" s="595"/>
      <c r="T216" s="596"/>
      <c r="U216" s="574"/>
    </row>
    <row r="217">
      <c r="A217" s="585">
        <v>214.0</v>
      </c>
      <c r="B217" s="593"/>
      <c r="C217" s="586" t="s">
        <v>478</v>
      </c>
      <c r="D217" s="587" t="s">
        <v>1254</v>
      </c>
      <c r="E217" s="665" t="s">
        <v>1255</v>
      </c>
      <c r="F217" s="597">
        <v>8.5211517032E10</v>
      </c>
      <c r="G217" s="27"/>
      <c r="H217" s="655">
        <v>1.0</v>
      </c>
      <c r="I217" s="656" t="s">
        <v>1186</v>
      </c>
      <c r="J217" s="583" t="s">
        <v>957</v>
      </c>
      <c r="K217" s="593"/>
      <c r="L217" s="581" t="s">
        <v>928</v>
      </c>
      <c r="M217" s="592"/>
      <c r="N217" s="582"/>
      <c r="O217" s="583" t="s">
        <v>1039</v>
      </c>
      <c r="P217" s="593"/>
      <c r="Q217" s="593"/>
      <c r="R217" s="594">
        <v>0.0</v>
      </c>
      <c r="S217" s="595"/>
      <c r="T217" s="596"/>
      <c r="U217" s="574"/>
    </row>
    <row r="218">
      <c r="A218" s="585">
        <v>215.0</v>
      </c>
      <c r="B218" s="586" t="s">
        <v>711</v>
      </c>
      <c r="C218" s="586" t="s">
        <v>481</v>
      </c>
      <c r="D218" s="27"/>
      <c r="E218" s="40"/>
      <c r="F218" s="40"/>
      <c r="G218" s="27"/>
      <c r="H218" s="655">
        <v>1.0</v>
      </c>
      <c r="I218" s="656" t="s">
        <v>1186</v>
      </c>
      <c r="J218" s="583" t="s">
        <v>957</v>
      </c>
      <c r="K218" s="593"/>
      <c r="L218" s="581" t="s">
        <v>928</v>
      </c>
      <c r="M218" s="592"/>
      <c r="N218" s="582"/>
      <c r="O218" s="583" t="s">
        <v>1039</v>
      </c>
      <c r="P218" s="593"/>
      <c r="Q218" s="593"/>
      <c r="R218" s="594">
        <v>0.0</v>
      </c>
      <c r="S218" s="595"/>
      <c r="T218" s="596"/>
      <c r="U218" s="574"/>
    </row>
    <row r="219">
      <c r="A219" s="585">
        <v>216.0</v>
      </c>
      <c r="B219" s="593"/>
      <c r="C219" s="586" t="s">
        <v>482</v>
      </c>
      <c r="D219" s="27"/>
      <c r="E219" s="632" t="s">
        <v>868</v>
      </c>
      <c r="F219" s="652">
        <v>8.129500626E9</v>
      </c>
      <c r="G219" s="27"/>
      <c r="H219" s="655">
        <v>1.0</v>
      </c>
      <c r="I219" s="656" t="s">
        <v>1186</v>
      </c>
      <c r="J219" s="640" t="s">
        <v>1151</v>
      </c>
      <c r="K219" s="581">
        <v>41.0</v>
      </c>
      <c r="L219" s="581" t="s">
        <v>928</v>
      </c>
      <c r="M219" s="592"/>
      <c r="N219" s="582"/>
      <c r="O219" s="583" t="s">
        <v>1039</v>
      </c>
      <c r="P219" s="593"/>
      <c r="Q219" s="593"/>
      <c r="R219" s="594">
        <v>41.0</v>
      </c>
      <c r="S219" s="595"/>
      <c r="T219" s="596"/>
      <c r="U219" s="574"/>
    </row>
    <row r="220">
      <c r="A220" s="585">
        <v>217.0</v>
      </c>
      <c r="B220" s="593"/>
      <c r="C220" s="586" t="s">
        <v>483</v>
      </c>
      <c r="D220" s="27"/>
      <c r="E220" s="40"/>
      <c r="F220" s="652">
        <v>8.129500626E9</v>
      </c>
      <c r="G220" s="27"/>
      <c r="H220" s="655">
        <v>1.0</v>
      </c>
      <c r="I220" s="656" t="s">
        <v>1186</v>
      </c>
      <c r="J220" s="640" t="s">
        <v>1151</v>
      </c>
      <c r="K220" s="581">
        <v>0.0</v>
      </c>
      <c r="L220" s="581" t="s">
        <v>928</v>
      </c>
      <c r="M220" s="592"/>
      <c r="N220" s="582"/>
      <c r="O220" s="583" t="s">
        <v>1039</v>
      </c>
      <c r="P220" s="593"/>
      <c r="Q220" s="593"/>
      <c r="R220" s="594">
        <v>0.0</v>
      </c>
      <c r="S220" s="595"/>
      <c r="T220" s="596"/>
      <c r="U220" s="574"/>
    </row>
    <row r="221">
      <c r="A221" s="585">
        <v>218.0</v>
      </c>
      <c r="B221" s="593"/>
      <c r="C221" s="586" t="s">
        <v>484</v>
      </c>
      <c r="D221" s="27"/>
      <c r="E221" s="588" t="s">
        <v>869</v>
      </c>
      <c r="F221" s="571">
        <v>8.5211517032E10</v>
      </c>
      <c r="G221" s="27"/>
      <c r="H221" s="655">
        <v>1.0</v>
      </c>
      <c r="I221" s="656" t="s">
        <v>1186</v>
      </c>
      <c r="J221" s="583" t="s">
        <v>957</v>
      </c>
      <c r="K221" s="581">
        <v>0.0</v>
      </c>
      <c r="L221" s="581" t="s">
        <v>928</v>
      </c>
      <c r="M221" s="592"/>
      <c r="N221" s="582"/>
      <c r="O221" s="583" t="s">
        <v>1039</v>
      </c>
      <c r="P221" s="593"/>
      <c r="Q221" s="593"/>
      <c r="R221" s="594">
        <v>7.0</v>
      </c>
      <c r="S221" s="595"/>
      <c r="T221" s="596"/>
      <c r="U221" s="574"/>
    </row>
    <row r="222">
      <c r="A222" s="585">
        <v>219.0</v>
      </c>
      <c r="B222" s="593"/>
      <c r="C222" s="586" t="s">
        <v>486</v>
      </c>
      <c r="D222" s="27"/>
      <c r="E222" s="40"/>
      <c r="F222" s="40"/>
      <c r="G222" s="27"/>
      <c r="H222" s="655">
        <v>1.0</v>
      </c>
      <c r="I222" s="656" t="s">
        <v>1186</v>
      </c>
      <c r="J222" s="583" t="s">
        <v>957</v>
      </c>
      <c r="K222" s="581">
        <v>0.0</v>
      </c>
      <c r="L222" s="581" t="s">
        <v>928</v>
      </c>
      <c r="M222" s="592"/>
      <c r="N222" s="582"/>
      <c r="O222" s="583" t="s">
        <v>1039</v>
      </c>
      <c r="P222" s="593"/>
      <c r="Q222" s="593"/>
      <c r="R222" s="594">
        <v>0.0</v>
      </c>
      <c r="S222" s="595"/>
      <c r="T222" s="596"/>
      <c r="U222" s="574"/>
    </row>
    <row r="223">
      <c r="A223" s="585">
        <v>220.0</v>
      </c>
      <c r="B223" s="593"/>
      <c r="C223" s="586" t="s">
        <v>488</v>
      </c>
      <c r="D223" s="27"/>
      <c r="E223" s="640" t="s">
        <v>870</v>
      </c>
      <c r="F223" s="641">
        <v>8.1319765385E10</v>
      </c>
      <c r="G223" s="27"/>
      <c r="H223" s="655">
        <v>1.0</v>
      </c>
      <c r="I223" s="656" t="s">
        <v>1186</v>
      </c>
      <c r="J223" s="640" t="s">
        <v>1151</v>
      </c>
      <c r="K223" s="581">
        <v>0.0</v>
      </c>
      <c r="L223" s="581" t="s">
        <v>928</v>
      </c>
      <c r="M223" s="592"/>
      <c r="N223" s="582"/>
      <c r="O223" s="583" t="s">
        <v>1039</v>
      </c>
      <c r="P223" s="593"/>
      <c r="Q223" s="593"/>
      <c r="R223" s="594">
        <v>0.0</v>
      </c>
      <c r="S223" s="595"/>
      <c r="T223" s="596"/>
      <c r="U223" s="574"/>
    </row>
    <row r="224">
      <c r="A224" s="585">
        <v>221.0</v>
      </c>
      <c r="B224" s="593"/>
      <c r="C224" s="586" t="s">
        <v>489</v>
      </c>
      <c r="D224" s="40"/>
      <c r="E224" s="640" t="s">
        <v>871</v>
      </c>
      <c r="F224" s="666">
        <v>8.1291236227E10</v>
      </c>
      <c r="G224" s="40"/>
      <c r="H224" s="655">
        <v>1.0</v>
      </c>
      <c r="I224" s="656" t="s">
        <v>1186</v>
      </c>
      <c r="J224" s="640" t="s">
        <v>1151</v>
      </c>
      <c r="K224" s="581">
        <v>0.0</v>
      </c>
      <c r="L224" s="581" t="s">
        <v>928</v>
      </c>
      <c r="M224" s="592"/>
      <c r="N224" s="582"/>
      <c r="O224" s="583" t="s">
        <v>1039</v>
      </c>
      <c r="P224" s="593"/>
      <c r="Q224" s="593"/>
      <c r="R224" s="594">
        <v>14.0</v>
      </c>
      <c r="S224" s="595"/>
      <c r="T224" s="596"/>
      <c r="U224" s="574"/>
    </row>
    <row r="225">
      <c r="A225" s="593"/>
      <c r="B225" s="578" t="s">
        <v>491</v>
      </c>
      <c r="C225" s="593"/>
      <c r="D225" s="667"/>
      <c r="E225" s="593"/>
      <c r="F225" s="593"/>
      <c r="G225" s="593"/>
      <c r="H225" s="593"/>
      <c r="I225" s="582"/>
      <c r="J225" s="593"/>
      <c r="K225" s="581">
        <v>92718.0</v>
      </c>
      <c r="L225" s="581">
        <v>23805.0</v>
      </c>
      <c r="M225" s="592"/>
      <c r="N225" s="582"/>
      <c r="O225" s="582"/>
      <c r="P225" s="593"/>
      <c r="Q225" s="593"/>
      <c r="R225" s="668">
        <v>132427.0</v>
      </c>
      <c r="S225" s="595"/>
      <c r="T225" s="596"/>
      <c r="U225" s="574"/>
    </row>
    <row r="226">
      <c r="A226" s="669" t="s">
        <v>492</v>
      </c>
      <c r="B226" s="19"/>
      <c r="C226" s="20"/>
      <c r="D226" s="667"/>
      <c r="E226" s="593"/>
      <c r="F226" s="593"/>
      <c r="G226" s="593"/>
      <c r="H226" s="593"/>
      <c r="I226" s="582"/>
      <c r="J226" s="593"/>
      <c r="K226" s="593"/>
      <c r="L226" s="593"/>
      <c r="M226" s="592"/>
      <c r="N226" s="582"/>
      <c r="O226" s="670"/>
      <c r="P226" s="593"/>
      <c r="Q226" s="593"/>
      <c r="R226" s="596"/>
      <c r="S226" s="595"/>
      <c r="T226" s="596"/>
      <c r="U226" s="574"/>
    </row>
    <row r="227">
      <c r="A227" s="593"/>
      <c r="B227" s="593"/>
      <c r="C227" s="593"/>
      <c r="D227" s="667"/>
      <c r="E227" s="593"/>
      <c r="F227" s="593"/>
      <c r="G227" s="593"/>
      <c r="H227" s="593"/>
      <c r="I227" s="582"/>
      <c r="J227" s="593"/>
      <c r="K227" s="593"/>
      <c r="L227" s="593"/>
      <c r="M227" s="592"/>
      <c r="N227" s="582"/>
      <c r="O227" s="593"/>
      <c r="P227" s="593"/>
      <c r="Q227" s="593"/>
      <c r="R227" s="596"/>
      <c r="S227" s="595"/>
      <c r="T227" s="596"/>
      <c r="U227" s="574"/>
    </row>
    <row r="228">
      <c r="A228" s="574"/>
      <c r="B228" s="574"/>
      <c r="C228" s="574"/>
      <c r="D228" s="671"/>
      <c r="E228" s="574"/>
      <c r="F228" s="574"/>
      <c r="G228" s="574"/>
      <c r="H228" s="574"/>
      <c r="I228" s="672"/>
      <c r="J228" s="574"/>
      <c r="K228" s="574"/>
      <c r="L228" s="574"/>
      <c r="M228" s="673"/>
      <c r="N228" s="672"/>
      <c r="O228" s="574"/>
      <c r="P228" s="574"/>
      <c r="Q228" s="574"/>
      <c r="R228" s="574"/>
      <c r="S228" s="575"/>
      <c r="T228" s="574"/>
      <c r="U228" s="574"/>
    </row>
    <row r="229">
      <c r="A229" s="574"/>
      <c r="B229" s="574"/>
      <c r="C229" s="574"/>
      <c r="D229" s="671"/>
      <c r="E229" s="574"/>
      <c r="F229" s="574"/>
      <c r="G229" s="574"/>
      <c r="H229" s="574"/>
      <c r="I229" s="672"/>
      <c r="J229" s="574"/>
      <c r="K229" s="574"/>
      <c r="L229" s="574"/>
      <c r="M229" s="673"/>
      <c r="N229" s="672"/>
      <c r="O229" s="574"/>
      <c r="P229" s="574"/>
      <c r="Q229" s="574"/>
      <c r="R229" s="574"/>
      <c r="S229" s="575"/>
      <c r="T229" s="574"/>
      <c r="U229" s="574"/>
    </row>
    <row r="230">
      <c r="A230" s="574"/>
      <c r="B230" s="574"/>
      <c r="C230" s="574"/>
      <c r="D230" s="671"/>
      <c r="E230" s="574"/>
      <c r="F230" s="574"/>
      <c r="G230" s="596"/>
      <c r="H230" s="674" t="s">
        <v>1256</v>
      </c>
      <c r="I230" s="675" t="s">
        <v>1257</v>
      </c>
      <c r="J230" s="574"/>
      <c r="K230" s="574"/>
      <c r="L230" s="574"/>
      <c r="M230" s="673"/>
      <c r="N230" s="672"/>
      <c r="O230" s="574"/>
      <c r="P230" s="574"/>
      <c r="Q230" s="574"/>
      <c r="R230" s="574"/>
      <c r="S230" s="575"/>
      <c r="T230" s="574"/>
      <c r="U230" s="574"/>
    </row>
    <row r="231">
      <c r="A231" s="574"/>
      <c r="B231" s="574"/>
      <c r="C231" s="574"/>
      <c r="D231" s="671"/>
      <c r="E231" s="574"/>
      <c r="F231" s="574"/>
      <c r="G231" s="676" t="s">
        <v>1258</v>
      </c>
      <c r="H231" s="677" t="s">
        <v>1259</v>
      </c>
      <c r="I231" s="678" t="s">
        <v>1260</v>
      </c>
      <c r="J231" s="574"/>
      <c r="K231" s="574"/>
      <c r="L231" s="574"/>
      <c r="M231" s="673"/>
      <c r="N231" s="672"/>
      <c r="O231" s="574"/>
      <c r="P231" s="574"/>
      <c r="Q231" s="574"/>
      <c r="R231" s="574"/>
      <c r="S231" s="575"/>
      <c r="T231" s="574"/>
      <c r="U231" s="574"/>
    </row>
    <row r="232">
      <c r="A232" s="574"/>
      <c r="B232" s="574"/>
      <c r="C232" s="574"/>
      <c r="D232" s="671"/>
      <c r="E232" s="574"/>
      <c r="F232" s="574"/>
      <c r="G232" s="674" t="s">
        <v>1261</v>
      </c>
      <c r="H232" s="27"/>
      <c r="I232" s="678" t="s">
        <v>1262</v>
      </c>
      <c r="J232" s="574"/>
      <c r="K232" s="574"/>
      <c r="L232" s="574"/>
      <c r="M232" s="673"/>
      <c r="N232" s="672"/>
      <c r="O232" s="574"/>
      <c r="P232" s="574"/>
      <c r="Q232" s="574"/>
      <c r="R232" s="574"/>
      <c r="S232" s="575"/>
      <c r="T232" s="574"/>
      <c r="U232" s="574"/>
    </row>
    <row r="233">
      <c r="A233" s="574"/>
      <c r="B233" s="574"/>
      <c r="C233" s="574"/>
      <c r="D233" s="671"/>
      <c r="E233" s="574"/>
      <c r="F233" s="574"/>
      <c r="G233" s="596"/>
      <c r="H233" s="40"/>
      <c r="I233" s="678" t="s">
        <v>1263</v>
      </c>
      <c r="J233" s="574"/>
      <c r="K233" s="574"/>
      <c r="L233" s="574"/>
      <c r="M233" s="673"/>
      <c r="N233" s="672"/>
      <c r="O233" s="574"/>
      <c r="P233" s="574"/>
      <c r="Q233" s="574"/>
      <c r="R233" s="574"/>
      <c r="S233" s="575"/>
      <c r="T233" s="574"/>
      <c r="U233" s="574"/>
    </row>
    <row r="234">
      <c r="A234" s="574"/>
      <c r="B234" s="574"/>
      <c r="C234" s="574"/>
      <c r="D234" s="671"/>
      <c r="E234" s="574"/>
      <c r="F234" s="574"/>
      <c r="G234" s="676" t="s">
        <v>1264</v>
      </c>
      <c r="H234" s="677" t="s">
        <v>1265</v>
      </c>
      <c r="I234" s="678" t="s">
        <v>1266</v>
      </c>
      <c r="J234" s="574"/>
      <c r="K234" s="574"/>
      <c r="L234" s="574"/>
      <c r="M234" s="673"/>
      <c r="N234" s="672"/>
      <c r="O234" s="574"/>
      <c r="P234" s="574"/>
      <c r="Q234" s="574"/>
      <c r="R234" s="574"/>
      <c r="S234" s="575"/>
      <c r="T234" s="574"/>
      <c r="U234" s="574"/>
    </row>
    <row r="235">
      <c r="A235" s="574"/>
      <c r="B235" s="574"/>
      <c r="C235" s="574"/>
      <c r="D235" s="671"/>
      <c r="E235" s="574"/>
      <c r="F235" s="574"/>
      <c r="G235" s="674" t="s">
        <v>1267</v>
      </c>
      <c r="H235" s="40"/>
      <c r="I235" s="678" t="s">
        <v>1268</v>
      </c>
      <c r="J235" s="574"/>
      <c r="K235" s="574"/>
      <c r="L235" s="574"/>
      <c r="M235" s="673"/>
      <c r="N235" s="672"/>
      <c r="O235" s="574"/>
      <c r="P235" s="574"/>
      <c r="Q235" s="574"/>
      <c r="R235" s="574"/>
      <c r="S235" s="575"/>
      <c r="T235" s="574"/>
      <c r="U235" s="574"/>
    </row>
    <row r="236">
      <c r="A236" s="574"/>
      <c r="B236" s="574"/>
      <c r="C236" s="574"/>
      <c r="D236" s="671"/>
      <c r="E236" s="574"/>
      <c r="F236" s="574"/>
      <c r="G236" s="676" t="s">
        <v>1269</v>
      </c>
      <c r="H236" s="677" t="s">
        <v>1270</v>
      </c>
      <c r="I236" s="678" t="s">
        <v>1271</v>
      </c>
      <c r="J236" s="574"/>
      <c r="K236" s="574"/>
      <c r="L236" s="574"/>
      <c r="M236" s="673"/>
      <c r="N236" s="672"/>
      <c r="O236" s="574"/>
      <c r="P236" s="574"/>
      <c r="Q236" s="574"/>
      <c r="R236" s="574"/>
      <c r="S236" s="575"/>
      <c r="T236" s="574"/>
      <c r="U236" s="574"/>
    </row>
    <row r="237">
      <c r="A237" s="574"/>
      <c r="B237" s="574"/>
      <c r="C237" s="574"/>
      <c r="D237" s="671"/>
      <c r="E237" s="574"/>
      <c r="F237" s="574"/>
      <c r="G237" s="674" t="s">
        <v>1272</v>
      </c>
      <c r="H237" s="27"/>
      <c r="I237" s="678" t="s">
        <v>1273</v>
      </c>
      <c r="J237" s="574"/>
      <c r="K237" s="574"/>
      <c r="L237" s="574"/>
      <c r="M237" s="673"/>
      <c r="N237" s="672"/>
      <c r="O237" s="574"/>
      <c r="P237" s="574"/>
      <c r="Q237" s="574"/>
      <c r="R237" s="574"/>
      <c r="S237" s="575"/>
      <c r="T237" s="574"/>
      <c r="U237" s="574"/>
    </row>
    <row r="238">
      <c r="A238" s="574"/>
      <c r="B238" s="574"/>
      <c r="C238" s="574"/>
      <c r="D238" s="671"/>
      <c r="E238" s="574"/>
      <c r="F238" s="574"/>
      <c r="G238" s="596"/>
      <c r="H238" s="40"/>
      <c r="I238" s="678" t="s">
        <v>1274</v>
      </c>
      <c r="J238" s="574"/>
      <c r="K238" s="574"/>
      <c r="L238" s="574"/>
      <c r="M238" s="673"/>
      <c r="N238" s="672"/>
      <c r="O238" s="574"/>
      <c r="P238" s="574"/>
      <c r="Q238" s="574"/>
      <c r="R238" s="574"/>
      <c r="S238" s="575"/>
      <c r="T238" s="574"/>
      <c r="U238" s="574"/>
    </row>
    <row r="239">
      <c r="A239" s="574"/>
      <c r="B239" s="574"/>
      <c r="C239" s="574"/>
      <c r="D239" s="671"/>
      <c r="E239" s="574"/>
      <c r="F239" s="574"/>
      <c r="G239" s="574"/>
      <c r="H239" s="574"/>
      <c r="I239" s="672"/>
      <c r="J239" s="574"/>
      <c r="K239" s="574"/>
      <c r="L239" s="574"/>
      <c r="M239" s="673"/>
      <c r="N239" s="672"/>
      <c r="O239" s="574"/>
      <c r="P239" s="574"/>
      <c r="Q239" s="574"/>
      <c r="R239" s="574"/>
      <c r="S239" s="575"/>
      <c r="T239" s="574"/>
      <c r="U239" s="574"/>
    </row>
    <row r="240">
      <c r="A240" s="574"/>
      <c r="B240" s="574"/>
      <c r="C240" s="574"/>
      <c r="D240" s="671"/>
      <c r="E240" s="574"/>
      <c r="F240" s="574"/>
      <c r="G240" s="574"/>
      <c r="H240" s="574"/>
      <c r="I240" s="672"/>
      <c r="J240" s="574"/>
      <c r="K240" s="574"/>
      <c r="L240" s="574"/>
      <c r="M240" s="673"/>
      <c r="N240" s="672"/>
      <c r="O240" s="574"/>
      <c r="P240" s="574"/>
      <c r="Q240" s="574"/>
      <c r="R240" s="574"/>
      <c r="S240" s="575"/>
      <c r="T240" s="574"/>
      <c r="U240" s="574"/>
    </row>
    <row r="241">
      <c r="A241" s="574"/>
      <c r="B241" s="574"/>
      <c r="C241" s="574"/>
      <c r="D241" s="671"/>
      <c r="E241" s="574"/>
      <c r="F241" s="574"/>
      <c r="G241" s="574"/>
      <c r="H241" s="574"/>
      <c r="I241" s="672"/>
      <c r="J241" s="574"/>
      <c r="K241" s="574"/>
      <c r="L241" s="574"/>
      <c r="M241" s="673"/>
      <c r="N241" s="672"/>
      <c r="O241" s="574"/>
      <c r="P241" s="574"/>
      <c r="Q241" s="574"/>
      <c r="R241" s="574"/>
      <c r="S241" s="575"/>
      <c r="T241" s="574"/>
      <c r="U241" s="574"/>
    </row>
    <row r="242">
      <c r="A242" s="574"/>
      <c r="B242" s="574"/>
      <c r="C242" s="574"/>
      <c r="D242" s="671"/>
      <c r="E242" s="574"/>
      <c r="F242" s="574"/>
      <c r="G242" s="574"/>
      <c r="H242" s="574"/>
      <c r="I242" s="672"/>
      <c r="J242" s="574"/>
      <c r="K242" s="574"/>
      <c r="L242" s="574"/>
      <c r="M242" s="673"/>
      <c r="N242" s="672"/>
      <c r="O242" s="574"/>
      <c r="P242" s="574"/>
      <c r="Q242" s="574"/>
      <c r="R242" s="574"/>
      <c r="S242" s="575"/>
      <c r="T242" s="574"/>
      <c r="U242" s="574"/>
    </row>
    <row r="243">
      <c r="A243" s="574"/>
      <c r="B243" s="574"/>
      <c r="C243" s="574"/>
      <c r="D243" s="671"/>
      <c r="E243" s="574"/>
      <c r="F243" s="574"/>
      <c r="G243" s="574"/>
      <c r="H243" s="574"/>
      <c r="I243" s="672"/>
      <c r="J243" s="574"/>
      <c r="K243" s="574"/>
      <c r="L243" s="574"/>
      <c r="M243" s="673"/>
      <c r="N243" s="672"/>
      <c r="O243" s="574"/>
      <c r="P243" s="574"/>
      <c r="Q243" s="574"/>
      <c r="R243" s="574"/>
      <c r="S243" s="575"/>
      <c r="T243" s="574"/>
      <c r="U243" s="574"/>
    </row>
    <row r="244">
      <c r="A244" s="574"/>
      <c r="B244" s="574"/>
      <c r="C244" s="574"/>
      <c r="D244" s="671"/>
      <c r="E244" s="574"/>
      <c r="F244" s="574"/>
      <c r="G244" s="574"/>
      <c r="H244" s="574"/>
      <c r="I244" s="672"/>
      <c r="J244" s="574"/>
      <c r="K244" s="574"/>
      <c r="L244" s="574"/>
      <c r="M244" s="673"/>
      <c r="N244" s="672"/>
      <c r="O244" s="574"/>
      <c r="P244" s="574"/>
      <c r="Q244" s="574"/>
      <c r="R244" s="574"/>
      <c r="S244" s="575"/>
      <c r="T244" s="574"/>
      <c r="U244" s="574"/>
    </row>
    <row r="245">
      <c r="A245" s="574"/>
      <c r="B245" s="574"/>
      <c r="C245" s="574"/>
      <c r="D245" s="671"/>
      <c r="E245" s="574"/>
      <c r="F245" s="574"/>
      <c r="G245" s="574"/>
      <c r="H245" s="574"/>
      <c r="I245" s="672"/>
      <c r="J245" s="574"/>
      <c r="K245" s="574"/>
      <c r="L245" s="574"/>
      <c r="M245" s="673"/>
      <c r="N245" s="672"/>
      <c r="O245" s="574"/>
      <c r="P245" s="574"/>
      <c r="Q245" s="574"/>
      <c r="R245" s="574"/>
      <c r="S245" s="575"/>
      <c r="T245" s="574"/>
      <c r="U245" s="574"/>
    </row>
    <row r="246">
      <c r="A246" s="574"/>
      <c r="B246" s="574"/>
      <c r="C246" s="574"/>
      <c r="D246" s="671"/>
      <c r="E246" s="574"/>
      <c r="F246" s="574"/>
      <c r="G246" s="574"/>
      <c r="H246" s="574"/>
      <c r="I246" s="672"/>
      <c r="J246" s="574"/>
      <c r="K246" s="574"/>
      <c r="L246" s="574"/>
      <c r="M246" s="673"/>
      <c r="N246" s="672"/>
      <c r="O246" s="574"/>
      <c r="P246" s="574"/>
      <c r="Q246" s="574"/>
      <c r="R246" s="574"/>
      <c r="S246" s="575"/>
      <c r="T246" s="574"/>
      <c r="U246" s="574"/>
    </row>
    <row r="247">
      <c r="A247" s="574"/>
      <c r="B247" s="574"/>
      <c r="C247" s="574"/>
      <c r="D247" s="671"/>
      <c r="E247" s="574"/>
      <c r="F247" s="574"/>
      <c r="G247" s="574"/>
      <c r="H247" s="574"/>
      <c r="I247" s="672"/>
      <c r="J247" s="574"/>
      <c r="K247" s="574"/>
      <c r="L247" s="574"/>
      <c r="M247" s="673"/>
      <c r="N247" s="672"/>
      <c r="O247" s="574"/>
      <c r="P247" s="574"/>
      <c r="Q247" s="574"/>
      <c r="R247" s="574"/>
      <c r="S247" s="575"/>
      <c r="T247" s="574"/>
      <c r="U247" s="574"/>
    </row>
    <row r="248">
      <c r="A248" s="574"/>
      <c r="B248" s="574"/>
      <c r="C248" s="574"/>
      <c r="D248" s="671"/>
      <c r="E248" s="574"/>
      <c r="F248" s="574"/>
      <c r="G248" s="574"/>
      <c r="H248" s="574"/>
      <c r="I248" s="672"/>
      <c r="J248" s="574"/>
      <c r="K248" s="574"/>
      <c r="L248" s="574"/>
      <c r="M248" s="673"/>
      <c r="N248" s="672"/>
      <c r="O248" s="574"/>
      <c r="P248" s="574"/>
      <c r="Q248" s="574"/>
      <c r="R248" s="574"/>
      <c r="S248" s="575"/>
      <c r="T248" s="574"/>
      <c r="U248" s="574"/>
    </row>
    <row r="249">
      <c r="A249" s="574"/>
      <c r="B249" s="574"/>
      <c r="C249" s="574"/>
      <c r="D249" s="671"/>
      <c r="E249" s="574"/>
      <c r="F249" s="574"/>
      <c r="G249" s="574"/>
      <c r="H249" s="574"/>
      <c r="I249" s="672"/>
      <c r="J249" s="574"/>
      <c r="K249" s="574"/>
      <c r="L249" s="574"/>
      <c r="M249" s="673"/>
      <c r="N249" s="672"/>
      <c r="O249" s="574"/>
      <c r="P249" s="574"/>
      <c r="Q249" s="574"/>
      <c r="R249" s="574"/>
      <c r="S249" s="575"/>
      <c r="T249" s="574"/>
      <c r="U249" s="574"/>
    </row>
    <row r="250">
      <c r="A250" s="574"/>
      <c r="B250" s="574"/>
      <c r="C250" s="574"/>
      <c r="D250" s="671"/>
      <c r="E250" s="574"/>
      <c r="F250" s="574"/>
      <c r="G250" s="574"/>
      <c r="H250" s="574"/>
      <c r="I250" s="672"/>
      <c r="J250" s="574"/>
      <c r="K250" s="574"/>
      <c r="L250" s="574"/>
      <c r="M250" s="673"/>
      <c r="N250" s="672"/>
      <c r="O250" s="574"/>
      <c r="P250" s="574"/>
      <c r="Q250" s="574"/>
      <c r="R250" s="574"/>
      <c r="S250" s="575"/>
      <c r="T250" s="574"/>
      <c r="U250" s="574"/>
    </row>
    <row r="251">
      <c r="A251" s="574"/>
      <c r="B251" s="574"/>
      <c r="C251" s="574"/>
      <c r="D251" s="671"/>
      <c r="E251" s="574"/>
      <c r="F251" s="574"/>
      <c r="G251" s="574"/>
      <c r="H251" s="574"/>
      <c r="I251" s="672"/>
      <c r="J251" s="574"/>
      <c r="K251" s="574"/>
      <c r="L251" s="574"/>
      <c r="M251" s="673"/>
      <c r="N251" s="672"/>
      <c r="O251" s="574"/>
      <c r="P251" s="574"/>
      <c r="Q251" s="574"/>
      <c r="R251" s="574"/>
      <c r="S251" s="575"/>
      <c r="T251" s="574"/>
      <c r="U251" s="574"/>
    </row>
    <row r="252">
      <c r="A252" s="574"/>
      <c r="B252" s="574"/>
      <c r="C252" s="574"/>
      <c r="D252" s="671"/>
      <c r="E252" s="574"/>
      <c r="F252" s="574"/>
      <c r="G252" s="574"/>
      <c r="H252" s="574"/>
      <c r="I252" s="672"/>
      <c r="J252" s="574"/>
      <c r="K252" s="574"/>
      <c r="L252" s="574"/>
      <c r="M252" s="673"/>
      <c r="N252" s="672"/>
      <c r="O252" s="574"/>
      <c r="P252" s="574"/>
      <c r="Q252" s="574"/>
      <c r="R252" s="574"/>
      <c r="S252" s="575"/>
      <c r="T252" s="574"/>
      <c r="U252" s="574"/>
    </row>
    <row r="253">
      <c r="A253" s="574"/>
      <c r="B253" s="574"/>
      <c r="C253" s="574"/>
      <c r="D253" s="671"/>
      <c r="E253" s="574"/>
      <c r="F253" s="574"/>
      <c r="G253" s="574"/>
      <c r="H253" s="574"/>
      <c r="I253" s="672"/>
      <c r="J253" s="574"/>
      <c r="K253" s="574"/>
      <c r="L253" s="574"/>
      <c r="M253" s="673"/>
      <c r="N253" s="672"/>
      <c r="O253" s="574"/>
      <c r="P253" s="574"/>
      <c r="Q253" s="574"/>
      <c r="R253" s="574"/>
      <c r="S253" s="575"/>
      <c r="T253" s="574"/>
      <c r="U253" s="574"/>
    </row>
    <row r="254">
      <c r="A254" s="574"/>
      <c r="B254" s="574"/>
      <c r="C254" s="574"/>
      <c r="D254" s="671"/>
      <c r="E254" s="574"/>
      <c r="F254" s="574"/>
      <c r="G254" s="574"/>
      <c r="H254" s="574"/>
      <c r="I254" s="672"/>
      <c r="J254" s="574"/>
      <c r="K254" s="574"/>
      <c r="L254" s="574"/>
      <c r="M254" s="673"/>
      <c r="N254" s="672"/>
      <c r="O254" s="574"/>
      <c r="P254" s="574"/>
      <c r="Q254" s="574"/>
      <c r="R254" s="574"/>
      <c r="S254" s="575"/>
      <c r="T254" s="574"/>
      <c r="U254" s="574"/>
    </row>
    <row r="255">
      <c r="A255" s="574"/>
      <c r="B255" s="574"/>
      <c r="C255" s="574"/>
      <c r="D255" s="671"/>
      <c r="E255" s="574"/>
      <c r="F255" s="574"/>
      <c r="G255" s="574"/>
      <c r="H255" s="574"/>
      <c r="I255" s="672"/>
      <c r="J255" s="574"/>
      <c r="K255" s="574"/>
      <c r="L255" s="574"/>
      <c r="M255" s="673"/>
      <c r="N255" s="672"/>
      <c r="O255" s="574"/>
      <c r="P255" s="574"/>
      <c r="Q255" s="574"/>
      <c r="R255" s="574"/>
      <c r="S255" s="575"/>
      <c r="T255" s="574"/>
      <c r="U255" s="574"/>
    </row>
    <row r="256">
      <c r="A256" s="574"/>
      <c r="B256" s="574"/>
      <c r="C256" s="574"/>
      <c r="D256" s="671"/>
      <c r="E256" s="574"/>
      <c r="F256" s="574"/>
      <c r="G256" s="574"/>
      <c r="H256" s="574"/>
      <c r="I256" s="672"/>
      <c r="J256" s="574"/>
      <c r="K256" s="574"/>
      <c r="L256" s="574"/>
      <c r="M256" s="673"/>
      <c r="N256" s="672"/>
      <c r="O256" s="574"/>
      <c r="P256" s="574"/>
      <c r="Q256" s="574"/>
      <c r="R256" s="574"/>
      <c r="S256" s="575"/>
      <c r="T256" s="574"/>
      <c r="U256" s="574"/>
    </row>
    <row r="257">
      <c r="A257" s="574"/>
      <c r="B257" s="574"/>
      <c r="C257" s="574"/>
      <c r="D257" s="671"/>
      <c r="E257" s="574"/>
      <c r="F257" s="574"/>
      <c r="G257" s="574"/>
      <c r="H257" s="574"/>
      <c r="I257" s="672"/>
      <c r="J257" s="574"/>
      <c r="K257" s="574"/>
      <c r="L257" s="574"/>
      <c r="M257" s="673"/>
      <c r="N257" s="672"/>
      <c r="O257" s="574"/>
      <c r="P257" s="574"/>
      <c r="Q257" s="574"/>
      <c r="R257" s="574"/>
      <c r="S257" s="575"/>
      <c r="T257" s="574"/>
      <c r="U257" s="574"/>
    </row>
    <row r="258">
      <c r="A258" s="574"/>
      <c r="B258" s="574"/>
      <c r="C258" s="574"/>
      <c r="D258" s="671"/>
      <c r="E258" s="574"/>
      <c r="F258" s="574"/>
      <c r="G258" s="574"/>
      <c r="H258" s="574"/>
      <c r="I258" s="672"/>
      <c r="J258" s="574"/>
      <c r="K258" s="574"/>
      <c r="L258" s="574"/>
      <c r="M258" s="673"/>
      <c r="N258" s="672"/>
      <c r="O258" s="574"/>
      <c r="P258" s="574"/>
      <c r="Q258" s="574"/>
      <c r="R258" s="574"/>
      <c r="S258" s="575"/>
      <c r="T258" s="574"/>
      <c r="U258" s="574"/>
    </row>
    <row r="259">
      <c r="A259" s="574"/>
      <c r="B259" s="574"/>
      <c r="C259" s="574"/>
      <c r="D259" s="671"/>
      <c r="E259" s="574"/>
      <c r="F259" s="574"/>
      <c r="G259" s="574"/>
      <c r="H259" s="574"/>
      <c r="I259" s="672"/>
      <c r="J259" s="574"/>
      <c r="K259" s="574"/>
      <c r="L259" s="574"/>
      <c r="M259" s="673"/>
      <c r="N259" s="672"/>
      <c r="O259" s="574"/>
      <c r="P259" s="574"/>
      <c r="Q259" s="574"/>
      <c r="R259" s="574"/>
      <c r="S259" s="575"/>
      <c r="T259" s="574"/>
      <c r="U259" s="574"/>
    </row>
    <row r="260">
      <c r="A260" s="574"/>
      <c r="B260" s="574"/>
      <c r="C260" s="574"/>
      <c r="D260" s="671"/>
      <c r="E260" s="574"/>
      <c r="F260" s="574"/>
      <c r="G260" s="574"/>
      <c r="H260" s="574"/>
      <c r="I260" s="672"/>
      <c r="J260" s="574"/>
      <c r="K260" s="574"/>
      <c r="L260" s="574"/>
      <c r="M260" s="673"/>
      <c r="N260" s="672"/>
      <c r="O260" s="574"/>
      <c r="P260" s="574"/>
      <c r="Q260" s="574"/>
      <c r="R260" s="574"/>
      <c r="S260" s="575"/>
      <c r="T260" s="574"/>
      <c r="U260" s="574"/>
    </row>
    <row r="261">
      <c r="A261" s="574"/>
      <c r="B261" s="574"/>
      <c r="C261" s="574"/>
      <c r="D261" s="671"/>
      <c r="E261" s="574"/>
      <c r="F261" s="574"/>
      <c r="G261" s="574"/>
      <c r="H261" s="574"/>
      <c r="I261" s="672"/>
      <c r="J261" s="574"/>
      <c r="K261" s="574"/>
      <c r="L261" s="574"/>
      <c r="M261" s="673"/>
      <c r="N261" s="672"/>
      <c r="O261" s="574"/>
      <c r="P261" s="574"/>
      <c r="Q261" s="574"/>
      <c r="R261" s="574"/>
      <c r="S261" s="575"/>
      <c r="T261" s="574"/>
      <c r="U261" s="574"/>
    </row>
    <row r="262">
      <c r="A262" s="574"/>
      <c r="B262" s="574"/>
      <c r="C262" s="574"/>
      <c r="D262" s="671"/>
      <c r="E262" s="574"/>
      <c r="F262" s="574"/>
      <c r="G262" s="574"/>
      <c r="H262" s="574"/>
      <c r="I262" s="672"/>
      <c r="J262" s="574"/>
      <c r="K262" s="574"/>
      <c r="L262" s="574"/>
      <c r="M262" s="673"/>
      <c r="N262" s="672"/>
      <c r="O262" s="574"/>
      <c r="P262" s="574"/>
      <c r="Q262" s="574"/>
      <c r="R262" s="574"/>
      <c r="S262" s="575"/>
      <c r="T262" s="574"/>
      <c r="U262" s="574"/>
    </row>
    <row r="263">
      <c r="A263" s="574"/>
      <c r="B263" s="574"/>
      <c r="C263" s="574"/>
      <c r="D263" s="671"/>
      <c r="E263" s="574"/>
      <c r="F263" s="574"/>
      <c r="G263" s="574"/>
      <c r="H263" s="574"/>
      <c r="I263" s="672"/>
      <c r="J263" s="574"/>
      <c r="K263" s="574"/>
      <c r="L263" s="574"/>
      <c r="M263" s="673"/>
      <c r="N263" s="672"/>
      <c r="O263" s="574"/>
      <c r="P263" s="574"/>
      <c r="Q263" s="574"/>
      <c r="R263" s="574"/>
      <c r="S263" s="575"/>
      <c r="T263" s="574"/>
      <c r="U263" s="574"/>
    </row>
    <row r="264">
      <c r="A264" s="574"/>
      <c r="B264" s="574"/>
      <c r="C264" s="574"/>
      <c r="D264" s="671"/>
      <c r="E264" s="574"/>
      <c r="F264" s="574"/>
      <c r="G264" s="574"/>
      <c r="H264" s="574"/>
      <c r="I264" s="672"/>
      <c r="J264" s="574"/>
      <c r="K264" s="574"/>
      <c r="L264" s="574"/>
      <c r="M264" s="673"/>
      <c r="N264" s="672"/>
      <c r="O264" s="574"/>
      <c r="P264" s="574"/>
      <c r="Q264" s="574"/>
      <c r="R264" s="574"/>
      <c r="S264" s="575"/>
      <c r="T264" s="574"/>
      <c r="U264" s="574"/>
    </row>
    <row r="265">
      <c r="A265" s="574"/>
      <c r="B265" s="574"/>
      <c r="C265" s="574"/>
      <c r="D265" s="671"/>
      <c r="E265" s="574"/>
      <c r="F265" s="574"/>
      <c r="G265" s="574"/>
      <c r="H265" s="574"/>
      <c r="I265" s="672"/>
      <c r="J265" s="574"/>
      <c r="K265" s="574"/>
      <c r="L265" s="574"/>
      <c r="M265" s="673"/>
      <c r="N265" s="672"/>
      <c r="O265" s="574"/>
      <c r="P265" s="574"/>
      <c r="Q265" s="574"/>
      <c r="R265" s="574"/>
      <c r="S265" s="575"/>
      <c r="T265" s="574"/>
      <c r="U265" s="574"/>
    </row>
    <row r="266">
      <c r="A266" s="574"/>
      <c r="B266" s="574"/>
      <c r="C266" s="574"/>
      <c r="D266" s="671"/>
      <c r="E266" s="574"/>
      <c r="F266" s="574"/>
      <c r="G266" s="574"/>
      <c r="H266" s="574"/>
      <c r="I266" s="672"/>
      <c r="J266" s="574"/>
      <c r="K266" s="574"/>
      <c r="L266" s="574"/>
      <c r="M266" s="673"/>
      <c r="N266" s="672"/>
      <c r="O266" s="574"/>
      <c r="P266" s="574"/>
      <c r="Q266" s="574"/>
      <c r="R266" s="574"/>
      <c r="S266" s="575"/>
      <c r="T266" s="574"/>
      <c r="U266" s="574"/>
    </row>
    <row r="267">
      <c r="A267" s="574"/>
      <c r="B267" s="574"/>
      <c r="C267" s="574"/>
      <c r="D267" s="671"/>
      <c r="E267" s="574"/>
      <c r="F267" s="574"/>
      <c r="G267" s="574"/>
      <c r="H267" s="574"/>
      <c r="I267" s="672"/>
      <c r="J267" s="574"/>
      <c r="K267" s="574"/>
      <c r="L267" s="574"/>
      <c r="M267" s="673"/>
      <c r="N267" s="672"/>
      <c r="O267" s="574"/>
      <c r="P267" s="574"/>
      <c r="Q267" s="574"/>
      <c r="R267" s="574"/>
      <c r="S267" s="575"/>
      <c r="T267" s="574"/>
      <c r="U267" s="574"/>
    </row>
    <row r="268">
      <c r="A268" s="574"/>
      <c r="B268" s="574"/>
      <c r="C268" s="574"/>
      <c r="D268" s="671"/>
      <c r="E268" s="574"/>
      <c r="F268" s="574"/>
      <c r="G268" s="574"/>
      <c r="H268" s="574"/>
      <c r="I268" s="672"/>
      <c r="J268" s="574"/>
      <c r="K268" s="574"/>
      <c r="L268" s="574"/>
      <c r="M268" s="673"/>
      <c r="N268" s="672"/>
      <c r="O268" s="574"/>
      <c r="P268" s="574"/>
      <c r="Q268" s="574"/>
      <c r="R268" s="574"/>
      <c r="S268" s="575"/>
      <c r="T268" s="574"/>
      <c r="U268" s="574"/>
    </row>
    <row r="269">
      <c r="A269" s="574"/>
      <c r="B269" s="574"/>
      <c r="C269" s="574"/>
      <c r="D269" s="671"/>
      <c r="E269" s="574"/>
      <c r="F269" s="574"/>
      <c r="G269" s="574"/>
      <c r="H269" s="574"/>
      <c r="I269" s="672"/>
      <c r="J269" s="574"/>
      <c r="K269" s="574"/>
      <c r="L269" s="574"/>
      <c r="M269" s="673"/>
      <c r="N269" s="672"/>
      <c r="O269" s="574"/>
      <c r="P269" s="574"/>
      <c r="Q269" s="574"/>
      <c r="R269" s="574"/>
      <c r="S269" s="575"/>
      <c r="T269" s="574"/>
      <c r="U269" s="574"/>
    </row>
    <row r="270">
      <c r="A270" s="574"/>
      <c r="B270" s="574"/>
      <c r="C270" s="574"/>
      <c r="D270" s="671"/>
      <c r="E270" s="574"/>
      <c r="F270" s="574"/>
      <c r="G270" s="574"/>
      <c r="H270" s="574"/>
      <c r="I270" s="672"/>
      <c r="J270" s="574"/>
      <c r="K270" s="574"/>
      <c r="L270" s="574"/>
      <c r="M270" s="673"/>
      <c r="N270" s="672"/>
      <c r="O270" s="574"/>
      <c r="P270" s="574"/>
      <c r="Q270" s="574"/>
      <c r="R270" s="574"/>
      <c r="S270" s="575"/>
      <c r="T270" s="574"/>
      <c r="U270" s="574"/>
    </row>
    <row r="271">
      <c r="A271" s="574"/>
      <c r="B271" s="574"/>
      <c r="C271" s="574"/>
      <c r="D271" s="671"/>
      <c r="E271" s="574"/>
      <c r="F271" s="574"/>
      <c r="G271" s="574"/>
      <c r="H271" s="574"/>
      <c r="I271" s="672"/>
      <c r="J271" s="574"/>
      <c r="K271" s="574"/>
      <c r="L271" s="574"/>
      <c r="M271" s="673"/>
      <c r="N271" s="672"/>
      <c r="O271" s="574"/>
      <c r="P271" s="574"/>
      <c r="Q271" s="574"/>
      <c r="R271" s="574"/>
      <c r="S271" s="575"/>
      <c r="T271" s="574"/>
      <c r="U271" s="574"/>
    </row>
    <row r="272">
      <c r="A272" s="574"/>
      <c r="B272" s="574"/>
      <c r="C272" s="574"/>
      <c r="D272" s="671"/>
      <c r="E272" s="574"/>
      <c r="F272" s="574"/>
      <c r="G272" s="574"/>
      <c r="H272" s="574"/>
      <c r="I272" s="672"/>
      <c r="J272" s="574"/>
      <c r="K272" s="574"/>
      <c r="L272" s="574"/>
      <c r="M272" s="673"/>
      <c r="N272" s="672"/>
      <c r="O272" s="574"/>
      <c r="P272" s="574"/>
      <c r="Q272" s="574"/>
      <c r="R272" s="574"/>
      <c r="S272" s="575"/>
      <c r="T272" s="574"/>
      <c r="U272" s="574"/>
    </row>
    <row r="273">
      <c r="A273" s="574"/>
      <c r="B273" s="574"/>
      <c r="C273" s="574"/>
      <c r="D273" s="671"/>
      <c r="E273" s="574"/>
      <c r="F273" s="574"/>
      <c r="G273" s="574"/>
      <c r="H273" s="574"/>
      <c r="I273" s="672"/>
      <c r="J273" s="574"/>
      <c r="K273" s="574"/>
      <c r="L273" s="574"/>
      <c r="M273" s="673"/>
      <c r="N273" s="672"/>
      <c r="O273" s="574"/>
      <c r="P273" s="574"/>
      <c r="Q273" s="574"/>
      <c r="R273" s="574"/>
      <c r="S273" s="575"/>
      <c r="T273" s="574"/>
      <c r="U273" s="574"/>
    </row>
    <row r="274">
      <c r="A274" s="574"/>
      <c r="B274" s="574"/>
      <c r="C274" s="574"/>
      <c r="D274" s="671"/>
      <c r="E274" s="574"/>
      <c r="F274" s="574"/>
      <c r="G274" s="574"/>
      <c r="H274" s="574"/>
      <c r="I274" s="672"/>
      <c r="J274" s="574"/>
      <c r="K274" s="574"/>
      <c r="L274" s="574"/>
      <c r="M274" s="673"/>
      <c r="N274" s="672"/>
      <c r="O274" s="574"/>
      <c r="P274" s="574"/>
      <c r="Q274" s="574"/>
      <c r="R274" s="574"/>
      <c r="S274" s="575"/>
      <c r="T274" s="574"/>
      <c r="U274" s="574"/>
    </row>
    <row r="275">
      <c r="A275" s="574"/>
      <c r="B275" s="574"/>
      <c r="C275" s="574"/>
      <c r="D275" s="671"/>
      <c r="E275" s="574"/>
      <c r="F275" s="574"/>
      <c r="G275" s="574"/>
      <c r="H275" s="574"/>
      <c r="I275" s="672"/>
      <c r="J275" s="574"/>
      <c r="K275" s="574"/>
      <c r="L275" s="574"/>
      <c r="M275" s="673"/>
      <c r="N275" s="672"/>
      <c r="O275" s="574"/>
      <c r="P275" s="574"/>
      <c r="Q275" s="574"/>
      <c r="R275" s="574"/>
      <c r="S275" s="575"/>
      <c r="T275" s="574"/>
      <c r="U275" s="574"/>
    </row>
    <row r="276">
      <c r="A276" s="574"/>
      <c r="B276" s="574"/>
      <c r="C276" s="574"/>
      <c r="D276" s="671"/>
      <c r="E276" s="574"/>
      <c r="F276" s="574"/>
      <c r="G276" s="574"/>
      <c r="H276" s="574"/>
      <c r="I276" s="672"/>
      <c r="J276" s="574"/>
      <c r="K276" s="574"/>
      <c r="L276" s="574"/>
      <c r="M276" s="673"/>
      <c r="N276" s="672"/>
      <c r="O276" s="574"/>
      <c r="P276" s="574"/>
      <c r="Q276" s="574"/>
      <c r="R276" s="574"/>
      <c r="S276" s="575"/>
      <c r="T276" s="574"/>
      <c r="U276" s="574"/>
    </row>
    <row r="277">
      <c r="A277" s="574"/>
      <c r="B277" s="574"/>
      <c r="C277" s="574"/>
      <c r="D277" s="671"/>
      <c r="E277" s="574"/>
      <c r="F277" s="574"/>
      <c r="G277" s="574"/>
      <c r="H277" s="574"/>
      <c r="I277" s="672"/>
      <c r="J277" s="574"/>
      <c r="K277" s="574"/>
      <c r="L277" s="574"/>
      <c r="M277" s="673"/>
      <c r="N277" s="672"/>
      <c r="O277" s="574"/>
      <c r="P277" s="574"/>
      <c r="Q277" s="574"/>
      <c r="R277" s="574"/>
      <c r="S277" s="575"/>
      <c r="T277" s="574"/>
      <c r="U277" s="574"/>
    </row>
    <row r="278">
      <c r="A278" s="574"/>
      <c r="B278" s="574"/>
      <c r="C278" s="574"/>
      <c r="D278" s="671"/>
      <c r="E278" s="574"/>
      <c r="F278" s="574"/>
      <c r="G278" s="574"/>
      <c r="H278" s="574"/>
      <c r="I278" s="672"/>
      <c r="J278" s="574"/>
      <c r="K278" s="574"/>
      <c r="L278" s="574"/>
      <c r="M278" s="673"/>
      <c r="N278" s="672"/>
      <c r="O278" s="574"/>
      <c r="P278" s="574"/>
      <c r="Q278" s="574"/>
      <c r="R278" s="574"/>
      <c r="S278" s="575"/>
      <c r="T278" s="574"/>
      <c r="U278" s="574"/>
    </row>
    <row r="279">
      <c r="A279" s="574"/>
      <c r="B279" s="574"/>
      <c r="C279" s="574"/>
      <c r="D279" s="671"/>
      <c r="E279" s="574"/>
      <c r="F279" s="574"/>
      <c r="G279" s="574"/>
      <c r="H279" s="574"/>
      <c r="I279" s="672"/>
      <c r="J279" s="574"/>
      <c r="K279" s="574"/>
      <c r="L279" s="574"/>
      <c r="M279" s="673"/>
      <c r="N279" s="672"/>
      <c r="O279" s="574"/>
      <c r="P279" s="574"/>
      <c r="Q279" s="574"/>
      <c r="R279" s="574"/>
      <c r="S279" s="575"/>
      <c r="T279" s="574"/>
      <c r="U279" s="574"/>
    </row>
    <row r="280">
      <c r="A280" s="574"/>
      <c r="B280" s="574"/>
      <c r="C280" s="574"/>
      <c r="D280" s="671"/>
      <c r="E280" s="574"/>
      <c r="F280" s="574"/>
      <c r="G280" s="574"/>
      <c r="H280" s="574"/>
      <c r="I280" s="672"/>
      <c r="J280" s="574"/>
      <c r="K280" s="574"/>
      <c r="L280" s="574"/>
      <c r="M280" s="673"/>
      <c r="N280" s="672"/>
      <c r="O280" s="574"/>
      <c r="P280" s="574"/>
      <c r="Q280" s="574"/>
      <c r="R280" s="574"/>
      <c r="S280" s="575"/>
      <c r="T280" s="574"/>
      <c r="U280" s="574"/>
    </row>
    <row r="281">
      <c r="A281" s="574"/>
      <c r="B281" s="574"/>
      <c r="C281" s="574"/>
      <c r="D281" s="671"/>
      <c r="E281" s="574"/>
      <c r="F281" s="574"/>
      <c r="G281" s="574"/>
      <c r="H281" s="574"/>
      <c r="I281" s="672"/>
      <c r="J281" s="574"/>
      <c r="K281" s="574"/>
      <c r="L281" s="574"/>
      <c r="M281" s="673"/>
      <c r="N281" s="672"/>
      <c r="O281" s="574"/>
      <c r="P281" s="574"/>
      <c r="Q281" s="574"/>
      <c r="R281" s="574"/>
      <c r="S281" s="575"/>
      <c r="T281" s="574"/>
      <c r="U281" s="574"/>
    </row>
    <row r="282">
      <c r="A282" s="574"/>
      <c r="B282" s="574"/>
      <c r="C282" s="574"/>
      <c r="D282" s="671"/>
      <c r="E282" s="574"/>
      <c r="F282" s="574"/>
      <c r="G282" s="574"/>
      <c r="H282" s="574"/>
      <c r="I282" s="672"/>
      <c r="J282" s="574"/>
      <c r="K282" s="574"/>
      <c r="L282" s="574"/>
      <c r="M282" s="673"/>
      <c r="N282" s="672"/>
      <c r="O282" s="574"/>
      <c r="P282" s="574"/>
      <c r="Q282" s="574"/>
      <c r="R282" s="574"/>
      <c r="S282" s="575"/>
      <c r="T282" s="574"/>
      <c r="U282" s="574"/>
    </row>
    <row r="283">
      <c r="A283" s="574"/>
      <c r="B283" s="574"/>
      <c r="C283" s="574"/>
      <c r="D283" s="671"/>
      <c r="E283" s="574"/>
      <c r="F283" s="574"/>
      <c r="G283" s="574"/>
      <c r="H283" s="574"/>
      <c r="I283" s="672"/>
      <c r="J283" s="574"/>
      <c r="K283" s="574"/>
      <c r="L283" s="574"/>
      <c r="M283" s="673"/>
      <c r="N283" s="672"/>
      <c r="O283" s="574"/>
      <c r="P283" s="574"/>
      <c r="Q283" s="574"/>
      <c r="R283" s="574"/>
      <c r="S283" s="575"/>
      <c r="T283" s="574"/>
      <c r="U283" s="574"/>
    </row>
    <row r="284">
      <c r="A284" s="574"/>
      <c r="B284" s="574"/>
      <c r="C284" s="574"/>
      <c r="D284" s="671"/>
      <c r="E284" s="574"/>
      <c r="F284" s="574"/>
      <c r="G284" s="574"/>
      <c r="H284" s="574"/>
      <c r="I284" s="672"/>
      <c r="J284" s="574"/>
      <c r="K284" s="574"/>
      <c r="L284" s="574"/>
      <c r="M284" s="673"/>
      <c r="N284" s="672"/>
      <c r="O284" s="574"/>
      <c r="P284" s="574"/>
      <c r="Q284" s="574"/>
      <c r="R284" s="574"/>
      <c r="S284" s="575"/>
      <c r="T284" s="574"/>
      <c r="U284" s="574"/>
    </row>
    <row r="285">
      <c r="A285" s="574"/>
      <c r="B285" s="574"/>
      <c r="C285" s="574"/>
      <c r="D285" s="671"/>
      <c r="E285" s="574"/>
      <c r="F285" s="574"/>
      <c r="G285" s="574"/>
      <c r="H285" s="574"/>
      <c r="I285" s="672"/>
      <c r="J285" s="574"/>
      <c r="K285" s="574"/>
      <c r="L285" s="574"/>
      <c r="M285" s="673"/>
      <c r="N285" s="672"/>
      <c r="O285" s="574"/>
      <c r="P285" s="574"/>
      <c r="Q285" s="574"/>
      <c r="R285" s="574"/>
      <c r="S285" s="575"/>
      <c r="T285" s="574"/>
      <c r="U285" s="574"/>
    </row>
    <row r="286">
      <c r="A286" s="574"/>
      <c r="B286" s="574"/>
      <c r="C286" s="574"/>
      <c r="D286" s="671"/>
      <c r="E286" s="574"/>
      <c r="F286" s="574"/>
      <c r="G286" s="574"/>
      <c r="H286" s="574"/>
      <c r="I286" s="672"/>
      <c r="J286" s="574"/>
      <c r="K286" s="574"/>
      <c r="L286" s="574"/>
      <c r="M286" s="673"/>
      <c r="N286" s="672"/>
      <c r="O286" s="574"/>
      <c r="P286" s="574"/>
      <c r="Q286" s="574"/>
      <c r="R286" s="574"/>
      <c r="S286" s="575"/>
      <c r="T286" s="574"/>
      <c r="U286" s="574"/>
    </row>
    <row r="287">
      <c r="A287" s="574"/>
      <c r="B287" s="574"/>
      <c r="C287" s="574"/>
      <c r="D287" s="671"/>
      <c r="E287" s="574"/>
      <c r="F287" s="574"/>
      <c r="G287" s="574"/>
      <c r="H287" s="574"/>
      <c r="I287" s="672"/>
      <c r="J287" s="574"/>
      <c r="K287" s="574"/>
      <c r="L287" s="574"/>
      <c r="M287" s="673"/>
      <c r="N287" s="672"/>
      <c r="O287" s="574"/>
      <c r="P287" s="574"/>
      <c r="Q287" s="574"/>
      <c r="R287" s="574"/>
      <c r="S287" s="575"/>
      <c r="T287" s="574"/>
      <c r="U287" s="574"/>
    </row>
    <row r="288">
      <c r="A288" s="574"/>
      <c r="B288" s="574"/>
      <c r="C288" s="574"/>
      <c r="D288" s="671"/>
      <c r="E288" s="574"/>
      <c r="F288" s="574"/>
      <c r="G288" s="574"/>
      <c r="H288" s="574"/>
      <c r="I288" s="672"/>
      <c r="J288" s="574"/>
      <c r="K288" s="574"/>
      <c r="L288" s="574"/>
      <c r="M288" s="673"/>
      <c r="N288" s="672"/>
      <c r="O288" s="574"/>
      <c r="P288" s="574"/>
      <c r="Q288" s="574"/>
      <c r="R288" s="574"/>
      <c r="S288" s="575"/>
      <c r="T288" s="574"/>
      <c r="U288" s="574"/>
    </row>
    <row r="289">
      <c r="A289" s="574"/>
      <c r="B289" s="574"/>
      <c r="C289" s="574"/>
      <c r="D289" s="671"/>
      <c r="E289" s="574"/>
      <c r="F289" s="574"/>
      <c r="G289" s="574"/>
      <c r="H289" s="574"/>
      <c r="I289" s="672"/>
      <c r="J289" s="574"/>
      <c r="K289" s="574"/>
      <c r="L289" s="574"/>
      <c r="M289" s="673"/>
      <c r="N289" s="672"/>
      <c r="O289" s="574"/>
      <c r="P289" s="574"/>
      <c r="Q289" s="574"/>
      <c r="R289" s="574"/>
      <c r="S289" s="575"/>
      <c r="T289" s="574"/>
      <c r="U289" s="574"/>
    </row>
    <row r="290">
      <c r="A290" s="574"/>
      <c r="B290" s="574"/>
      <c r="C290" s="574"/>
      <c r="D290" s="671"/>
      <c r="E290" s="574"/>
      <c r="F290" s="574"/>
      <c r="G290" s="574"/>
      <c r="H290" s="574"/>
      <c r="I290" s="672"/>
      <c r="J290" s="574"/>
      <c r="K290" s="574"/>
      <c r="L290" s="574"/>
      <c r="M290" s="673"/>
      <c r="N290" s="672"/>
      <c r="O290" s="574"/>
      <c r="P290" s="574"/>
      <c r="Q290" s="574"/>
      <c r="R290" s="574"/>
      <c r="S290" s="575"/>
      <c r="T290" s="574"/>
      <c r="U290" s="574"/>
    </row>
    <row r="291">
      <c r="A291" s="574"/>
      <c r="B291" s="574"/>
      <c r="C291" s="574"/>
      <c r="D291" s="671"/>
      <c r="E291" s="574"/>
      <c r="F291" s="574"/>
      <c r="G291" s="574"/>
      <c r="H291" s="574"/>
      <c r="I291" s="672"/>
      <c r="J291" s="574"/>
      <c r="K291" s="574"/>
      <c r="L291" s="574"/>
      <c r="M291" s="673"/>
      <c r="N291" s="672"/>
      <c r="O291" s="574"/>
      <c r="P291" s="574"/>
      <c r="Q291" s="574"/>
      <c r="R291" s="574"/>
      <c r="S291" s="575"/>
      <c r="T291" s="574"/>
      <c r="U291" s="574"/>
    </row>
    <row r="292">
      <c r="A292" s="574"/>
      <c r="B292" s="574"/>
      <c r="C292" s="574"/>
      <c r="D292" s="671"/>
      <c r="E292" s="574"/>
      <c r="F292" s="574"/>
      <c r="G292" s="574"/>
      <c r="H292" s="574"/>
      <c r="I292" s="672"/>
      <c r="J292" s="574"/>
      <c r="K292" s="574"/>
      <c r="L292" s="574"/>
      <c r="M292" s="673"/>
      <c r="N292" s="672"/>
      <c r="O292" s="574"/>
      <c r="P292" s="574"/>
      <c r="Q292" s="574"/>
      <c r="R292" s="574"/>
      <c r="S292" s="575"/>
      <c r="T292" s="574"/>
      <c r="U292" s="574"/>
    </row>
    <row r="293">
      <c r="A293" s="574"/>
      <c r="B293" s="574"/>
      <c r="C293" s="574"/>
      <c r="D293" s="671"/>
      <c r="E293" s="574"/>
      <c r="F293" s="574"/>
      <c r="G293" s="574"/>
      <c r="H293" s="574"/>
      <c r="I293" s="672"/>
      <c r="J293" s="574"/>
      <c r="K293" s="574"/>
      <c r="L293" s="574"/>
      <c r="M293" s="673"/>
      <c r="N293" s="672"/>
      <c r="O293" s="574"/>
      <c r="P293" s="574"/>
      <c r="Q293" s="574"/>
      <c r="R293" s="574"/>
      <c r="S293" s="575"/>
      <c r="T293" s="574"/>
      <c r="U293" s="574"/>
    </row>
    <row r="294">
      <c r="A294" s="574"/>
      <c r="B294" s="574"/>
      <c r="C294" s="574"/>
      <c r="D294" s="671"/>
      <c r="E294" s="574"/>
      <c r="F294" s="574"/>
      <c r="G294" s="574"/>
      <c r="H294" s="574"/>
      <c r="I294" s="672"/>
      <c r="J294" s="574"/>
      <c r="K294" s="574"/>
      <c r="L294" s="574"/>
      <c r="M294" s="673"/>
      <c r="N294" s="672"/>
      <c r="O294" s="574"/>
      <c r="P294" s="574"/>
      <c r="Q294" s="574"/>
      <c r="R294" s="574"/>
      <c r="S294" s="575"/>
      <c r="T294" s="574"/>
      <c r="U294" s="574"/>
    </row>
    <row r="295">
      <c r="A295" s="574"/>
      <c r="B295" s="574"/>
      <c r="C295" s="574"/>
      <c r="D295" s="671"/>
      <c r="E295" s="574"/>
      <c r="F295" s="574"/>
      <c r="G295" s="574"/>
      <c r="H295" s="574"/>
      <c r="I295" s="672"/>
      <c r="J295" s="574"/>
      <c r="K295" s="574"/>
      <c r="L295" s="574"/>
      <c r="M295" s="673"/>
      <c r="N295" s="672"/>
      <c r="O295" s="574"/>
      <c r="P295" s="574"/>
      <c r="Q295" s="574"/>
      <c r="R295" s="574"/>
      <c r="S295" s="575"/>
      <c r="T295" s="574"/>
      <c r="U295" s="574"/>
    </row>
    <row r="296">
      <c r="A296" s="574"/>
      <c r="B296" s="574"/>
      <c r="C296" s="574"/>
      <c r="D296" s="671"/>
      <c r="E296" s="574"/>
      <c r="F296" s="574"/>
      <c r="G296" s="574"/>
      <c r="H296" s="574"/>
      <c r="I296" s="672"/>
      <c r="J296" s="574"/>
      <c r="K296" s="574"/>
      <c r="L296" s="574"/>
      <c r="M296" s="673"/>
      <c r="N296" s="672"/>
      <c r="O296" s="574"/>
      <c r="P296" s="574"/>
      <c r="Q296" s="574"/>
      <c r="R296" s="574"/>
      <c r="S296" s="575"/>
      <c r="T296" s="574"/>
      <c r="U296" s="574"/>
    </row>
    <row r="297">
      <c r="A297" s="574"/>
      <c r="B297" s="574"/>
      <c r="C297" s="574"/>
      <c r="D297" s="671"/>
      <c r="E297" s="574"/>
      <c r="F297" s="574"/>
      <c r="G297" s="574"/>
      <c r="H297" s="574"/>
      <c r="I297" s="672"/>
      <c r="J297" s="574"/>
      <c r="K297" s="574"/>
      <c r="L297" s="574"/>
      <c r="M297" s="673"/>
      <c r="N297" s="672"/>
      <c r="O297" s="574"/>
      <c r="P297" s="574"/>
      <c r="Q297" s="574"/>
      <c r="R297" s="574"/>
      <c r="S297" s="575"/>
      <c r="T297" s="574"/>
      <c r="U297" s="574"/>
    </row>
    <row r="298">
      <c r="A298" s="574"/>
      <c r="B298" s="574"/>
      <c r="C298" s="574"/>
      <c r="D298" s="671"/>
      <c r="E298" s="574"/>
      <c r="F298" s="574"/>
      <c r="G298" s="574"/>
      <c r="H298" s="574"/>
      <c r="I298" s="672"/>
      <c r="J298" s="574"/>
      <c r="K298" s="574"/>
      <c r="L298" s="574"/>
      <c r="M298" s="673"/>
      <c r="N298" s="672"/>
      <c r="O298" s="574"/>
      <c r="P298" s="574"/>
      <c r="Q298" s="574"/>
      <c r="R298" s="574"/>
      <c r="S298" s="575"/>
      <c r="T298" s="574"/>
      <c r="U298" s="574"/>
    </row>
    <row r="299">
      <c r="A299" s="574"/>
      <c r="B299" s="574"/>
      <c r="C299" s="574"/>
      <c r="D299" s="671"/>
      <c r="E299" s="574"/>
      <c r="F299" s="574"/>
      <c r="G299" s="574"/>
      <c r="H299" s="574"/>
      <c r="I299" s="672"/>
      <c r="J299" s="574"/>
      <c r="K299" s="574"/>
      <c r="L299" s="574"/>
      <c r="M299" s="673"/>
      <c r="N299" s="672"/>
      <c r="O299" s="574"/>
      <c r="P299" s="574"/>
      <c r="Q299" s="574"/>
      <c r="R299" s="574"/>
      <c r="S299" s="575"/>
      <c r="T299" s="574"/>
      <c r="U299" s="574"/>
    </row>
    <row r="300">
      <c r="A300" s="574"/>
      <c r="B300" s="574"/>
      <c r="C300" s="574"/>
      <c r="D300" s="671"/>
      <c r="E300" s="574"/>
      <c r="F300" s="574"/>
      <c r="G300" s="574"/>
      <c r="H300" s="574"/>
      <c r="I300" s="672"/>
      <c r="J300" s="574"/>
      <c r="K300" s="574"/>
      <c r="L300" s="574"/>
      <c r="M300" s="673"/>
      <c r="N300" s="672"/>
      <c r="O300" s="574"/>
      <c r="P300" s="574"/>
      <c r="Q300" s="574"/>
      <c r="R300" s="574"/>
      <c r="S300" s="575"/>
      <c r="T300" s="574"/>
      <c r="U300" s="574"/>
    </row>
    <row r="301">
      <c r="A301" s="574"/>
      <c r="B301" s="574"/>
      <c r="C301" s="574"/>
      <c r="D301" s="671"/>
      <c r="E301" s="574"/>
      <c r="F301" s="574"/>
      <c r="G301" s="574"/>
      <c r="H301" s="574"/>
      <c r="I301" s="672"/>
      <c r="J301" s="574"/>
      <c r="K301" s="574"/>
      <c r="L301" s="574"/>
      <c r="M301" s="673"/>
      <c r="N301" s="672"/>
      <c r="O301" s="574"/>
      <c r="P301" s="574"/>
      <c r="Q301" s="574"/>
      <c r="R301" s="574"/>
      <c r="S301" s="575"/>
      <c r="T301" s="574"/>
      <c r="U301" s="574"/>
    </row>
    <row r="302">
      <c r="A302" s="574"/>
      <c r="B302" s="574"/>
      <c r="C302" s="574"/>
      <c r="D302" s="671"/>
      <c r="E302" s="574"/>
      <c r="F302" s="574"/>
      <c r="G302" s="574"/>
      <c r="H302" s="574"/>
      <c r="I302" s="672"/>
      <c r="J302" s="574"/>
      <c r="K302" s="574"/>
      <c r="L302" s="574"/>
      <c r="M302" s="673"/>
      <c r="N302" s="672"/>
      <c r="O302" s="574"/>
      <c r="P302" s="574"/>
      <c r="Q302" s="574"/>
      <c r="R302" s="574"/>
      <c r="S302" s="575"/>
      <c r="T302" s="574"/>
      <c r="U302" s="574"/>
    </row>
    <row r="303">
      <c r="A303" s="574"/>
      <c r="B303" s="574"/>
      <c r="C303" s="574"/>
      <c r="D303" s="671"/>
      <c r="E303" s="574"/>
      <c r="F303" s="574"/>
      <c r="G303" s="574"/>
      <c r="H303" s="574"/>
      <c r="I303" s="672"/>
      <c r="J303" s="574"/>
      <c r="K303" s="574"/>
      <c r="L303" s="574"/>
      <c r="M303" s="673"/>
      <c r="N303" s="672"/>
      <c r="O303" s="574"/>
      <c r="P303" s="574"/>
      <c r="Q303" s="574"/>
      <c r="R303" s="574"/>
      <c r="S303" s="575"/>
      <c r="T303" s="574"/>
      <c r="U303" s="574"/>
    </row>
    <row r="304">
      <c r="A304" s="574"/>
      <c r="B304" s="574"/>
      <c r="C304" s="574"/>
      <c r="D304" s="671"/>
      <c r="E304" s="574"/>
      <c r="F304" s="574"/>
      <c r="G304" s="574"/>
      <c r="H304" s="574"/>
      <c r="I304" s="672"/>
      <c r="J304" s="574"/>
      <c r="K304" s="574"/>
      <c r="L304" s="574"/>
      <c r="M304" s="673"/>
      <c r="N304" s="672"/>
      <c r="O304" s="574"/>
      <c r="P304" s="574"/>
      <c r="Q304" s="574"/>
      <c r="R304" s="574"/>
      <c r="S304" s="575"/>
      <c r="T304" s="574"/>
      <c r="U304" s="574"/>
    </row>
    <row r="305">
      <c r="A305" s="574"/>
      <c r="B305" s="574"/>
      <c r="C305" s="574"/>
      <c r="D305" s="671"/>
      <c r="E305" s="574"/>
      <c r="F305" s="574"/>
      <c r="G305" s="574"/>
      <c r="H305" s="574"/>
      <c r="I305" s="672"/>
      <c r="J305" s="574"/>
      <c r="K305" s="574"/>
      <c r="L305" s="574"/>
      <c r="M305" s="673"/>
      <c r="N305" s="672"/>
      <c r="O305" s="574"/>
      <c r="P305" s="574"/>
      <c r="Q305" s="574"/>
      <c r="R305" s="574"/>
      <c r="S305" s="575"/>
      <c r="T305" s="574"/>
      <c r="U305" s="574"/>
    </row>
    <row r="306">
      <c r="A306" s="574"/>
      <c r="B306" s="574"/>
      <c r="C306" s="574"/>
      <c r="D306" s="671"/>
      <c r="E306" s="574"/>
      <c r="F306" s="574"/>
      <c r="G306" s="574"/>
      <c r="H306" s="574"/>
      <c r="I306" s="672"/>
      <c r="J306" s="574"/>
      <c r="K306" s="574"/>
      <c r="L306" s="574"/>
      <c r="M306" s="673"/>
      <c r="N306" s="672"/>
      <c r="O306" s="574"/>
      <c r="P306" s="574"/>
      <c r="Q306" s="574"/>
      <c r="R306" s="574"/>
      <c r="S306" s="575"/>
      <c r="T306" s="574"/>
      <c r="U306" s="574"/>
    </row>
    <row r="307">
      <c r="A307" s="574"/>
      <c r="B307" s="574"/>
      <c r="C307" s="574"/>
      <c r="D307" s="671"/>
      <c r="E307" s="574"/>
      <c r="F307" s="574"/>
      <c r="G307" s="574"/>
      <c r="H307" s="574"/>
      <c r="I307" s="672"/>
      <c r="J307" s="574"/>
      <c r="K307" s="574"/>
      <c r="L307" s="574"/>
      <c r="M307" s="673"/>
      <c r="N307" s="672"/>
      <c r="O307" s="574"/>
      <c r="P307" s="574"/>
      <c r="Q307" s="574"/>
      <c r="R307" s="574"/>
      <c r="S307" s="575"/>
      <c r="T307" s="574"/>
      <c r="U307" s="574"/>
    </row>
    <row r="308">
      <c r="A308" s="574"/>
      <c r="B308" s="574"/>
      <c r="C308" s="574"/>
      <c r="D308" s="671"/>
      <c r="E308" s="574"/>
      <c r="F308" s="574"/>
      <c r="G308" s="574"/>
      <c r="H308" s="574"/>
      <c r="I308" s="672"/>
      <c r="J308" s="574"/>
      <c r="K308" s="574"/>
      <c r="L308" s="574"/>
      <c r="M308" s="673"/>
      <c r="N308" s="672"/>
      <c r="O308" s="574"/>
      <c r="P308" s="574"/>
      <c r="Q308" s="574"/>
      <c r="R308" s="574"/>
      <c r="S308" s="575"/>
      <c r="T308" s="574"/>
      <c r="U308" s="574"/>
    </row>
    <row r="309">
      <c r="A309" s="574"/>
      <c r="B309" s="574"/>
      <c r="C309" s="574"/>
      <c r="D309" s="671"/>
      <c r="E309" s="574"/>
      <c r="F309" s="574"/>
      <c r="G309" s="574"/>
      <c r="H309" s="574"/>
      <c r="I309" s="672"/>
      <c r="J309" s="574"/>
      <c r="K309" s="574"/>
      <c r="L309" s="574"/>
      <c r="M309" s="673"/>
      <c r="N309" s="672"/>
      <c r="O309" s="574"/>
      <c r="P309" s="574"/>
      <c r="Q309" s="574"/>
      <c r="R309" s="574"/>
      <c r="S309" s="575"/>
      <c r="T309" s="574"/>
      <c r="U309" s="574"/>
    </row>
    <row r="310">
      <c r="A310" s="574"/>
      <c r="B310" s="574"/>
      <c r="C310" s="574"/>
      <c r="D310" s="671"/>
      <c r="E310" s="574"/>
      <c r="F310" s="574"/>
      <c r="G310" s="574"/>
      <c r="H310" s="574"/>
      <c r="I310" s="672"/>
      <c r="J310" s="574"/>
      <c r="K310" s="574"/>
      <c r="L310" s="574"/>
      <c r="M310" s="673"/>
      <c r="N310" s="672"/>
      <c r="O310" s="574"/>
      <c r="P310" s="574"/>
      <c r="Q310" s="574"/>
      <c r="R310" s="574"/>
      <c r="S310" s="575"/>
      <c r="T310" s="574"/>
      <c r="U310" s="574"/>
    </row>
    <row r="311">
      <c r="A311" s="574"/>
      <c r="B311" s="574"/>
      <c r="C311" s="574"/>
      <c r="D311" s="671"/>
      <c r="E311" s="574"/>
      <c r="F311" s="574"/>
      <c r="G311" s="574"/>
      <c r="H311" s="574"/>
      <c r="I311" s="672"/>
      <c r="J311" s="574"/>
      <c r="K311" s="574"/>
      <c r="L311" s="574"/>
      <c r="M311" s="673"/>
      <c r="N311" s="672"/>
      <c r="O311" s="574"/>
      <c r="P311" s="574"/>
      <c r="Q311" s="574"/>
      <c r="R311" s="574"/>
      <c r="S311" s="575"/>
      <c r="T311" s="574"/>
      <c r="U311" s="574"/>
    </row>
    <row r="312">
      <c r="A312" s="574"/>
      <c r="B312" s="574"/>
      <c r="C312" s="574"/>
      <c r="D312" s="671"/>
      <c r="E312" s="574"/>
      <c r="F312" s="574"/>
      <c r="G312" s="574"/>
      <c r="H312" s="574"/>
      <c r="I312" s="672"/>
      <c r="J312" s="574"/>
      <c r="K312" s="574"/>
      <c r="L312" s="574"/>
      <c r="M312" s="673"/>
      <c r="N312" s="672"/>
      <c r="O312" s="574"/>
      <c r="P312" s="574"/>
      <c r="Q312" s="574"/>
      <c r="R312" s="574"/>
      <c r="S312" s="575"/>
      <c r="T312" s="574"/>
      <c r="U312" s="574"/>
    </row>
    <row r="313">
      <c r="A313" s="574"/>
      <c r="B313" s="574"/>
      <c r="C313" s="574"/>
      <c r="D313" s="671"/>
      <c r="E313" s="574"/>
      <c r="F313" s="574"/>
      <c r="G313" s="574"/>
      <c r="H313" s="574"/>
      <c r="I313" s="672"/>
      <c r="J313" s="574"/>
      <c r="K313" s="574"/>
      <c r="L313" s="574"/>
      <c r="M313" s="673"/>
      <c r="N313" s="672"/>
      <c r="O313" s="574"/>
      <c r="P313" s="574"/>
      <c r="Q313" s="574"/>
      <c r="R313" s="574"/>
      <c r="S313" s="575"/>
      <c r="T313" s="574"/>
      <c r="U313" s="574"/>
    </row>
    <row r="314">
      <c r="A314" s="574"/>
      <c r="B314" s="574"/>
      <c r="C314" s="574"/>
      <c r="D314" s="671"/>
      <c r="E314" s="574"/>
      <c r="F314" s="574"/>
      <c r="G314" s="574"/>
      <c r="H314" s="574"/>
      <c r="I314" s="672"/>
      <c r="J314" s="574"/>
      <c r="K314" s="574"/>
      <c r="L314" s="574"/>
      <c r="M314" s="673"/>
      <c r="N314" s="672"/>
      <c r="O314" s="574"/>
      <c r="P314" s="574"/>
      <c r="Q314" s="574"/>
      <c r="R314" s="574"/>
      <c r="S314" s="575"/>
      <c r="T314" s="574"/>
      <c r="U314" s="574"/>
    </row>
    <row r="315">
      <c r="A315" s="574"/>
      <c r="B315" s="574"/>
      <c r="C315" s="574"/>
      <c r="D315" s="671"/>
      <c r="E315" s="574"/>
      <c r="F315" s="574"/>
      <c r="G315" s="574"/>
      <c r="H315" s="574"/>
      <c r="I315" s="672"/>
      <c r="J315" s="574"/>
      <c r="K315" s="574"/>
      <c r="L315" s="574"/>
      <c r="M315" s="673"/>
      <c r="N315" s="672"/>
      <c r="O315" s="574"/>
      <c r="P315" s="574"/>
      <c r="Q315" s="574"/>
      <c r="R315" s="574"/>
      <c r="S315" s="575"/>
      <c r="T315" s="574"/>
      <c r="U315" s="574"/>
    </row>
    <row r="316">
      <c r="A316" s="574"/>
      <c r="B316" s="574"/>
      <c r="C316" s="574"/>
      <c r="D316" s="671"/>
      <c r="E316" s="574"/>
      <c r="F316" s="574"/>
      <c r="G316" s="574"/>
      <c r="H316" s="574"/>
      <c r="I316" s="672"/>
      <c r="J316" s="574"/>
      <c r="K316" s="574"/>
      <c r="L316" s="574"/>
      <c r="M316" s="673"/>
      <c r="N316" s="672"/>
      <c r="O316" s="574"/>
      <c r="P316" s="574"/>
      <c r="Q316" s="574"/>
      <c r="R316" s="574"/>
      <c r="S316" s="575"/>
      <c r="T316" s="574"/>
      <c r="U316" s="574"/>
    </row>
    <row r="317">
      <c r="A317" s="574"/>
      <c r="B317" s="574"/>
      <c r="C317" s="574"/>
      <c r="D317" s="671"/>
      <c r="E317" s="574"/>
      <c r="F317" s="574"/>
      <c r="G317" s="574"/>
      <c r="H317" s="574"/>
      <c r="I317" s="672"/>
      <c r="J317" s="574"/>
      <c r="K317" s="574"/>
      <c r="L317" s="574"/>
      <c r="M317" s="673"/>
      <c r="N317" s="672"/>
      <c r="O317" s="574"/>
      <c r="P317" s="574"/>
      <c r="Q317" s="574"/>
      <c r="R317" s="574"/>
      <c r="S317" s="575"/>
      <c r="T317" s="574"/>
      <c r="U317" s="574"/>
    </row>
    <row r="318">
      <c r="A318" s="574"/>
      <c r="B318" s="574"/>
      <c r="C318" s="574"/>
      <c r="D318" s="671"/>
      <c r="E318" s="574"/>
      <c r="F318" s="574"/>
      <c r="G318" s="574"/>
      <c r="H318" s="574"/>
      <c r="I318" s="672"/>
      <c r="J318" s="574"/>
      <c r="K318" s="574"/>
      <c r="L318" s="574"/>
      <c r="M318" s="673"/>
      <c r="N318" s="672"/>
      <c r="O318" s="574"/>
      <c r="P318" s="574"/>
      <c r="Q318" s="574"/>
      <c r="R318" s="574"/>
      <c r="S318" s="575"/>
      <c r="T318" s="574"/>
      <c r="U318" s="574"/>
    </row>
    <row r="319">
      <c r="A319" s="574"/>
      <c r="B319" s="574"/>
      <c r="C319" s="574"/>
      <c r="D319" s="671"/>
      <c r="E319" s="574"/>
      <c r="F319" s="574"/>
      <c r="G319" s="574"/>
      <c r="H319" s="574"/>
      <c r="I319" s="672"/>
      <c r="J319" s="574"/>
      <c r="K319" s="574"/>
      <c r="L319" s="574"/>
      <c r="M319" s="673"/>
      <c r="N319" s="672"/>
      <c r="O319" s="574"/>
      <c r="P319" s="574"/>
      <c r="Q319" s="574"/>
      <c r="R319" s="574"/>
      <c r="S319" s="575"/>
      <c r="T319" s="574"/>
      <c r="U319" s="574"/>
    </row>
    <row r="320">
      <c r="A320" s="574"/>
      <c r="B320" s="574"/>
      <c r="C320" s="574"/>
      <c r="D320" s="671"/>
      <c r="E320" s="574"/>
      <c r="F320" s="574"/>
      <c r="G320" s="574"/>
      <c r="H320" s="574"/>
      <c r="I320" s="672"/>
      <c r="J320" s="574"/>
      <c r="K320" s="574"/>
      <c r="L320" s="574"/>
      <c r="M320" s="673"/>
      <c r="N320" s="672"/>
      <c r="O320" s="574"/>
      <c r="P320" s="574"/>
      <c r="Q320" s="574"/>
      <c r="R320" s="574"/>
      <c r="S320" s="575"/>
      <c r="T320" s="574"/>
      <c r="U320" s="574"/>
    </row>
    <row r="321">
      <c r="A321" s="574"/>
      <c r="B321" s="574"/>
      <c r="C321" s="574"/>
      <c r="D321" s="671"/>
      <c r="E321" s="574"/>
      <c r="F321" s="574"/>
      <c r="G321" s="574"/>
      <c r="H321" s="574"/>
      <c r="I321" s="672"/>
      <c r="J321" s="574"/>
      <c r="K321" s="574"/>
      <c r="L321" s="574"/>
      <c r="M321" s="673"/>
      <c r="N321" s="672"/>
      <c r="O321" s="574"/>
      <c r="P321" s="574"/>
      <c r="Q321" s="574"/>
      <c r="R321" s="574"/>
      <c r="S321" s="575"/>
      <c r="T321" s="574"/>
      <c r="U321" s="574"/>
    </row>
    <row r="322">
      <c r="A322" s="574"/>
      <c r="B322" s="574"/>
      <c r="C322" s="574"/>
      <c r="D322" s="671"/>
      <c r="E322" s="574"/>
      <c r="F322" s="574"/>
      <c r="G322" s="574"/>
      <c r="H322" s="574"/>
      <c r="I322" s="672"/>
      <c r="J322" s="574"/>
      <c r="K322" s="574"/>
      <c r="L322" s="574"/>
      <c r="M322" s="673"/>
      <c r="N322" s="672"/>
      <c r="O322" s="574"/>
      <c r="P322" s="574"/>
      <c r="Q322" s="574"/>
      <c r="R322" s="574"/>
      <c r="S322" s="575"/>
      <c r="T322" s="574"/>
      <c r="U322" s="574"/>
    </row>
    <row r="323">
      <c r="A323" s="574"/>
      <c r="B323" s="574"/>
      <c r="C323" s="574"/>
      <c r="D323" s="671"/>
      <c r="E323" s="574"/>
      <c r="F323" s="574"/>
      <c r="G323" s="574"/>
      <c r="H323" s="574"/>
      <c r="I323" s="672"/>
      <c r="J323" s="574"/>
      <c r="K323" s="574"/>
      <c r="L323" s="574"/>
      <c r="M323" s="673"/>
      <c r="N323" s="672"/>
      <c r="O323" s="574"/>
      <c r="P323" s="574"/>
      <c r="Q323" s="574"/>
      <c r="R323" s="574"/>
      <c r="S323" s="575"/>
      <c r="T323" s="574"/>
      <c r="U323" s="574"/>
    </row>
    <row r="324">
      <c r="A324" s="574"/>
      <c r="B324" s="574"/>
      <c r="C324" s="574"/>
      <c r="D324" s="671"/>
      <c r="E324" s="574"/>
      <c r="F324" s="574"/>
      <c r="G324" s="574"/>
      <c r="H324" s="574"/>
      <c r="I324" s="672"/>
      <c r="J324" s="574"/>
      <c r="K324" s="574"/>
      <c r="L324" s="574"/>
      <c r="M324" s="673"/>
      <c r="N324" s="672"/>
      <c r="O324" s="574"/>
      <c r="P324" s="574"/>
      <c r="Q324" s="574"/>
      <c r="R324" s="574"/>
      <c r="S324" s="575"/>
      <c r="T324" s="574"/>
      <c r="U324" s="574"/>
    </row>
    <row r="325">
      <c r="A325" s="574"/>
      <c r="B325" s="574"/>
      <c r="C325" s="574"/>
      <c r="D325" s="671"/>
      <c r="E325" s="574"/>
      <c r="F325" s="574"/>
      <c r="G325" s="574"/>
      <c r="H325" s="574"/>
      <c r="I325" s="672"/>
      <c r="J325" s="574"/>
      <c r="K325" s="574"/>
      <c r="L325" s="574"/>
      <c r="M325" s="673"/>
      <c r="N325" s="672"/>
      <c r="O325" s="574"/>
      <c r="P325" s="574"/>
      <c r="Q325" s="574"/>
      <c r="R325" s="574"/>
      <c r="S325" s="575"/>
      <c r="T325" s="574"/>
      <c r="U325" s="574"/>
    </row>
    <row r="326">
      <c r="A326" s="574"/>
      <c r="B326" s="574"/>
      <c r="C326" s="574"/>
      <c r="D326" s="671"/>
      <c r="E326" s="574"/>
      <c r="F326" s="574"/>
      <c r="G326" s="574"/>
      <c r="H326" s="574"/>
      <c r="I326" s="672"/>
      <c r="J326" s="574"/>
      <c r="K326" s="574"/>
      <c r="L326" s="574"/>
      <c r="M326" s="673"/>
      <c r="N326" s="672"/>
      <c r="O326" s="574"/>
      <c r="P326" s="574"/>
      <c r="Q326" s="574"/>
      <c r="R326" s="574"/>
      <c r="S326" s="575"/>
      <c r="T326" s="574"/>
      <c r="U326" s="574"/>
    </row>
    <row r="327">
      <c r="A327" s="574"/>
      <c r="B327" s="574"/>
      <c r="C327" s="574"/>
      <c r="D327" s="671"/>
      <c r="E327" s="574"/>
      <c r="F327" s="574"/>
      <c r="G327" s="574"/>
      <c r="H327" s="574"/>
      <c r="I327" s="672"/>
      <c r="J327" s="574"/>
      <c r="K327" s="574"/>
      <c r="L327" s="574"/>
      <c r="M327" s="673"/>
      <c r="N327" s="672"/>
      <c r="O327" s="574"/>
      <c r="P327" s="574"/>
      <c r="Q327" s="574"/>
      <c r="R327" s="574"/>
      <c r="S327" s="575"/>
      <c r="T327" s="574"/>
      <c r="U327" s="574"/>
    </row>
    <row r="328">
      <c r="A328" s="574"/>
      <c r="B328" s="574"/>
      <c r="C328" s="574"/>
      <c r="D328" s="671"/>
      <c r="E328" s="574"/>
      <c r="F328" s="574"/>
      <c r="G328" s="574"/>
      <c r="H328" s="574"/>
      <c r="I328" s="672"/>
      <c r="J328" s="574"/>
      <c r="K328" s="574"/>
      <c r="L328" s="574"/>
      <c r="M328" s="673"/>
      <c r="N328" s="672"/>
      <c r="O328" s="574"/>
      <c r="P328" s="574"/>
      <c r="Q328" s="574"/>
      <c r="R328" s="574"/>
      <c r="S328" s="575"/>
      <c r="T328" s="574"/>
      <c r="U328" s="574"/>
    </row>
    <row r="329">
      <c r="A329" s="574"/>
      <c r="B329" s="574"/>
      <c r="C329" s="574"/>
      <c r="D329" s="671"/>
      <c r="E329" s="574"/>
      <c r="F329" s="574"/>
      <c r="G329" s="574"/>
      <c r="H329" s="574"/>
      <c r="I329" s="672"/>
      <c r="J329" s="574"/>
      <c r="K329" s="574"/>
      <c r="L329" s="574"/>
      <c r="M329" s="673"/>
      <c r="N329" s="672"/>
      <c r="O329" s="574"/>
      <c r="P329" s="574"/>
      <c r="Q329" s="574"/>
      <c r="R329" s="574"/>
      <c r="S329" s="575"/>
      <c r="T329" s="574"/>
      <c r="U329" s="574"/>
    </row>
    <row r="330">
      <c r="A330" s="574"/>
      <c r="B330" s="574"/>
      <c r="C330" s="574"/>
      <c r="D330" s="671"/>
      <c r="E330" s="574"/>
      <c r="F330" s="574"/>
      <c r="G330" s="574"/>
      <c r="H330" s="574"/>
      <c r="I330" s="672"/>
      <c r="J330" s="574"/>
      <c r="K330" s="574"/>
      <c r="L330" s="574"/>
      <c r="M330" s="673"/>
      <c r="N330" s="672"/>
      <c r="O330" s="574"/>
      <c r="P330" s="574"/>
      <c r="Q330" s="574"/>
      <c r="R330" s="574"/>
      <c r="S330" s="575"/>
      <c r="T330" s="574"/>
      <c r="U330" s="574"/>
    </row>
    <row r="331">
      <c r="A331" s="574"/>
      <c r="B331" s="574"/>
      <c r="C331" s="574"/>
      <c r="D331" s="671"/>
      <c r="E331" s="574"/>
      <c r="F331" s="574"/>
      <c r="G331" s="574"/>
      <c r="H331" s="574"/>
      <c r="I331" s="672"/>
      <c r="J331" s="574"/>
      <c r="K331" s="574"/>
      <c r="L331" s="574"/>
      <c r="M331" s="673"/>
      <c r="N331" s="672"/>
      <c r="O331" s="574"/>
      <c r="P331" s="574"/>
      <c r="Q331" s="574"/>
      <c r="R331" s="574"/>
      <c r="S331" s="575"/>
      <c r="T331" s="574"/>
      <c r="U331" s="574"/>
    </row>
    <row r="332">
      <c r="A332" s="574"/>
      <c r="B332" s="574"/>
      <c r="C332" s="574"/>
      <c r="D332" s="671"/>
      <c r="E332" s="574"/>
      <c r="F332" s="574"/>
      <c r="G332" s="574"/>
      <c r="H332" s="574"/>
      <c r="I332" s="672"/>
      <c r="J332" s="574"/>
      <c r="K332" s="574"/>
      <c r="L332" s="574"/>
      <c r="M332" s="673"/>
      <c r="N332" s="672"/>
      <c r="O332" s="574"/>
      <c r="P332" s="574"/>
      <c r="Q332" s="574"/>
      <c r="R332" s="574"/>
      <c r="S332" s="575"/>
      <c r="T332" s="574"/>
      <c r="U332" s="574"/>
    </row>
    <row r="333">
      <c r="A333" s="574"/>
      <c r="B333" s="574"/>
      <c r="C333" s="574"/>
      <c r="D333" s="671"/>
      <c r="E333" s="574"/>
      <c r="F333" s="574"/>
      <c r="G333" s="574"/>
      <c r="H333" s="574"/>
      <c r="I333" s="672"/>
      <c r="J333" s="574"/>
      <c r="K333" s="574"/>
      <c r="L333" s="574"/>
      <c r="M333" s="673"/>
      <c r="N333" s="672"/>
      <c r="O333" s="574"/>
      <c r="P333" s="574"/>
      <c r="Q333" s="574"/>
      <c r="R333" s="574"/>
      <c r="S333" s="575"/>
      <c r="T333" s="574"/>
      <c r="U333" s="574"/>
    </row>
    <row r="334">
      <c r="A334" s="574"/>
      <c r="B334" s="574"/>
      <c r="C334" s="574"/>
      <c r="D334" s="671"/>
      <c r="E334" s="574"/>
      <c r="F334" s="574"/>
      <c r="G334" s="574"/>
      <c r="H334" s="574"/>
      <c r="I334" s="672"/>
      <c r="J334" s="574"/>
      <c r="K334" s="574"/>
      <c r="L334" s="574"/>
      <c r="M334" s="673"/>
      <c r="N334" s="672"/>
      <c r="O334" s="574"/>
      <c r="P334" s="574"/>
      <c r="Q334" s="574"/>
      <c r="R334" s="574"/>
      <c r="S334" s="575"/>
      <c r="T334" s="574"/>
      <c r="U334" s="574"/>
    </row>
    <row r="335">
      <c r="A335" s="574"/>
      <c r="B335" s="574"/>
      <c r="C335" s="574"/>
      <c r="D335" s="671"/>
      <c r="E335" s="574"/>
      <c r="F335" s="574"/>
      <c r="G335" s="574"/>
      <c r="H335" s="574"/>
      <c r="I335" s="672"/>
      <c r="J335" s="574"/>
      <c r="K335" s="574"/>
      <c r="L335" s="574"/>
      <c r="M335" s="673"/>
      <c r="N335" s="672"/>
      <c r="O335" s="574"/>
      <c r="P335" s="574"/>
      <c r="Q335" s="574"/>
      <c r="R335" s="574"/>
      <c r="S335" s="575"/>
      <c r="T335" s="574"/>
      <c r="U335" s="574"/>
    </row>
    <row r="336">
      <c r="A336" s="574"/>
      <c r="B336" s="574"/>
      <c r="C336" s="574"/>
      <c r="D336" s="671"/>
      <c r="E336" s="574"/>
      <c r="F336" s="574"/>
      <c r="G336" s="574"/>
      <c r="H336" s="574"/>
      <c r="I336" s="672"/>
      <c r="J336" s="574"/>
      <c r="K336" s="574"/>
      <c r="L336" s="574"/>
      <c r="M336" s="673"/>
      <c r="N336" s="672"/>
      <c r="O336" s="574"/>
      <c r="P336" s="574"/>
      <c r="Q336" s="574"/>
      <c r="R336" s="574"/>
      <c r="S336" s="575"/>
      <c r="T336" s="574"/>
      <c r="U336" s="574"/>
    </row>
    <row r="337">
      <c r="A337" s="574"/>
      <c r="B337" s="574"/>
      <c r="C337" s="574"/>
      <c r="D337" s="671"/>
      <c r="E337" s="574"/>
      <c r="F337" s="574"/>
      <c r="G337" s="574"/>
      <c r="H337" s="574"/>
      <c r="I337" s="672"/>
      <c r="J337" s="574"/>
      <c r="K337" s="574"/>
      <c r="L337" s="574"/>
      <c r="M337" s="673"/>
      <c r="N337" s="672"/>
      <c r="O337" s="574"/>
      <c r="P337" s="574"/>
      <c r="Q337" s="574"/>
      <c r="R337" s="574"/>
      <c r="S337" s="575"/>
      <c r="T337" s="574"/>
      <c r="U337" s="574"/>
    </row>
    <row r="338">
      <c r="A338" s="574"/>
      <c r="B338" s="574"/>
      <c r="C338" s="574"/>
      <c r="D338" s="671"/>
      <c r="E338" s="574"/>
      <c r="F338" s="574"/>
      <c r="G338" s="574"/>
      <c r="H338" s="574"/>
      <c r="I338" s="672"/>
      <c r="J338" s="574"/>
      <c r="K338" s="574"/>
      <c r="L338" s="574"/>
      <c r="M338" s="673"/>
      <c r="N338" s="672"/>
      <c r="O338" s="574"/>
      <c r="P338" s="574"/>
      <c r="Q338" s="574"/>
      <c r="R338" s="574"/>
      <c r="S338" s="575"/>
      <c r="T338" s="574"/>
      <c r="U338" s="574"/>
    </row>
    <row r="339">
      <c r="A339" s="574"/>
      <c r="B339" s="574"/>
      <c r="C339" s="574"/>
      <c r="D339" s="671"/>
      <c r="E339" s="574"/>
      <c r="F339" s="574"/>
      <c r="G339" s="574"/>
      <c r="H339" s="574"/>
      <c r="I339" s="672"/>
      <c r="J339" s="574"/>
      <c r="K339" s="574"/>
      <c r="L339" s="574"/>
      <c r="M339" s="673"/>
      <c r="N339" s="672"/>
      <c r="O339" s="574"/>
      <c r="P339" s="574"/>
      <c r="Q339" s="574"/>
      <c r="R339" s="574"/>
      <c r="S339" s="575"/>
      <c r="T339" s="574"/>
      <c r="U339" s="574"/>
    </row>
    <row r="340">
      <c r="A340" s="574"/>
      <c r="B340" s="574"/>
      <c r="C340" s="574"/>
      <c r="D340" s="671"/>
      <c r="E340" s="574"/>
      <c r="F340" s="574"/>
      <c r="G340" s="574"/>
      <c r="H340" s="574"/>
      <c r="I340" s="672"/>
      <c r="J340" s="574"/>
      <c r="K340" s="574"/>
      <c r="L340" s="574"/>
      <c r="M340" s="673"/>
      <c r="N340" s="672"/>
      <c r="O340" s="574"/>
      <c r="P340" s="574"/>
      <c r="Q340" s="574"/>
      <c r="R340" s="574"/>
      <c r="S340" s="575"/>
      <c r="T340" s="574"/>
      <c r="U340" s="574"/>
    </row>
    <row r="341">
      <c r="A341" s="574"/>
      <c r="B341" s="574"/>
      <c r="C341" s="574"/>
      <c r="D341" s="671"/>
      <c r="E341" s="574"/>
      <c r="F341" s="574"/>
      <c r="G341" s="574"/>
      <c r="H341" s="574"/>
      <c r="I341" s="672"/>
      <c r="J341" s="574"/>
      <c r="K341" s="574"/>
      <c r="L341" s="574"/>
      <c r="M341" s="673"/>
      <c r="N341" s="672"/>
      <c r="O341" s="574"/>
      <c r="P341" s="574"/>
      <c r="Q341" s="574"/>
      <c r="R341" s="574"/>
      <c r="S341" s="575"/>
      <c r="T341" s="574"/>
      <c r="U341" s="574"/>
    </row>
    <row r="342">
      <c r="A342" s="574"/>
      <c r="B342" s="574"/>
      <c r="C342" s="574"/>
      <c r="D342" s="671"/>
      <c r="E342" s="574"/>
      <c r="F342" s="574"/>
      <c r="G342" s="574"/>
      <c r="H342" s="574"/>
      <c r="I342" s="672"/>
      <c r="J342" s="574"/>
      <c r="K342" s="574"/>
      <c r="L342" s="574"/>
      <c r="M342" s="673"/>
      <c r="N342" s="672"/>
      <c r="O342" s="574"/>
      <c r="P342" s="574"/>
      <c r="Q342" s="574"/>
      <c r="R342" s="574"/>
      <c r="S342" s="575"/>
      <c r="T342" s="574"/>
      <c r="U342" s="574"/>
    </row>
    <row r="343">
      <c r="A343" s="574"/>
      <c r="B343" s="574"/>
      <c r="C343" s="574"/>
      <c r="D343" s="671"/>
      <c r="E343" s="574"/>
      <c r="F343" s="574"/>
      <c r="G343" s="574"/>
      <c r="H343" s="574"/>
      <c r="I343" s="672"/>
      <c r="J343" s="574"/>
      <c r="K343" s="574"/>
      <c r="L343" s="574"/>
      <c r="M343" s="673"/>
      <c r="N343" s="672"/>
      <c r="O343" s="574"/>
      <c r="P343" s="574"/>
      <c r="Q343" s="574"/>
      <c r="R343" s="574"/>
      <c r="S343" s="575"/>
      <c r="T343" s="574"/>
      <c r="U343" s="574"/>
    </row>
    <row r="344">
      <c r="A344" s="574"/>
      <c r="B344" s="574"/>
      <c r="C344" s="574"/>
      <c r="D344" s="671"/>
      <c r="E344" s="574"/>
      <c r="F344" s="574"/>
      <c r="G344" s="574"/>
      <c r="H344" s="574"/>
      <c r="I344" s="672"/>
      <c r="J344" s="574"/>
      <c r="K344" s="574"/>
      <c r="L344" s="574"/>
      <c r="M344" s="673"/>
      <c r="N344" s="672"/>
      <c r="O344" s="574"/>
      <c r="P344" s="574"/>
      <c r="Q344" s="574"/>
      <c r="R344" s="574"/>
      <c r="S344" s="575"/>
      <c r="T344" s="574"/>
      <c r="U344" s="574"/>
    </row>
    <row r="345">
      <c r="A345" s="574"/>
      <c r="B345" s="574"/>
      <c r="C345" s="574"/>
      <c r="D345" s="671"/>
      <c r="E345" s="574"/>
      <c r="F345" s="574"/>
      <c r="G345" s="574"/>
      <c r="H345" s="574"/>
      <c r="I345" s="672"/>
      <c r="J345" s="574"/>
      <c r="K345" s="574"/>
      <c r="L345" s="574"/>
      <c r="M345" s="673"/>
      <c r="N345" s="672"/>
      <c r="O345" s="574"/>
      <c r="P345" s="574"/>
      <c r="Q345" s="574"/>
      <c r="R345" s="574"/>
      <c r="S345" s="575"/>
      <c r="T345" s="574"/>
      <c r="U345" s="574"/>
    </row>
    <row r="346">
      <c r="A346" s="574"/>
      <c r="B346" s="574"/>
      <c r="C346" s="574"/>
      <c r="D346" s="671"/>
      <c r="E346" s="574"/>
      <c r="F346" s="574"/>
      <c r="G346" s="574"/>
      <c r="H346" s="574"/>
      <c r="I346" s="672"/>
      <c r="J346" s="574"/>
      <c r="K346" s="574"/>
      <c r="L346" s="574"/>
      <c r="M346" s="673"/>
      <c r="N346" s="672"/>
      <c r="O346" s="574"/>
      <c r="P346" s="574"/>
      <c r="Q346" s="574"/>
      <c r="R346" s="574"/>
      <c r="S346" s="575"/>
      <c r="T346" s="574"/>
      <c r="U346" s="574"/>
    </row>
    <row r="347">
      <c r="A347" s="574"/>
      <c r="B347" s="574"/>
      <c r="C347" s="574"/>
      <c r="D347" s="671"/>
      <c r="E347" s="574"/>
      <c r="F347" s="574"/>
      <c r="G347" s="574"/>
      <c r="H347" s="574"/>
      <c r="I347" s="672"/>
      <c r="J347" s="574"/>
      <c r="K347" s="574"/>
      <c r="L347" s="574"/>
      <c r="M347" s="673"/>
      <c r="N347" s="672"/>
      <c r="O347" s="574"/>
      <c r="P347" s="574"/>
      <c r="Q347" s="574"/>
      <c r="R347" s="574"/>
      <c r="S347" s="575"/>
      <c r="T347" s="574"/>
      <c r="U347" s="574"/>
    </row>
    <row r="348">
      <c r="A348" s="574"/>
      <c r="B348" s="574"/>
      <c r="C348" s="574"/>
      <c r="D348" s="671"/>
      <c r="E348" s="574"/>
      <c r="F348" s="574"/>
      <c r="G348" s="574"/>
      <c r="H348" s="574"/>
      <c r="I348" s="672"/>
      <c r="J348" s="574"/>
      <c r="K348" s="574"/>
      <c r="L348" s="574"/>
      <c r="M348" s="673"/>
      <c r="N348" s="672"/>
      <c r="O348" s="574"/>
      <c r="P348" s="574"/>
      <c r="Q348" s="574"/>
      <c r="R348" s="574"/>
      <c r="S348" s="575"/>
      <c r="T348" s="574"/>
      <c r="U348" s="574"/>
    </row>
    <row r="349">
      <c r="A349" s="574"/>
      <c r="B349" s="574"/>
      <c r="C349" s="574"/>
      <c r="D349" s="671"/>
      <c r="E349" s="574"/>
      <c r="F349" s="574"/>
      <c r="G349" s="574"/>
      <c r="H349" s="574"/>
      <c r="I349" s="672"/>
      <c r="J349" s="574"/>
      <c r="K349" s="574"/>
      <c r="L349" s="574"/>
      <c r="M349" s="673"/>
      <c r="N349" s="672"/>
      <c r="O349" s="574"/>
      <c r="P349" s="574"/>
      <c r="Q349" s="574"/>
      <c r="R349" s="574"/>
      <c r="S349" s="575"/>
      <c r="T349" s="574"/>
      <c r="U349" s="574"/>
    </row>
    <row r="350">
      <c r="A350" s="574"/>
      <c r="B350" s="574"/>
      <c r="C350" s="574"/>
      <c r="D350" s="671"/>
      <c r="E350" s="574"/>
      <c r="F350" s="574"/>
      <c r="G350" s="574"/>
      <c r="H350" s="574"/>
      <c r="I350" s="672"/>
      <c r="J350" s="574"/>
      <c r="K350" s="574"/>
      <c r="L350" s="574"/>
      <c r="M350" s="673"/>
      <c r="N350" s="672"/>
      <c r="O350" s="574"/>
      <c r="P350" s="574"/>
      <c r="Q350" s="574"/>
      <c r="R350" s="574"/>
      <c r="S350" s="575"/>
      <c r="T350" s="574"/>
      <c r="U350" s="574"/>
    </row>
    <row r="351">
      <c r="A351" s="574"/>
      <c r="B351" s="574"/>
      <c r="C351" s="574"/>
      <c r="D351" s="671"/>
      <c r="E351" s="574"/>
      <c r="F351" s="574"/>
      <c r="G351" s="574"/>
      <c r="H351" s="574"/>
      <c r="I351" s="672"/>
      <c r="J351" s="574"/>
      <c r="K351" s="574"/>
      <c r="L351" s="574"/>
      <c r="M351" s="673"/>
      <c r="N351" s="672"/>
      <c r="O351" s="574"/>
      <c r="P351" s="574"/>
      <c r="Q351" s="574"/>
      <c r="R351" s="574"/>
      <c r="S351" s="575"/>
      <c r="T351" s="574"/>
      <c r="U351" s="574"/>
    </row>
    <row r="352">
      <c r="A352" s="574"/>
      <c r="B352" s="574"/>
      <c r="C352" s="574"/>
      <c r="D352" s="671"/>
      <c r="E352" s="574"/>
      <c r="F352" s="574"/>
      <c r="G352" s="574"/>
      <c r="H352" s="574"/>
      <c r="I352" s="672"/>
      <c r="J352" s="574"/>
      <c r="K352" s="574"/>
      <c r="L352" s="574"/>
      <c r="M352" s="673"/>
      <c r="N352" s="672"/>
      <c r="O352" s="574"/>
      <c r="P352" s="574"/>
      <c r="Q352" s="574"/>
      <c r="R352" s="574"/>
      <c r="S352" s="575"/>
      <c r="T352" s="574"/>
      <c r="U352" s="574"/>
    </row>
    <row r="353">
      <c r="A353" s="574"/>
      <c r="B353" s="574"/>
      <c r="C353" s="574"/>
      <c r="D353" s="671"/>
      <c r="E353" s="574"/>
      <c r="F353" s="574"/>
      <c r="G353" s="574"/>
      <c r="H353" s="574"/>
      <c r="I353" s="672"/>
      <c r="J353" s="574"/>
      <c r="K353" s="574"/>
      <c r="L353" s="574"/>
      <c r="M353" s="673"/>
      <c r="N353" s="672"/>
      <c r="O353" s="574"/>
      <c r="P353" s="574"/>
      <c r="Q353" s="574"/>
      <c r="R353" s="574"/>
      <c r="S353" s="575"/>
      <c r="T353" s="574"/>
      <c r="U353" s="574"/>
    </row>
    <row r="354">
      <c r="A354" s="574"/>
      <c r="B354" s="574"/>
      <c r="C354" s="574"/>
      <c r="D354" s="671"/>
      <c r="E354" s="574"/>
      <c r="F354" s="574"/>
      <c r="G354" s="574"/>
      <c r="H354" s="574"/>
      <c r="I354" s="672"/>
      <c r="J354" s="574"/>
      <c r="K354" s="574"/>
      <c r="L354" s="574"/>
      <c r="M354" s="673"/>
      <c r="N354" s="672"/>
      <c r="O354" s="574"/>
      <c r="P354" s="574"/>
      <c r="Q354" s="574"/>
      <c r="R354" s="574"/>
      <c r="S354" s="575"/>
      <c r="T354" s="574"/>
      <c r="U354" s="574"/>
    </row>
    <row r="355">
      <c r="A355" s="574"/>
      <c r="B355" s="574"/>
      <c r="C355" s="574"/>
      <c r="D355" s="671"/>
      <c r="E355" s="574"/>
      <c r="F355" s="574"/>
      <c r="G355" s="574"/>
      <c r="H355" s="574"/>
      <c r="I355" s="672"/>
      <c r="J355" s="574"/>
      <c r="K355" s="574"/>
      <c r="L355" s="574"/>
      <c r="M355" s="673"/>
      <c r="N355" s="672"/>
      <c r="O355" s="574"/>
      <c r="P355" s="574"/>
      <c r="Q355" s="574"/>
      <c r="R355" s="574"/>
      <c r="S355" s="575"/>
      <c r="T355" s="574"/>
      <c r="U355" s="574"/>
    </row>
    <row r="356">
      <c r="A356" s="574"/>
      <c r="B356" s="574"/>
      <c r="C356" s="574"/>
      <c r="D356" s="671"/>
      <c r="E356" s="574"/>
      <c r="F356" s="574"/>
      <c r="G356" s="574"/>
      <c r="H356" s="574"/>
      <c r="I356" s="672"/>
      <c r="J356" s="574"/>
      <c r="K356" s="574"/>
      <c r="L356" s="574"/>
      <c r="M356" s="673"/>
      <c r="N356" s="672"/>
      <c r="O356" s="574"/>
      <c r="P356" s="574"/>
      <c r="Q356" s="574"/>
      <c r="R356" s="574"/>
      <c r="S356" s="575"/>
      <c r="T356" s="574"/>
      <c r="U356" s="574"/>
    </row>
    <row r="357">
      <c r="A357" s="574"/>
      <c r="B357" s="574"/>
      <c r="C357" s="574"/>
      <c r="D357" s="671"/>
      <c r="E357" s="574"/>
      <c r="F357" s="574"/>
      <c r="G357" s="574"/>
      <c r="H357" s="574"/>
      <c r="I357" s="672"/>
      <c r="J357" s="574"/>
      <c r="K357" s="574"/>
      <c r="L357" s="574"/>
      <c r="M357" s="673"/>
      <c r="N357" s="672"/>
      <c r="O357" s="574"/>
      <c r="P357" s="574"/>
      <c r="Q357" s="574"/>
      <c r="R357" s="574"/>
      <c r="S357" s="575"/>
      <c r="T357" s="574"/>
      <c r="U357" s="574"/>
    </row>
    <row r="358">
      <c r="A358" s="574"/>
      <c r="B358" s="574"/>
      <c r="C358" s="574"/>
      <c r="D358" s="671"/>
      <c r="E358" s="574"/>
      <c r="F358" s="574"/>
      <c r="G358" s="574"/>
      <c r="H358" s="574"/>
      <c r="I358" s="672"/>
      <c r="J358" s="574"/>
      <c r="K358" s="574"/>
      <c r="L358" s="574"/>
      <c r="M358" s="673"/>
      <c r="N358" s="672"/>
      <c r="O358" s="574"/>
      <c r="P358" s="574"/>
      <c r="Q358" s="574"/>
      <c r="R358" s="574"/>
      <c r="S358" s="575"/>
      <c r="T358" s="574"/>
      <c r="U358" s="574"/>
    </row>
    <row r="359">
      <c r="A359" s="574"/>
      <c r="B359" s="574"/>
      <c r="C359" s="574"/>
      <c r="D359" s="671"/>
      <c r="E359" s="574"/>
      <c r="F359" s="574"/>
      <c r="G359" s="574"/>
      <c r="H359" s="574"/>
      <c r="I359" s="672"/>
      <c r="J359" s="574"/>
      <c r="K359" s="574"/>
      <c r="L359" s="574"/>
      <c r="M359" s="673"/>
      <c r="N359" s="672"/>
      <c r="O359" s="574"/>
      <c r="P359" s="574"/>
      <c r="Q359" s="574"/>
      <c r="R359" s="574"/>
      <c r="S359" s="575"/>
      <c r="T359" s="574"/>
      <c r="U359" s="574"/>
    </row>
    <row r="360">
      <c r="A360" s="574"/>
      <c r="B360" s="574"/>
      <c r="C360" s="574"/>
      <c r="D360" s="671"/>
      <c r="E360" s="574"/>
      <c r="F360" s="574"/>
      <c r="G360" s="574"/>
      <c r="H360" s="574"/>
      <c r="I360" s="672"/>
      <c r="J360" s="574"/>
      <c r="K360" s="574"/>
      <c r="L360" s="574"/>
      <c r="M360" s="673"/>
      <c r="N360" s="672"/>
      <c r="O360" s="574"/>
      <c r="P360" s="574"/>
      <c r="Q360" s="574"/>
      <c r="R360" s="574"/>
      <c r="S360" s="575"/>
      <c r="T360" s="574"/>
      <c r="U360" s="574"/>
    </row>
    <row r="361">
      <c r="A361" s="574"/>
      <c r="B361" s="574"/>
      <c r="C361" s="574"/>
      <c r="D361" s="671"/>
      <c r="E361" s="574"/>
      <c r="F361" s="574"/>
      <c r="G361" s="574"/>
      <c r="H361" s="574"/>
      <c r="I361" s="672"/>
      <c r="J361" s="574"/>
      <c r="K361" s="574"/>
      <c r="L361" s="574"/>
      <c r="M361" s="673"/>
      <c r="N361" s="672"/>
      <c r="O361" s="574"/>
      <c r="P361" s="574"/>
      <c r="Q361" s="574"/>
      <c r="R361" s="574"/>
      <c r="S361" s="575"/>
      <c r="T361" s="574"/>
      <c r="U361" s="574"/>
    </row>
    <row r="362">
      <c r="A362" s="574"/>
      <c r="B362" s="574"/>
      <c r="C362" s="574"/>
      <c r="D362" s="671"/>
      <c r="E362" s="574"/>
      <c r="F362" s="574"/>
      <c r="G362" s="574"/>
      <c r="H362" s="574"/>
      <c r="I362" s="672"/>
      <c r="J362" s="574"/>
      <c r="K362" s="574"/>
      <c r="L362" s="574"/>
      <c r="M362" s="673"/>
      <c r="N362" s="672"/>
      <c r="O362" s="574"/>
      <c r="P362" s="574"/>
      <c r="Q362" s="574"/>
      <c r="R362" s="574"/>
      <c r="S362" s="575"/>
      <c r="T362" s="574"/>
      <c r="U362" s="574"/>
    </row>
    <row r="363">
      <c r="A363" s="574"/>
      <c r="B363" s="574"/>
      <c r="C363" s="574"/>
      <c r="D363" s="671"/>
      <c r="E363" s="574"/>
      <c r="F363" s="574"/>
      <c r="G363" s="574"/>
      <c r="H363" s="574"/>
      <c r="I363" s="672"/>
      <c r="J363" s="574"/>
      <c r="K363" s="574"/>
      <c r="L363" s="574"/>
      <c r="M363" s="673"/>
      <c r="N363" s="672"/>
      <c r="O363" s="574"/>
      <c r="P363" s="574"/>
      <c r="Q363" s="574"/>
      <c r="R363" s="574"/>
      <c r="S363" s="575"/>
      <c r="T363" s="574"/>
      <c r="U363" s="574"/>
    </row>
    <row r="364">
      <c r="A364" s="574"/>
      <c r="B364" s="574"/>
      <c r="C364" s="574"/>
      <c r="D364" s="671"/>
      <c r="E364" s="574"/>
      <c r="F364" s="574"/>
      <c r="G364" s="574"/>
      <c r="H364" s="574"/>
      <c r="I364" s="672"/>
      <c r="J364" s="574"/>
      <c r="K364" s="574"/>
      <c r="L364" s="574"/>
      <c r="M364" s="673"/>
      <c r="N364" s="672"/>
      <c r="O364" s="574"/>
      <c r="P364" s="574"/>
      <c r="Q364" s="574"/>
      <c r="R364" s="574"/>
      <c r="S364" s="575"/>
      <c r="T364" s="574"/>
      <c r="U364" s="574"/>
    </row>
    <row r="365">
      <c r="A365" s="574"/>
      <c r="B365" s="574"/>
      <c r="C365" s="574"/>
      <c r="D365" s="671"/>
      <c r="E365" s="574"/>
      <c r="F365" s="574"/>
      <c r="G365" s="574"/>
      <c r="H365" s="574"/>
      <c r="I365" s="672"/>
      <c r="J365" s="574"/>
      <c r="K365" s="574"/>
      <c r="L365" s="574"/>
      <c r="M365" s="673"/>
      <c r="N365" s="672"/>
      <c r="O365" s="574"/>
      <c r="P365" s="574"/>
      <c r="Q365" s="574"/>
      <c r="R365" s="574"/>
      <c r="S365" s="575"/>
      <c r="T365" s="574"/>
      <c r="U365" s="574"/>
    </row>
    <row r="366">
      <c r="A366" s="574"/>
      <c r="B366" s="574"/>
      <c r="C366" s="574"/>
      <c r="D366" s="671"/>
      <c r="E366" s="574"/>
      <c r="F366" s="574"/>
      <c r="G366" s="574"/>
      <c r="H366" s="574"/>
      <c r="I366" s="672"/>
      <c r="J366" s="574"/>
      <c r="K366" s="574"/>
      <c r="L366" s="574"/>
      <c r="M366" s="673"/>
      <c r="N366" s="672"/>
      <c r="O366" s="574"/>
      <c r="P366" s="574"/>
      <c r="Q366" s="574"/>
      <c r="R366" s="574"/>
      <c r="S366" s="575"/>
      <c r="T366" s="574"/>
      <c r="U366" s="574"/>
    </row>
    <row r="367">
      <c r="A367" s="574"/>
      <c r="B367" s="574"/>
      <c r="C367" s="574"/>
      <c r="D367" s="671"/>
      <c r="E367" s="574"/>
      <c r="F367" s="574"/>
      <c r="G367" s="574"/>
      <c r="H367" s="574"/>
      <c r="I367" s="672"/>
      <c r="J367" s="574"/>
      <c r="K367" s="574"/>
      <c r="L367" s="574"/>
      <c r="M367" s="673"/>
      <c r="N367" s="672"/>
      <c r="O367" s="574"/>
      <c r="P367" s="574"/>
      <c r="Q367" s="574"/>
      <c r="R367" s="574"/>
      <c r="S367" s="575"/>
      <c r="T367" s="574"/>
      <c r="U367" s="574"/>
    </row>
    <row r="368">
      <c r="A368" s="574"/>
      <c r="B368" s="574"/>
      <c r="C368" s="574"/>
      <c r="D368" s="671"/>
      <c r="E368" s="574"/>
      <c r="F368" s="574"/>
      <c r="G368" s="574"/>
      <c r="H368" s="574"/>
      <c r="I368" s="672"/>
      <c r="J368" s="574"/>
      <c r="K368" s="574"/>
      <c r="L368" s="574"/>
      <c r="M368" s="673"/>
      <c r="N368" s="672"/>
      <c r="O368" s="574"/>
      <c r="P368" s="574"/>
      <c r="Q368" s="574"/>
      <c r="R368" s="574"/>
      <c r="S368" s="575"/>
      <c r="T368" s="574"/>
      <c r="U368" s="574"/>
    </row>
    <row r="369">
      <c r="A369" s="574"/>
      <c r="B369" s="574"/>
      <c r="C369" s="574"/>
      <c r="D369" s="671"/>
      <c r="E369" s="574"/>
      <c r="F369" s="574"/>
      <c r="G369" s="574"/>
      <c r="H369" s="574"/>
      <c r="I369" s="672"/>
      <c r="J369" s="574"/>
      <c r="K369" s="574"/>
      <c r="L369" s="574"/>
      <c r="M369" s="673"/>
      <c r="N369" s="672"/>
      <c r="O369" s="574"/>
      <c r="P369" s="574"/>
      <c r="Q369" s="574"/>
      <c r="R369" s="574"/>
      <c r="S369" s="575"/>
      <c r="T369" s="574"/>
      <c r="U369" s="574"/>
    </row>
    <row r="370">
      <c r="A370" s="574"/>
      <c r="B370" s="574"/>
      <c r="C370" s="574"/>
      <c r="D370" s="671"/>
      <c r="E370" s="574"/>
      <c r="F370" s="574"/>
      <c r="G370" s="574"/>
      <c r="H370" s="574"/>
      <c r="I370" s="672"/>
      <c r="J370" s="574"/>
      <c r="K370" s="574"/>
      <c r="L370" s="574"/>
      <c r="M370" s="673"/>
      <c r="N370" s="672"/>
      <c r="O370" s="574"/>
      <c r="P370" s="574"/>
      <c r="Q370" s="574"/>
      <c r="R370" s="574"/>
      <c r="S370" s="575"/>
      <c r="T370" s="574"/>
      <c r="U370" s="574"/>
    </row>
    <row r="371">
      <c r="A371" s="574"/>
      <c r="B371" s="574"/>
      <c r="C371" s="574"/>
      <c r="D371" s="671"/>
      <c r="E371" s="574"/>
      <c r="F371" s="574"/>
      <c r="G371" s="574"/>
      <c r="H371" s="574"/>
      <c r="I371" s="672"/>
      <c r="J371" s="574"/>
      <c r="K371" s="574"/>
      <c r="L371" s="574"/>
      <c r="M371" s="673"/>
      <c r="N371" s="672"/>
      <c r="O371" s="574"/>
      <c r="P371" s="574"/>
      <c r="Q371" s="574"/>
      <c r="R371" s="574"/>
      <c r="S371" s="575"/>
      <c r="T371" s="574"/>
      <c r="U371" s="574"/>
    </row>
    <row r="372">
      <c r="A372" s="574"/>
      <c r="B372" s="574"/>
      <c r="C372" s="574"/>
      <c r="D372" s="671"/>
      <c r="E372" s="574"/>
      <c r="F372" s="574"/>
      <c r="G372" s="574"/>
      <c r="H372" s="574"/>
      <c r="I372" s="672"/>
      <c r="J372" s="574"/>
      <c r="K372" s="574"/>
      <c r="L372" s="574"/>
      <c r="M372" s="673"/>
      <c r="N372" s="672"/>
      <c r="O372" s="574"/>
      <c r="P372" s="574"/>
      <c r="Q372" s="574"/>
      <c r="R372" s="574"/>
      <c r="S372" s="575"/>
      <c r="T372" s="574"/>
      <c r="U372" s="574"/>
    </row>
    <row r="373">
      <c r="A373" s="574"/>
      <c r="B373" s="574"/>
      <c r="C373" s="574"/>
      <c r="D373" s="671"/>
      <c r="E373" s="574"/>
      <c r="F373" s="574"/>
      <c r="G373" s="574"/>
      <c r="H373" s="574"/>
      <c r="I373" s="672"/>
      <c r="J373" s="574"/>
      <c r="K373" s="574"/>
      <c r="L373" s="574"/>
      <c r="M373" s="673"/>
      <c r="N373" s="672"/>
      <c r="O373" s="574"/>
      <c r="P373" s="574"/>
      <c r="Q373" s="574"/>
      <c r="R373" s="574"/>
      <c r="S373" s="575"/>
      <c r="T373" s="574"/>
      <c r="U373" s="574"/>
    </row>
    <row r="374">
      <c r="A374" s="574"/>
      <c r="B374" s="574"/>
      <c r="C374" s="574"/>
      <c r="D374" s="671"/>
      <c r="E374" s="574"/>
      <c r="F374" s="574"/>
      <c r="G374" s="574"/>
      <c r="H374" s="574"/>
      <c r="I374" s="672"/>
      <c r="J374" s="574"/>
      <c r="K374" s="574"/>
      <c r="L374" s="574"/>
      <c r="M374" s="673"/>
      <c r="N374" s="672"/>
      <c r="O374" s="574"/>
      <c r="P374" s="574"/>
      <c r="Q374" s="574"/>
      <c r="R374" s="574"/>
      <c r="S374" s="575"/>
      <c r="T374" s="574"/>
      <c r="U374" s="574"/>
    </row>
    <row r="375">
      <c r="A375" s="574"/>
      <c r="B375" s="574"/>
      <c r="C375" s="574"/>
      <c r="D375" s="671"/>
      <c r="E375" s="574"/>
      <c r="F375" s="574"/>
      <c r="G375" s="574"/>
      <c r="H375" s="574"/>
      <c r="I375" s="672"/>
      <c r="J375" s="574"/>
      <c r="K375" s="574"/>
      <c r="L375" s="574"/>
      <c r="M375" s="673"/>
      <c r="N375" s="672"/>
      <c r="O375" s="574"/>
      <c r="P375" s="574"/>
      <c r="Q375" s="574"/>
      <c r="R375" s="574"/>
      <c r="S375" s="575"/>
      <c r="T375" s="574"/>
      <c r="U375" s="574"/>
    </row>
    <row r="376">
      <c r="A376" s="574"/>
      <c r="B376" s="574"/>
      <c r="C376" s="574"/>
      <c r="D376" s="671"/>
      <c r="E376" s="574"/>
      <c r="F376" s="574"/>
      <c r="G376" s="574"/>
      <c r="H376" s="574"/>
      <c r="I376" s="672"/>
      <c r="J376" s="574"/>
      <c r="K376" s="574"/>
      <c r="L376" s="574"/>
      <c r="M376" s="673"/>
      <c r="N376" s="672"/>
      <c r="O376" s="574"/>
      <c r="P376" s="574"/>
      <c r="Q376" s="574"/>
      <c r="R376" s="574"/>
      <c r="S376" s="575"/>
      <c r="T376" s="574"/>
      <c r="U376" s="574"/>
    </row>
    <row r="377">
      <c r="A377" s="574"/>
      <c r="B377" s="574"/>
      <c r="C377" s="574"/>
      <c r="D377" s="671"/>
      <c r="E377" s="574"/>
      <c r="F377" s="574"/>
      <c r="G377" s="574"/>
      <c r="H377" s="574"/>
      <c r="I377" s="672"/>
      <c r="J377" s="574"/>
      <c r="K377" s="574"/>
      <c r="L377" s="574"/>
      <c r="M377" s="673"/>
      <c r="N377" s="672"/>
      <c r="O377" s="574"/>
      <c r="P377" s="574"/>
      <c r="Q377" s="574"/>
      <c r="R377" s="574"/>
      <c r="S377" s="575"/>
      <c r="T377" s="574"/>
      <c r="U377" s="574"/>
    </row>
    <row r="378">
      <c r="A378" s="574"/>
      <c r="B378" s="574"/>
      <c r="C378" s="574"/>
      <c r="D378" s="671"/>
      <c r="E378" s="574"/>
      <c r="F378" s="574"/>
      <c r="G378" s="574"/>
      <c r="H378" s="574"/>
      <c r="I378" s="672"/>
      <c r="J378" s="574"/>
      <c r="K378" s="574"/>
      <c r="L378" s="574"/>
      <c r="M378" s="673"/>
      <c r="N378" s="672"/>
      <c r="O378" s="574"/>
      <c r="P378" s="574"/>
      <c r="Q378" s="574"/>
      <c r="R378" s="574"/>
      <c r="S378" s="575"/>
      <c r="T378" s="574"/>
      <c r="U378" s="574"/>
    </row>
    <row r="379">
      <c r="A379" s="574"/>
      <c r="B379" s="574"/>
      <c r="C379" s="574"/>
      <c r="D379" s="671"/>
      <c r="E379" s="574"/>
      <c r="F379" s="574"/>
      <c r="G379" s="574"/>
      <c r="H379" s="574"/>
      <c r="I379" s="672"/>
      <c r="J379" s="574"/>
      <c r="K379" s="574"/>
      <c r="L379" s="574"/>
      <c r="M379" s="673"/>
      <c r="N379" s="672"/>
      <c r="O379" s="574"/>
      <c r="P379" s="574"/>
      <c r="Q379" s="574"/>
      <c r="R379" s="574"/>
      <c r="S379" s="575"/>
      <c r="T379" s="574"/>
      <c r="U379" s="574"/>
    </row>
    <row r="380">
      <c r="A380" s="574"/>
      <c r="B380" s="574"/>
      <c r="C380" s="574"/>
      <c r="D380" s="671"/>
      <c r="E380" s="574"/>
      <c r="F380" s="574"/>
      <c r="G380" s="574"/>
      <c r="H380" s="574"/>
      <c r="I380" s="672"/>
      <c r="J380" s="574"/>
      <c r="K380" s="574"/>
      <c r="L380" s="574"/>
      <c r="M380" s="673"/>
      <c r="N380" s="672"/>
      <c r="O380" s="574"/>
      <c r="P380" s="574"/>
      <c r="Q380" s="574"/>
      <c r="R380" s="574"/>
      <c r="S380" s="575"/>
      <c r="T380" s="574"/>
      <c r="U380" s="574"/>
    </row>
    <row r="381">
      <c r="A381" s="574"/>
      <c r="B381" s="574"/>
      <c r="C381" s="574"/>
      <c r="D381" s="671"/>
      <c r="E381" s="574"/>
      <c r="F381" s="574"/>
      <c r="G381" s="574"/>
      <c r="H381" s="574"/>
      <c r="I381" s="672"/>
      <c r="J381" s="574"/>
      <c r="K381" s="574"/>
      <c r="L381" s="574"/>
      <c r="M381" s="673"/>
      <c r="N381" s="672"/>
      <c r="O381" s="574"/>
      <c r="P381" s="574"/>
      <c r="Q381" s="574"/>
      <c r="R381" s="574"/>
      <c r="S381" s="575"/>
      <c r="T381" s="574"/>
      <c r="U381" s="574"/>
    </row>
    <row r="382">
      <c r="A382" s="574"/>
      <c r="B382" s="574"/>
      <c r="C382" s="574"/>
      <c r="D382" s="671"/>
      <c r="E382" s="574"/>
      <c r="F382" s="574"/>
      <c r="G382" s="574"/>
      <c r="H382" s="574"/>
      <c r="I382" s="672"/>
      <c r="J382" s="574"/>
      <c r="K382" s="574"/>
      <c r="L382" s="574"/>
      <c r="M382" s="673"/>
      <c r="N382" s="672"/>
      <c r="O382" s="574"/>
      <c r="P382" s="574"/>
      <c r="Q382" s="574"/>
      <c r="R382" s="574"/>
      <c r="S382" s="575"/>
      <c r="T382" s="574"/>
      <c r="U382" s="574"/>
    </row>
    <row r="383">
      <c r="A383" s="574"/>
      <c r="B383" s="574"/>
      <c r="C383" s="574"/>
      <c r="D383" s="671"/>
      <c r="E383" s="574"/>
      <c r="F383" s="574"/>
      <c r="G383" s="574"/>
      <c r="H383" s="574"/>
      <c r="I383" s="672"/>
      <c r="J383" s="574"/>
      <c r="K383" s="574"/>
      <c r="L383" s="574"/>
      <c r="M383" s="673"/>
      <c r="N383" s="672"/>
      <c r="O383" s="574"/>
      <c r="P383" s="574"/>
      <c r="Q383" s="574"/>
      <c r="R383" s="574"/>
      <c r="S383" s="575"/>
      <c r="T383" s="574"/>
      <c r="U383" s="574"/>
    </row>
    <row r="384">
      <c r="A384" s="574"/>
      <c r="B384" s="574"/>
      <c r="C384" s="574"/>
      <c r="D384" s="671"/>
      <c r="E384" s="574"/>
      <c r="F384" s="574"/>
      <c r="G384" s="574"/>
      <c r="H384" s="574"/>
      <c r="I384" s="672"/>
      <c r="J384" s="574"/>
      <c r="K384" s="574"/>
      <c r="L384" s="574"/>
      <c r="M384" s="673"/>
      <c r="N384" s="672"/>
      <c r="O384" s="574"/>
      <c r="P384" s="574"/>
      <c r="Q384" s="574"/>
      <c r="R384" s="574"/>
      <c r="S384" s="575"/>
      <c r="T384" s="574"/>
      <c r="U384" s="574"/>
    </row>
    <row r="385">
      <c r="A385" s="574"/>
      <c r="B385" s="574"/>
      <c r="C385" s="574"/>
      <c r="D385" s="671"/>
      <c r="E385" s="574"/>
      <c r="F385" s="574"/>
      <c r="G385" s="574"/>
      <c r="H385" s="574"/>
      <c r="I385" s="672"/>
      <c r="J385" s="574"/>
      <c r="K385" s="574"/>
      <c r="L385" s="574"/>
      <c r="M385" s="673"/>
      <c r="N385" s="672"/>
      <c r="O385" s="574"/>
      <c r="P385" s="574"/>
      <c r="Q385" s="574"/>
      <c r="R385" s="574"/>
      <c r="S385" s="575"/>
      <c r="T385" s="574"/>
      <c r="U385" s="574"/>
    </row>
    <row r="386">
      <c r="A386" s="574"/>
      <c r="B386" s="574"/>
      <c r="C386" s="574"/>
      <c r="D386" s="671"/>
      <c r="E386" s="574"/>
      <c r="F386" s="574"/>
      <c r="G386" s="574"/>
      <c r="H386" s="574"/>
      <c r="I386" s="672"/>
      <c r="J386" s="574"/>
      <c r="K386" s="574"/>
      <c r="L386" s="574"/>
      <c r="M386" s="673"/>
      <c r="N386" s="672"/>
      <c r="O386" s="574"/>
      <c r="P386" s="574"/>
      <c r="Q386" s="574"/>
      <c r="R386" s="574"/>
      <c r="S386" s="575"/>
      <c r="T386" s="574"/>
      <c r="U386" s="574"/>
    </row>
    <row r="387">
      <c r="A387" s="574"/>
      <c r="B387" s="574"/>
      <c r="C387" s="574"/>
      <c r="D387" s="671"/>
      <c r="E387" s="574"/>
      <c r="F387" s="574"/>
      <c r="G387" s="574"/>
      <c r="H387" s="574"/>
      <c r="I387" s="672"/>
      <c r="J387" s="574"/>
      <c r="K387" s="574"/>
      <c r="L387" s="574"/>
      <c r="M387" s="673"/>
      <c r="N387" s="672"/>
      <c r="O387" s="574"/>
      <c r="P387" s="574"/>
      <c r="Q387" s="574"/>
      <c r="R387" s="574"/>
      <c r="S387" s="575"/>
      <c r="T387" s="574"/>
      <c r="U387" s="574"/>
    </row>
    <row r="388">
      <c r="A388" s="574"/>
      <c r="B388" s="574"/>
      <c r="C388" s="574"/>
      <c r="D388" s="671"/>
      <c r="E388" s="574"/>
      <c r="F388" s="574"/>
      <c r="G388" s="574"/>
      <c r="H388" s="574"/>
      <c r="I388" s="672"/>
      <c r="J388" s="574"/>
      <c r="K388" s="574"/>
      <c r="L388" s="574"/>
      <c r="M388" s="673"/>
      <c r="N388" s="672"/>
      <c r="O388" s="574"/>
      <c r="P388" s="574"/>
      <c r="Q388" s="574"/>
      <c r="R388" s="574"/>
      <c r="S388" s="575"/>
      <c r="T388" s="574"/>
      <c r="U388" s="574"/>
    </row>
    <row r="389">
      <c r="A389" s="574"/>
      <c r="B389" s="574"/>
      <c r="C389" s="574"/>
      <c r="D389" s="671"/>
      <c r="E389" s="574"/>
      <c r="F389" s="574"/>
      <c r="G389" s="574"/>
      <c r="H389" s="574"/>
      <c r="I389" s="672"/>
      <c r="J389" s="574"/>
      <c r="K389" s="574"/>
      <c r="L389" s="574"/>
      <c r="M389" s="673"/>
      <c r="N389" s="672"/>
      <c r="O389" s="574"/>
      <c r="P389" s="574"/>
      <c r="Q389" s="574"/>
      <c r="R389" s="574"/>
      <c r="S389" s="575"/>
      <c r="T389" s="574"/>
      <c r="U389" s="574"/>
    </row>
    <row r="390">
      <c r="A390" s="574"/>
      <c r="B390" s="574"/>
      <c r="C390" s="574"/>
      <c r="D390" s="671"/>
      <c r="E390" s="574"/>
      <c r="F390" s="574"/>
      <c r="G390" s="574"/>
      <c r="H390" s="574"/>
      <c r="I390" s="672"/>
      <c r="J390" s="574"/>
      <c r="K390" s="574"/>
      <c r="L390" s="574"/>
      <c r="M390" s="673"/>
      <c r="N390" s="672"/>
      <c r="O390" s="574"/>
      <c r="P390" s="574"/>
      <c r="Q390" s="574"/>
      <c r="R390" s="574"/>
      <c r="S390" s="575"/>
      <c r="T390" s="574"/>
      <c r="U390" s="574"/>
    </row>
    <row r="391">
      <c r="A391" s="574"/>
      <c r="B391" s="574"/>
      <c r="C391" s="574"/>
      <c r="D391" s="671"/>
      <c r="E391" s="574"/>
      <c r="F391" s="574"/>
      <c r="G391" s="574"/>
      <c r="H391" s="574"/>
      <c r="I391" s="672"/>
      <c r="J391" s="574"/>
      <c r="K391" s="574"/>
      <c r="L391" s="574"/>
      <c r="M391" s="673"/>
      <c r="N391" s="672"/>
      <c r="O391" s="574"/>
      <c r="P391" s="574"/>
      <c r="Q391" s="574"/>
      <c r="R391" s="574"/>
      <c r="S391" s="575"/>
      <c r="T391" s="574"/>
      <c r="U391" s="574"/>
    </row>
    <row r="392">
      <c r="A392" s="574"/>
      <c r="B392" s="574"/>
      <c r="C392" s="574"/>
      <c r="D392" s="671"/>
      <c r="E392" s="574"/>
      <c r="F392" s="574"/>
      <c r="G392" s="574"/>
      <c r="H392" s="574"/>
      <c r="I392" s="672"/>
      <c r="J392" s="574"/>
      <c r="K392" s="574"/>
      <c r="L392" s="574"/>
      <c r="M392" s="673"/>
      <c r="N392" s="672"/>
      <c r="O392" s="574"/>
      <c r="P392" s="574"/>
      <c r="Q392" s="574"/>
      <c r="R392" s="574"/>
      <c r="S392" s="575"/>
      <c r="T392" s="574"/>
      <c r="U392" s="574"/>
    </row>
    <row r="393">
      <c r="A393" s="574"/>
      <c r="B393" s="574"/>
      <c r="C393" s="574"/>
      <c r="D393" s="671"/>
      <c r="E393" s="574"/>
      <c r="F393" s="574"/>
      <c r="G393" s="574"/>
      <c r="H393" s="574"/>
      <c r="I393" s="672"/>
      <c r="J393" s="574"/>
      <c r="K393" s="574"/>
      <c r="L393" s="574"/>
      <c r="M393" s="673"/>
      <c r="N393" s="672"/>
      <c r="O393" s="574"/>
      <c r="P393" s="574"/>
      <c r="Q393" s="574"/>
      <c r="R393" s="574"/>
      <c r="S393" s="575"/>
      <c r="T393" s="574"/>
      <c r="U393" s="574"/>
    </row>
    <row r="394">
      <c r="A394" s="574"/>
      <c r="B394" s="574"/>
      <c r="C394" s="574"/>
      <c r="D394" s="671"/>
      <c r="E394" s="574"/>
      <c r="F394" s="574"/>
      <c r="G394" s="574"/>
      <c r="H394" s="574"/>
      <c r="I394" s="672"/>
      <c r="J394" s="574"/>
      <c r="K394" s="574"/>
      <c r="L394" s="574"/>
      <c r="M394" s="673"/>
      <c r="N394" s="672"/>
      <c r="O394" s="574"/>
      <c r="P394" s="574"/>
      <c r="Q394" s="574"/>
      <c r="R394" s="574"/>
      <c r="S394" s="575"/>
      <c r="T394" s="574"/>
      <c r="U394" s="574"/>
    </row>
    <row r="395">
      <c r="A395" s="574"/>
      <c r="B395" s="574"/>
      <c r="C395" s="574"/>
      <c r="D395" s="671"/>
      <c r="E395" s="574"/>
      <c r="F395" s="574"/>
      <c r="G395" s="574"/>
      <c r="H395" s="574"/>
      <c r="I395" s="672"/>
      <c r="J395" s="574"/>
      <c r="K395" s="574"/>
      <c r="L395" s="574"/>
      <c r="M395" s="673"/>
      <c r="N395" s="672"/>
      <c r="O395" s="574"/>
      <c r="P395" s="574"/>
      <c r="Q395" s="574"/>
      <c r="R395" s="574"/>
      <c r="S395" s="575"/>
      <c r="T395" s="574"/>
      <c r="U395" s="574"/>
    </row>
    <row r="396">
      <c r="A396" s="574"/>
      <c r="B396" s="574"/>
      <c r="C396" s="574"/>
      <c r="D396" s="671"/>
      <c r="E396" s="574"/>
      <c r="F396" s="574"/>
      <c r="G396" s="574"/>
      <c r="H396" s="574"/>
      <c r="I396" s="672"/>
      <c r="J396" s="574"/>
      <c r="K396" s="574"/>
      <c r="L396" s="574"/>
      <c r="M396" s="673"/>
      <c r="N396" s="672"/>
      <c r="O396" s="574"/>
      <c r="P396" s="574"/>
      <c r="Q396" s="574"/>
      <c r="R396" s="574"/>
      <c r="S396" s="575"/>
      <c r="T396" s="574"/>
      <c r="U396" s="574"/>
    </row>
    <row r="397">
      <c r="A397" s="574"/>
      <c r="B397" s="574"/>
      <c r="C397" s="574"/>
      <c r="D397" s="671"/>
      <c r="E397" s="574"/>
      <c r="F397" s="574"/>
      <c r="G397" s="574"/>
      <c r="H397" s="574"/>
      <c r="I397" s="672"/>
      <c r="J397" s="574"/>
      <c r="K397" s="574"/>
      <c r="L397" s="574"/>
      <c r="M397" s="673"/>
      <c r="N397" s="672"/>
      <c r="O397" s="574"/>
      <c r="P397" s="574"/>
      <c r="Q397" s="574"/>
      <c r="R397" s="574"/>
      <c r="S397" s="575"/>
      <c r="T397" s="574"/>
      <c r="U397" s="574"/>
    </row>
    <row r="398">
      <c r="A398" s="574"/>
      <c r="B398" s="574"/>
      <c r="C398" s="574"/>
      <c r="D398" s="671"/>
      <c r="E398" s="574"/>
      <c r="F398" s="574"/>
      <c r="G398" s="574"/>
      <c r="H398" s="574"/>
      <c r="I398" s="672"/>
      <c r="J398" s="574"/>
      <c r="K398" s="574"/>
      <c r="L398" s="574"/>
      <c r="M398" s="673"/>
      <c r="N398" s="672"/>
      <c r="O398" s="574"/>
      <c r="P398" s="574"/>
      <c r="Q398" s="574"/>
      <c r="R398" s="574"/>
      <c r="S398" s="575"/>
      <c r="T398" s="574"/>
      <c r="U398" s="574"/>
    </row>
    <row r="399">
      <c r="A399" s="574"/>
      <c r="B399" s="574"/>
      <c r="C399" s="574"/>
      <c r="D399" s="671"/>
      <c r="E399" s="574"/>
      <c r="F399" s="574"/>
      <c r="G399" s="574"/>
      <c r="H399" s="574"/>
      <c r="I399" s="672"/>
      <c r="J399" s="574"/>
      <c r="K399" s="574"/>
      <c r="L399" s="574"/>
      <c r="M399" s="673"/>
      <c r="N399" s="672"/>
      <c r="O399" s="574"/>
      <c r="P399" s="574"/>
      <c r="Q399" s="574"/>
      <c r="R399" s="574"/>
      <c r="S399" s="575"/>
      <c r="T399" s="574"/>
      <c r="U399" s="574"/>
    </row>
    <row r="400">
      <c r="A400" s="574"/>
      <c r="B400" s="574"/>
      <c r="C400" s="574"/>
      <c r="D400" s="671"/>
      <c r="E400" s="574"/>
      <c r="F400" s="574"/>
      <c r="G400" s="574"/>
      <c r="H400" s="574"/>
      <c r="I400" s="672"/>
      <c r="J400" s="574"/>
      <c r="K400" s="574"/>
      <c r="L400" s="574"/>
      <c r="M400" s="673"/>
      <c r="N400" s="672"/>
      <c r="O400" s="574"/>
      <c r="P400" s="574"/>
      <c r="Q400" s="574"/>
      <c r="R400" s="574"/>
      <c r="S400" s="575"/>
      <c r="T400" s="574"/>
      <c r="U400" s="574"/>
    </row>
    <row r="401">
      <c r="A401" s="574"/>
      <c r="B401" s="574"/>
      <c r="C401" s="574"/>
      <c r="D401" s="671"/>
      <c r="E401" s="574"/>
      <c r="F401" s="574"/>
      <c r="G401" s="574"/>
      <c r="H401" s="574"/>
      <c r="I401" s="672"/>
      <c r="J401" s="574"/>
      <c r="K401" s="574"/>
      <c r="L401" s="574"/>
      <c r="M401" s="673"/>
      <c r="N401" s="672"/>
      <c r="O401" s="574"/>
      <c r="P401" s="574"/>
      <c r="Q401" s="574"/>
      <c r="R401" s="574"/>
      <c r="S401" s="575"/>
      <c r="T401" s="574"/>
      <c r="U401" s="574"/>
    </row>
    <row r="402">
      <c r="A402" s="574"/>
      <c r="B402" s="574"/>
      <c r="C402" s="574"/>
      <c r="D402" s="671"/>
      <c r="E402" s="574"/>
      <c r="F402" s="574"/>
      <c r="G402" s="574"/>
      <c r="H402" s="574"/>
      <c r="I402" s="672"/>
      <c r="J402" s="574"/>
      <c r="K402" s="574"/>
      <c r="L402" s="574"/>
      <c r="M402" s="673"/>
      <c r="N402" s="672"/>
      <c r="O402" s="574"/>
      <c r="P402" s="574"/>
      <c r="Q402" s="574"/>
      <c r="R402" s="574"/>
      <c r="S402" s="575"/>
      <c r="T402" s="574"/>
      <c r="U402" s="574"/>
    </row>
    <row r="403">
      <c r="A403" s="574"/>
      <c r="B403" s="574"/>
      <c r="C403" s="574"/>
      <c r="D403" s="671"/>
      <c r="E403" s="574"/>
      <c r="F403" s="574"/>
      <c r="G403" s="574"/>
      <c r="H403" s="574"/>
      <c r="I403" s="672"/>
      <c r="J403" s="574"/>
      <c r="K403" s="574"/>
      <c r="L403" s="574"/>
      <c r="M403" s="673"/>
      <c r="N403" s="672"/>
      <c r="O403" s="574"/>
      <c r="P403" s="574"/>
      <c r="Q403" s="574"/>
      <c r="R403" s="574"/>
      <c r="S403" s="575"/>
      <c r="T403" s="574"/>
      <c r="U403" s="574"/>
    </row>
    <row r="404">
      <c r="A404" s="574"/>
      <c r="B404" s="574"/>
      <c r="C404" s="574"/>
      <c r="D404" s="671"/>
      <c r="E404" s="574"/>
      <c r="F404" s="574"/>
      <c r="G404" s="574"/>
      <c r="H404" s="574"/>
      <c r="I404" s="672"/>
      <c r="J404" s="574"/>
      <c r="K404" s="574"/>
      <c r="L404" s="574"/>
      <c r="M404" s="673"/>
      <c r="N404" s="672"/>
      <c r="O404" s="574"/>
      <c r="P404" s="574"/>
      <c r="Q404" s="574"/>
      <c r="R404" s="574"/>
      <c r="S404" s="575"/>
      <c r="T404" s="574"/>
      <c r="U404" s="574"/>
    </row>
    <row r="405">
      <c r="A405" s="574"/>
      <c r="B405" s="574"/>
      <c r="C405" s="574"/>
      <c r="D405" s="671"/>
      <c r="E405" s="574"/>
      <c r="F405" s="574"/>
      <c r="G405" s="574"/>
      <c r="H405" s="574"/>
      <c r="I405" s="672"/>
      <c r="J405" s="574"/>
      <c r="K405" s="574"/>
      <c r="L405" s="574"/>
      <c r="M405" s="673"/>
      <c r="N405" s="672"/>
      <c r="O405" s="574"/>
      <c r="P405" s="574"/>
      <c r="Q405" s="574"/>
      <c r="R405" s="574"/>
      <c r="S405" s="575"/>
      <c r="T405" s="574"/>
      <c r="U405" s="574"/>
    </row>
    <row r="406">
      <c r="A406" s="574"/>
      <c r="B406" s="574"/>
      <c r="C406" s="574"/>
      <c r="D406" s="671"/>
      <c r="E406" s="574"/>
      <c r="F406" s="574"/>
      <c r="G406" s="574"/>
      <c r="H406" s="574"/>
      <c r="I406" s="672"/>
      <c r="J406" s="574"/>
      <c r="K406" s="574"/>
      <c r="L406" s="574"/>
      <c r="M406" s="673"/>
      <c r="N406" s="672"/>
      <c r="O406" s="574"/>
      <c r="P406" s="574"/>
      <c r="Q406" s="574"/>
      <c r="R406" s="574"/>
      <c r="S406" s="575"/>
      <c r="T406" s="574"/>
      <c r="U406" s="574"/>
    </row>
    <row r="407">
      <c r="A407" s="574"/>
      <c r="B407" s="574"/>
      <c r="C407" s="574"/>
      <c r="D407" s="671"/>
      <c r="E407" s="574"/>
      <c r="F407" s="574"/>
      <c r="G407" s="574"/>
      <c r="H407" s="574"/>
      <c r="I407" s="672"/>
      <c r="J407" s="574"/>
      <c r="K407" s="574"/>
      <c r="L407" s="574"/>
      <c r="M407" s="673"/>
      <c r="N407" s="672"/>
      <c r="O407" s="574"/>
      <c r="P407" s="574"/>
      <c r="Q407" s="574"/>
      <c r="R407" s="574"/>
      <c r="S407" s="575"/>
      <c r="T407" s="574"/>
      <c r="U407" s="574"/>
    </row>
    <row r="408">
      <c r="A408" s="574"/>
      <c r="B408" s="574"/>
      <c r="C408" s="574"/>
      <c r="D408" s="671"/>
      <c r="E408" s="574"/>
      <c r="F408" s="574"/>
      <c r="G408" s="574"/>
      <c r="H408" s="574"/>
      <c r="I408" s="672"/>
      <c r="J408" s="574"/>
      <c r="K408" s="574"/>
      <c r="L408" s="574"/>
      <c r="M408" s="673"/>
      <c r="N408" s="672"/>
      <c r="O408" s="574"/>
      <c r="P408" s="574"/>
      <c r="Q408" s="574"/>
      <c r="R408" s="574"/>
      <c r="S408" s="575"/>
      <c r="T408" s="574"/>
      <c r="U408" s="574"/>
    </row>
    <row r="409">
      <c r="A409" s="574"/>
      <c r="B409" s="574"/>
      <c r="C409" s="574"/>
      <c r="D409" s="671"/>
      <c r="E409" s="574"/>
      <c r="F409" s="574"/>
      <c r="G409" s="574"/>
      <c r="H409" s="574"/>
      <c r="I409" s="672"/>
      <c r="J409" s="574"/>
      <c r="K409" s="574"/>
      <c r="L409" s="574"/>
      <c r="M409" s="673"/>
      <c r="N409" s="672"/>
      <c r="O409" s="574"/>
      <c r="P409" s="574"/>
      <c r="Q409" s="574"/>
      <c r="R409" s="574"/>
      <c r="S409" s="575"/>
      <c r="T409" s="574"/>
      <c r="U409" s="574"/>
    </row>
    <row r="410">
      <c r="A410" s="574"/>
      <c r="B410" s="574"/>
      <c r="C410" s="574"/>
      <c r="D410" s="671"/>
      <c r="E410" s="574"/>
      <c r="F410" s="574"/>
      <c r="G410" s="574"/>
      <c r="H410" s="574"/>
      <c r="I410" s="672"/>
      <c r="J410" s="574"/>
      <c r="K410" s="574"/>
      <c r="L410" s="574"/>
      <c r="M410" s="673"/>
      <c r="N410" s="672"/>
      <c r="O410" s="574"/>
      <c r="P410" s="574"/>
      <c r="Q410" s="574"/>
      <c r="R410" s="574"/>
      <c r="S410" s="575"/>
      <c r="T410" s="574"/>
      <c r="U410" s="574"/>
    </row>
    <row r="411">
      <c r="A411" s="574"/>
      <c r="B411" s="574"/>
      <c r="C411" s="574"/>
      <c r="D411" s="671"/>
      <c r="E411" s="574"/>
      <c r="F411" s="574"/>
      <c r="G411" s="574"/>
      <c r="H411" s="574"/>
      <c r="I411" s="672"/>
      <c r="J411" s="574"/>
      <c r="K411" s="574"/>
      <c r="L411" s="574"/>
      <c r="M411" s="673"/>
      <c r="N411" s="672"/>
      <c r="O411" s="574"/>
      <c r="P411" s="574"/>
      <c r="Q411" s="574"/>
      <c r="R411" s="574"/>
      <c r="S411" s="575"/>
      <c r="T411" s="574"/>
      <c r="U411" s="574"/>
    </row>
    <row r="412">
      <c r="A412" s="574"/>
      <c r="B412" s="574"/>
      <c r="C412" s="574"/>
      <c r="D412" s="671"/>
      <c r="E412" s="574"/>
      <c r="F412" s="574"/>
      <c r="G412" s="574"/>
      <c r="H412" s="574"/>
      <c r="I412" s="672"/>
      <c r="J412" s="574"/>
      <c r="K412" s="574"/>
      <c r="L412" s="574"/>
      <c r="M412" s="673"/>
      <c r="N412" s="672"/>
      <c r="O412" s="574"/>
      <c r="P412" s="574"/>
      <c r="Q412" s="574"/>
      <c r="R412" s="574"/>
      <c r="S412" s="575"/>
      <c r="T412" s="574"/>
      <c r="U412" s="574"/>
    </row>
    <row r="413">
      <c r="A413" s="574"/>
      <c r="B413" s="574"/>
      <c r="C413" s="574"/>
      <c r="D413" s="671"/>
      <c r="E413" s="574"/>
      <c r="F413" s="574"/>
      <c r="G413" s="574"/>
      <c r="H413" s="574"/>
      <c r="I413" s="672"/>
      <c r="J413" s="574"/>
      <c r="K413" s="574"/>
      <c r="L413" s="574"/>
      <c r="M413" s="673"/>
      <c r="N413" s="672"/>
      <c r="O413" s="574"/>
      <c r="P413" s="574"/>
      <c r="Q413" s="574"/>
      <c r="R413" s="574"/>
      <c r="S413" s="575"/>
      <c r="T413" s="574"/>
      <c r="U413" s="574"/>
    </row>
    <row r="414">
      <c r="A414" s="574"/>
      <c r="B414" s="574"/>
      <c r="C414" s="574"/>
      <c r="D414" s="671"/>
      <c r="E414" s="574"/>
      <c r="F414" s="574"/>
      <c r="G414" s="574"/>
      <c r="H414" s="574"/>
      <c r="I414" s="672"/>
      <c r="J414" s="574"/>
      <c r="K414" s="574"/>
      <c r="L414" s="574"/>
      <c r="M414" s="673"/>
      <c r="N414" s="672"/>
      <c r="O414" s="574"/>
      <c r="P414" s="574"/>
      <c r="Q414" s="574"/>
      <c r="R414" s="574"/>
      <c r="S414" s="575"/>
      <c r="T414" s="574"/>
      <c r="U414" s="574"/>
    </row>
    <row r="415">
      <c r="A415" s="574"/>
      <c r="B415" s="574"/>
      <c r="C415" s="574"/>
      <c r="D415" s="671"/>
      <c r="E415" s="574"/>
      <c r="F415" s="574"/>
      <c r="G415" s="574"/>
      <c r="H415" s="574"/>
      <c r="I415" s="672"/>
      <c r="J415" s="574"/>
      <c r="K415" s="574"/>
      <c r="L415" s="574"/>
      <c r="M415" s="673"/>
      <c r="N415" s="672"/>
      <c r="O415" s="574"/>
      <c r="P415" s="574"/>
      <c r="Q415" s="574"/>
      <c r="R415" s="574"/>
      <c r="S415" s="575"/>
      <c r="T415" s="574"/>
      <c r="U415" s="574"/>
    </row>
    <row r="416">
      <c r="A416" s="574"/>
      <c r="B416" s="574"/>
      <c r="C416" s="574"/>
      <c r="D416" s="671"/>
      <c r="E416" s="574"/>
      <c r="F416" s="574"/>
      <c r="G416" s="574"/>
      <c r="H416" s="574"/>
      <c r="I416" s="672"/>
      <c r="J416" s="574"/>
      <c r="K416" s="574"/>
      <c r="L416" s="574"/>
      <c r="M416" s="673"/>
      <c r="N416" s="672"/>
      <c r="O416" s="574"/>
      <c r="P416" s="574"/>
      <c r="Q416" s="574"/>
      <c r="R416" s="574"/>
      <c r="S416" s="575"/>
      <c r="T416" s="574"/>
      <c r="U416" s="574"/>
    </row>
    <row r="417">
      <c r="A417" s="574"/>
      <c r="B417" s="574"/>
      <c r="C417" s="574"/>
      <c r="D417" s="671"/>
      <c r="E417" s="574"/>
      <c r="F417" s="574"/>
      <c r="G417" s="574"/>
      <c r="H417" s="574"/>
      <c r="I417" s="672"/>
      <c r="J417" s="574"/>
      <c r="K417" s="574"/>
      <c r="L417" s="574"/>
      <c r="M417" s="673"/>
      <c r="N417" s="672"/>
      <c r="O417" s="574"/>
      <c r="P417" s="574"/>
      <c r="Q417" s="574"/>
      <c r="R417" s="574"/>
      <c r="S417" s="575"/>
      <c r="T417" s="574"/>
      <c r="U417" s="574"/>
    </row>
    <row r="418">
      <c r="A418" s="574"/>
      <c r="B418" s="574"/>
      <c r="C418" s="574"/>
      <c r="D418" s="671"/>
      <c r="E418" s="574"/>
      <c r="F418" s="574"/>
      <c r="G418" s="574"/>
      <c r="H418" s="574"/>
      <c r="I418" s="672"/>
      <c r="J418" s="574"/>
      <c r="K418" s="574"/>
      <c r="L418" s="574"/>
      <c r="M418" s="673"/>
      <c r="N418" s="672"/>
      <c r="O418" s="574"/>
      <c r="P418" s="574"/>
      <c r="Q418" s="574"/>
      <c r="R418" s="574"/>
      <c r="S418" s="575"/>
      <c r="T418" s="574"/>
      <c r="U418" s="574"/>
    </row>
    <row r="419">
      <c r="A419" s="574"/>
      <c r="B419" s="574"/>
      <c r="C419" s="574"/>
      <c r="D419" s="671"/>
      <c r="E419" s="574"/>
      <c r="F419" s="574"/>
      <c r="G419" s="574"/>
      <c r="H419" s="574"/>
      <c r="I419" s="672"/>
      <c r="J419" s="574"/>
      <c r="K419" s="574"/>
      <c r="L419" s="574"/>
      <c r="M419" s="673"/>
      <c r="N419" s="672"/>
      <c r="O419" s="574"/>
      <c r="P419" s="574"/>
      <c r="Q419" s="574"/>
      <c r="R419" s="574"/>
      <c r="S419" s="575"/>
      <c r="T419" s="574"/>
      <c r="U419" s="574"/>
    </row>
    <row r="420">
      <c r="A420" s="574"/>
      <c r="B420" s="574"/>
      <c r="C420" s="574"/>
      <c r="D420" s="671"/>
      <c r="E420" s="574"/>
      <c r="F420" s="574"/>
      <c r="G420" s="574"/>
      <c r="H420" s="574"/>
      <c r="I420" s="672"/>
      <c r="J420" s="574"/>
      <c r="K420" s="574"/>
      <c r="L420" s="574"/>
      <c r="M420" s="673"/>
      <c r="N420" s="672"/>
      <c r="O420" s="574"/>
      <c r="P420" s="574"/>
      <c r="Q420" s="574"/>
      <c r="R420" s="574"/>
      <c r="S420" s="575"/>
      <c r="T420" s="574"/>
      <c r="U420" s="574"/>
    </row>
    <row r="421">
      <c r="A421" s="574"/>
      <c r="B421" s="574"/>
      <c r="C421" s="574"/>
      <c r="D421" s="671"/>
      <c r="E421" s="574"/>
      <c r="F421" s="574"/>
      <c r="G421" s="574"/>
      <c r="H421" s="574"/>
      <c r="I421" s="672"/>
      <c r="J421" s="574"/>
      <c r="K421" s="574"/>
      <c r="L421" s="574"/>
      <c r="M421" s="673"/>
      <c r="N421" s="672"/>
      <c r="O421" s="574"/>
      <c r="P421" s="574"/>
      <c r="Q421" s="574"/>
      <c r="R421" s="574"/>
      <c r="S421" s="575"/>
      <c r="T421" s="574"/>
      <c r="U421" s="574"/>
    </row>
    <row r="422">
      <c r="A422" s="574"/>
      <c r="B422" s="574"/>
      <c r="C422" s="574"/>
      <c r="D422" s="671"/>
      <c r="E422" s="574"/>
      <c r="F422" s="574"/>
      <c r="G422" s="574"/>
      <c r="H422" s="574"/>
      <c r="I422" s="672"/>
      <c r="J422" s="574"/>
      <c r="K422" s="574"/>
      <c r="L422" s="574"/>
      <c r="M422" s="673"/>
      <c r="N422" s="672"/>
      <c r="O422" s="574"/>
      <c r="P422" s="574"/>
      <c r="Q422" s="574"/>
      <c r="R422" s="574"/>
      <c r="S422" s="575"/>
      <c r="T422" s="574"/>
      <c r="U422" s="574"/>
    </row>
    <row r="423">
      <c r="A423" s="574"/>
      <c r="B423" s="574"/>
      <c r="C423" s="574"/>
      <c r="D423" s="671"/>
      <c r="E423" s="574"/>
      <c r="F423" s="574"/>
      <c r="G423" s="574"/>
      <c r="H423" s="574"/>
      <c r="I423" s="672"/>
      <c r="J423" s="574"/>
      <c r="K423" s="574"/>
      <c r="L423" s="574"/>
      <c r="M423" s="673"/>
      <c r="N423" s="672"/>
      <c r="O423" s="574"/>
      <c r="P423" s="574"/>
      <c r="Q423" s="574"/>
      <c r="R423" s="574"/>
      <c r="S423" s="575"/>
      <c r="T423" s="574"/>
      <c r="U423" s="574"/>
    </row>
    <row r="424">
      <c r="A424" s="574"/>
      <c r="B424" s="574"/>
      <c r="C424" s="574"/>
      <c r="D424" s="671"/>
      <c r="E424" s="574"/>
      <c r="F424" s="574"/>
      <c r="G424" s="574"/>
      <c r="H424" s="574"/>
      <c r="I424" s="672"/>
      <c r="J424" s="574"/>
      <c r="K424" s="574"/>
      <c r="L424" s="574"/>
      <c r="M424" s="673"/>
      <c r="N424" s="672"/>
      <c r="O424" s="574"/>
      <c r="P424" s="574"/>
      <c r="Q424" s="574"/>
      <c r="R424" s="574"/>
      <c r="S424" s="575"/>
      <c r="T424" s="574"/>
      <c r="U424" s="574"/>
    </row>
    <row r="425">
      <c r="A425" s="574"/>
      <c r="B425" s="574"/>
      <c r="C425" s="574"/>
      <c r="D425" s="671"/>
      <c r="E425" s="574"/>
      <c r="F425" s="574"/>
      <c r="G425" s="574"/>
      <c r="H425" s="574"/>
      <c r="I425" s="672"/>
      <c r="J425" s="574"/>
      <c r="K425" s="574"/>
      <c r="L425" s="574"/>
      <c r="M425" s="673"/>
      <c r="N425" s="672"/>
      <c r="O425" s="574"/>
      <c r="P425" s="574"/>
      <c r="Q425" s="574"/>
      <c r="R425" s="574"/>
      <c r="S425" s="575"/>
      <c r="T425" s="574"/>
      <c r="U425" s="574"/>
    </row>
    <row r="426">
      <c r="A426" s="574"/>
      <c r="B426" s="574"/>
      <c r="C426" s="574"/>
      <c r="D426" s="671"/>
      <c r="E426" s="574"/>
      <c r="F426" s="574"/>
      <c r="G426" s="574"/>
      <c r="H426" s="574"/>
      <c r="I426" s="672"/>
      <c r="J426" s="574"/>
      <c r="K426" s="574"/>
      <c r="L426" s="574"/>
      <c r="M426" s="673"/>
      <c r="N426" s="672"/>
      <c r="O426" s="574"/>
      <c r="P426" s="574"/>
      <c r="Q426" s="574"/>
      <c r="R426" s="574"/>
      <c r="S426" s="575"/>
      <c r="T426" s="574"/>
      <c r="U426" s="574"/>
    </row>
    <row r="427">
      <c r="A427" s="574"/>
      <c r="B427" s="574"/>
      <c r="C427" s="574"/>
      <c r="D427" s="671"/>
      <c r="E427" s="574"/>
      <c r="F427" s="574"/>
      <c r="G427" s="574"/>
      <c r="H427" s="574"/>
      <c r="I427" s="672"/>
      <c r="J427" s="574"/>
      <c r="K427" s="574"/>
      <c r="L427" s="574"/>
      <c r="M427" s="673"/>
      <c r="N427" s="672"/>
      <c r="O427" s="574"/>
      <c r="P427" s="574"/>
      <c r="Q427" s="574"/>
      <c r="R427" s="574"/>
      <c r="S427" s="575"/>
      <c r="T427" s="574"/>
      <c r="U427" s="574"/>
    </row>
    <row r="428">
      <c r="A428" s="574"/>
      <c r="B428" s="574"/>
      <c r="C428" s="574"/>
      <c r="D428" s="671"/>
      <c r="E428" s="574"/>
      <c r="F428" s="574"/>
      <c r="G428" s="574"/>
      <c r="H428" s="574"/>
      <c r="I428" s="672"/>
      <c r="J428" s="574"/>
      <c r="K428" s="574"/>
      <c r="L428" s="574"/>
      <c r="M428" s="673"/>
      <c r="N428" s="672"/>
      <c r="O428" s="574"/>
      <c r="P428" s="574"/>
      <c r="Q428" s="574"/>
      <c r="R428" s="574"/>
      <c r="S428" s="575"/>
      <c r="T428" s="574"/>
      <c r="U428" s="574"/>
    </row>
    <row r="429">
      <c r="A429" s="574"/>
      <c r="B429" s="574"/>
      <c r="C429" s="574"/>
      <c r="D429" s="671"/>
      <c r="E429" s="574"/>
      <c r="F429" s="574"/>
      <c r="G429" s="574"/>
      <c r="H429" s="574"/>
      <c r="I429" s="672"/>
      <c r="J429" s="574"/>
      <c r="K429" s="574"/>
      <c r="L429" s="574"/>
      <c r="M429" s="673"/>
      <c r="N429" s="672"/>
      <c r="O429" s="574"/>
      <c r="P429" s="574"/>
      <c r="Q429" s="574"/>
      <c r="R429" s="574"/>
      <c r="S429" s="575"/>
      <c r="T429" s="574"/>
      <c r="U429" s="574"/>
    </row>
    <row r="430">
      <c r="A430" s="574"/>
      <c r="B430" s="574"/>
      <c r="C430" s="574"/>
      <c r="D430" s="671"/>
      <c r="E430" s="574"/>
      <c r="F430" s="574"/>
      <c r="G430" s="574"/>
      <c r="H430" s="574"/>
      <c r="I430" s="672"/>
      <c r="J430" s="574"/>
      <c r="K430" s="574"/>
      <c r="L430" s="574"/>
      <c r="M430" s="673"/>
      <c r="N430" s="672"/>
      <c r="O430" s="574"/>
      <c r="P430" s="574"/>
      <c r="Q430" s="574"/>
      <c r="R430" s="574"/>
      <c r="S430" s="575"/>
      <c r="T430" s="574"/>
      <c r="U430" s="574"/>
    </row>
    <row r="431">
      <c r="A431" s="574"/>
      <c r="B431" s="574"/>
      <c r="C431" s="574"/>
      <c r="D431" s="671"/>
      <c r="E431" s="574"/>
      <c r="F431" s="574"/>
      <c r="G431" s="574"/>
      <c r="H431" s="574"/>
      <c r="I431" s="672"/>
      <c r="J431" s="574"/>
      <c r="K431" s="574"/>
      <c r="L431" s="574"/>
      <c r="M431" s="673"/>
      <c r="N431" s="672"/>
      <c r="O431" s="574"/>
      <c r="P431" s="574"/>
      <c r="Q431" s="574"/>
      <c r="R431" s="574"/>
      <c r="S431" s="575"/>
      <c r="T431" s="574"/>
      <c r="U431" s="574"/>
    </row>
    <row r="432">
      <c r="A432" s="574"/>
      <c r="B432" s="574"/>
      <c r="C432" s="574"/>
      <c r="D432" s="671"/>
      <c r="E432" s="574"/>
      <c r="F432" s="574"/>
      <c r="G432" s="574"/>
      <c r="H432" s="574"/>
      <c r="I432" s="672"/>
      <c r="J432" s="574"/>
      <c r="K432" s="574"/>
      <c r="L432" s="574"/>
      <c r="M432" s="673"/>
      <c r="N432" s="672"/>
      <c r="O432" s="574"/>
      <c r="P432" s="574"/>
      <c r="Q432" s="574"/>
      <c r="R432" s="574"/>
      <c r="S432" s="575"/>
      <c r="T432" s="574"/>
      <c r="U432" s="574"/>
    </row>
    <row r="433">
      <c r="A433" s="574"/>
      <c r="B433" s="574"/>
      <c r="C433" s="574"/>
      <c r="D433" s="671"/>
      <c r="E433" s="574"/>
      <c r="F433" s="574"/>
      <c r="G433" s="574"/>
      <c r="H433" s="574"/>
      <c r="I433" s="672"/>
      <c r="J433" s="574"/>
      <c r="K433" s="574"/>
      <c r="L433" s="574"/>
      <c r="M433" s="673"/>
      <c r="N433" s="672"/>
      <c r="O433" s="574"/>
      <c r="P433" s="574"/>
      <c r="Q433" s="574"/>
      <c r="R433" s="574"/>
      <c r="S433" s="575"/>
      <c r="T433" s="574"/>
      <c r="U433" s="574"/>
    </row>
    <row r="434">
      <c r="A434" s="574"/>
      <c r="B434" s="574"/>
      <c r="C434" s="574"/>
      <c r="D434" s="671"/>
      <c r="E434" s="574"/>
      <c r="F434" s="574"/>
      <c r="G434" s="574"/>
      <c r="H434" s="574"/>
      <c r="I434" s="672"/>
      <c r="J434" s="574"/>
      <c r="K434" s="574"/>
      <c r="L434" s="574"/>
      <c r="M434" s="673"/>
      <c r="N434" s="672"/>
      <c r="O434" s="574"/>
      <c r="P434" s="574"/>
      <c r="Q434" s="574"/>
      <c r="R434" s="574"/>
      <c r="S434" s="575"/>
      <c r="T434" s="574"/>
      <c r="U434" s="574"/>
    </row>
    <row r="435">
      <c r="A435" s="574"/>
      <c r="B435" s="574"/>
      <c r="C435" s="574"/>
      <c r="D435" s="671"/>
      <c r="E435" s="574"/>
      <c r="F435" s="574"/>
      <c r="G435" s="574"/>
      <c r="H435" s="574"/>
      <c r="I435" s="672"/>
      <c r="J435" s="574"/>
      <c r="K435" s="574"/>
      <c r="L435" s="574"/>
      <c r="M435" s="673"/>
      <c r="N435" s="672"/>
      <c r="O435" s="574"/>
      <c r="P435" s="574"/>
      <c r="Q435" s="574"/>
      <c r="R435" s="574"/>
      <c r="S435" s="575"/>
      <c r="T435" s="574"/>
      <c r="U435" s="574"/>
    </row>
    <row r="436">
      <c r="A436" s="574"/>
      <c r="B436" s="574"/>
      <c r="C436" s="574"/>
      <c r="D436" s="671"/>
      <c r="E436" s="574"/>
      <c r="F436" s="574"/>
      <c r="G436" s="574"/>
      <c r="H436" s="574"/>
      <c r="I436" s="672"/>
      <c r="J436" s="574"/>
      <c r="K436" s="574"/>
      <c r="L436" s="574"/>
      <c r="M436" s="673"/>
      <c r="N436" s="672"/>
      <c r="O436" s="574"/>
      <c r="P436" s="574"/>
      <c r="Q436" s="574"/>
      <c r="R436" s="574"/>
      <c r="S436" s="575"/>
      <c r="T436" s="574"/>
      <c r="U436" s="574"/>
    </row>
    <row r="437">
      <c r="A437" s="574"/>
      <c r="B437" s="574"/>
      <c r="C437" s="574"/>
      <c r="D437" s="671"/>
      <c r="E437" s="574"/>
      <c r="F437" s="574"/>
      <c r="G437" s="574"/>
      <c r="H437" s="574"/>
      <c r="I437" s="672"/>
      <c r="J437" s="574"/>
      <c r="K437" s="574"/>
      <c r="L437" s="574"/>
      <c r="M437" s="673"/>
      <c r="N437" s="672"/>
      <c r="O437" s="574"/>
      <c r="P437" s="574"/>
      <c r="Q437" s="574"/>
      <c r="R437" s="574"/>
      <c r="S437" s="575"/>
      <c r="T437" s="574"/>
      <c r="U437" s="574"/>
    </row>
    <row r="438">
      <c r="A438" s="574"/>
      <c r="B438" s="574"/>
      <c r="C438" s="574"/>
      <c r="D438" s="671"/>
      <c r="E438" s="574"/>
      <c r="F438" s="574"/>
      <c r="G438" s="574"/>
      <c r="H438" s="574"/>
      <c r="I438" s="672"/>
      <c r="J438" s="574"/>
      <c r="K438" s="574"/>
      <c r="L438" s="574"/>
      <c r="M438" s="673"/>
      <c r="N438" s="672"/>
      <c r="O438" s="574"/>
      <c r="P438" s="574"/>
      <c r="Q438" s="574"/>
      <c r="R438" s="574"/>
      <c r="S438" s="575"/>
      <c r="T438" s="574"/>
      <c r="U438" s="574"/>
    </row>
    <row r="439">
      <c r="A439" s="574"/>
      <c r="B439" s="574"/>
      <c r="C439" s="574"/>
      <c r="D439" s="671"/>
      <c r="E439" s="574"/>
      <c r="F439" s="574"/>
      <c r="G439" s="574"/>
      <c r="H439" s="574"/>
      <c r="I439" s="672"/>
      <c r="J439" s="574"/>
      <c r="K439" s="574"/>
      <c r="L439" s="574"/>
      <c r="M439" s="673"/>
      <c r="N439" s="672"/>
      <c r="O439" s="574"/>
      <c r="P439" s="574"/>
      <c r="Q439" s="574"/>
      <c r="R439" s="574"/>
      <c r="S439" s="575"/>
      <c r="T439" s="574"/>
      <c r="U439" s="574"/>
    </row>
    <row r="440">
      <c r="A440" s="574"/>
      <c r="B440" s="574"/>
      <c r="C440" s="574"/>
      <c r="D440" s="671"/>
      <c r="E440" s="574"/>
      <c r="F440" s="574"/>
      <c r="G440" s="574"/>
      <c r="H440" s="574"/>
      <c r="I440" s="672"/>
      <c r="J440" s="574"/>
      <c r="K440" s="574"/>
      <c r="L440" s="574"/>
      <c r="M440" s="673"/>
      <c r="N440" s="672"/>
      <c r="O440" s="574"/>
      <c r="P440" s="574"/>
      <c r="Q440" s="574"/>
      <c r="R440" s="574"/>
      <c r="S440" s="575"/>
      <c r="T440" s="574"/>
      <c r="U440" s="574"/>
    </row>
    <row r="441">
      <c r="A441" s="574"/>
      <c r="B441" s="574"/>
      <c r="C441" s="574"/>
      <c r="D441" s="671"/>
      <c r="E441" s="574"/>
      <c r="F441" s="574"/>
      <c r="G441" s="574"/>
      <c r="H441" s="574"/>
      <c r="I441" s="672"/>
      <c r="J441" s="574"/>
      <c r="K441" s="574"/>
      <c r="L441" s="574"/>
      <c r="M441" s="673"/>
      <c r="N441" s="672"/>
      <c r="O441" s="574"/>
      <c r="P441" s="574"/>
      <c r="Q441" s="574"/>
      <c r="R441" s="574"/>
      <c r="S441" s="575"/>
      <c r="T441" s="574"/>
      <c r="U441" s="574"/>
    </row>
    <row r="442">
      <c r="A442" s="574"/>
      <c r="B442" s="574"/>
      <c r="C442" s="574"/>
      <c r="D442" s="671"/>
      <c r="E442" s="574"/>
      <c r="F442" s="574"/>
      <c r="G442" s="574"/>
      <c r="H442" s="574"/>
      <c r="I442" s="672"/>
      <c r="J442" s="574"/>
      <c r="K442" s="574"/>
      <c r="L442" s="574"/>
      <c r="M442" s="673"/>
      <c r="N442" s="672"/>
      <c r="O442" s="574"/>
      <c r="P442" s="574"/>
      <c r="Q442" s="574"/>
      <c r="R442" s="574"/>
      <c r="S442" s="575"/>
      <c r="T442" s="574"/>
      <c r="U442" s="574"/>
    </row>
    <row r="443">
      <c r="A443" s="574"/>
      <c r="B443" s="574"/>
      <c r="C443" s="574"/>
      <c r="D443" s="671"/>
      <c r="E443" s="574"/>
      <c r="F443" s="574"/>
      <c r="G443" s="574"/>
      <c r="H443" s="574"/>
      <c r="I443" s="672"/>
      <c r="J443" s="574"/>
      <c r="K443" s="574"/>
      <c r="L443" s="574"/>
      <c r="M443" s="673"/>
      <c r="N443" s="672"/>
      <c r="O443" s="574"/>
      <c r="P443" s="574"/>
      <c r="Q443" s="574"/>
      <c r="R443" s="574"/>
      <c r="S443" s="575"/>
      <c r="T443" s="574"/>
      <c r="U443" s="574"/>
    </row>
    <row r="444">
      <c r="A444" s="574"/>
      <c r="B444" s="574"/>
      <c r="C444" s="574"/>
      <c r="D444" s="671"/>
      <c r="E444" s="574"/>
      <c r="F444" s="574"/>
      <c r="G444" s="574"/>
      <c r="H444" s="574"/>
      <c r="I444" s="672"/>
      <c r="J444" s="574"/>
      <c r="K444" s="574"/>
      <c r="L444" s="574"/>
      <c r="M444" s="673"/>
      <c r="N444" s="672"/>
      <c r="O444" s="574"/>
      <c r="P444" s="574"/>
      <c r="Q444" s="574"/>
      <c r="R444" s="574"/>
      <c r="S444" s="575"/>
      <c r="T444" s="574"/>
      <c r="U444" s="574"/>
    </row>
    <row r="445">
      <c r="A445" s="574"/>
      <c r="B445" s="574"/>
      <c r="C445" s="574"/>
      <c r="D445" s="671"/>
      <c r="E445" s="574"/>
      <c r="F445" s="574"/>
      <c r="G445" s="574"/>
      <c r="H445" s="574"/>
      <c r="I445" s="672"/>
      <c r="J445" s="574"/>
      <c r="K445" s="574"/>
      <c r="L445" s="574"/>
      <c r="M445" s="673"/>
      <c r="N445" s="672"/>
      <c r="O445" s="574"/>
      <c r="P445" s="574"/>
      <c r="Q445" s="574"/>
      <c r="R445" s="574"/>
      <c r="S445" s="575"/>
      <c r="T445" s="574"/>
      <c r="U445" s="574"/>
    </row>
    <row r="446">
      <c r="A446" s="574"/>
      <c r="B446" s="574"/>
      <c r="C446" s="574"/>
      <c r="D446" s="671"/>
      <c r="E446" s="574"/>
      <c r="F446" s="574"/>
      <c r="G446" s="574"/>
      <c r="H446" s="574"/>
      <c r="I446" s="672"/>
      <c r="J446" s="574"/>
      <c r="K446" s="574"/>
      <c r="L446" s="574"/>
      <c r="M446" s="673"/>
      <c r="N446" s="672"/>
      <c r="O446" s="574"/>
      <c r="P446" s="574"/>
      <c r="Q446" s="574"/>
      <c r="R446" s="574"/>
      <c r="S446" s="575"/>
      <c r="T446" s="574"/>
      <c r="U446" s="574"/>
    </row>
    <row r="447">
      <c r="A447" s="574"/>
      <c r="B447" s="574"/>
      <c r="C447" s="574"/>
      <c r="D447" s="671"/>
      <c r="E447" s="574"/>
      <c r="F447" s="574"/>
      <c r="G447" s="574"/>
      <c r="H447" s="574"/>
      <c r="I447" s="672"/>
      <c r="J447" s="574"/>
      <c r="K447" s="574"/>
      <c r="L447" s="574"/>
      <c r="M447" s="673"/>
      <c r="N447" s="672"/>
      <c r="O447" s="574"/>
      <c r="P447" s="574"/>
      <c r="Q447" s="574"/>
      <c r="R447" s="574"/>
      <c r="S447" s="575"/>
      <c r="T447" s="574"/>
      <c r="U447" s="574"/>
    </row>
    <row r="448">
      <c r="A448" s="574"/>
      <c r="B448" s="574"/>
      <c r="C448" s="574"/>
      <c r="D448" s="671"/>
      <c r="E448" s="574"/>
      <c r="F448" s="574"/>
      <c r="G448" s="574"/>
      <c r="H448" s="574"/>
      <c r="I448" s="672"/>
      <c r="J448" s="574"/>
      <c r="K448" s="574"/>
      <c r="L448" s="574"/>
      <c r="M448" s="673"/>
      <c r="N448" s="672"/>
      <c r="O448" s="574"/>
      <c r="P448" s="574"/>
      <c r="Q448" s="574"/>
      <c r="R448" s="574"/>
      <c r="S448" s="575"/>
      <c r="T448" s="574"/>
      <c r="U448" s="574"/>
    </row>
    <row r="449">
      <c r="A449" s="574"/>
      <c r="B449" s="574"/>
      <c r="C449" s="574"/>
      <c r="D449" s="671"/>
      <c r="E449" s="574"/>
      <c r="F449" s="574"/>
      <c r="G449" s="574"/>
      <c r="H449" s="574"/>
      <c r="I449" s="672"/>
      <c r="J449" s="574"/>
      <c r="K449" s="574"/>
      <c r="L449" s="574"/>
      <c r="M449" s="673"/>
      <c r="N449" s="672"/>
      <c r="O449" s="574"/>
      <c r="P449" s="574"/>
      <c r="Q449" s="574"/>
      <c r="R449" s="574"/>
      <c r="S449" s="575"/>
      <c r="T449" s="574"/>
      <c r="U449" s="574"/>
    </row>
    <row r="450">
      <c r="A450" s="574"/>
      <c r="B450" s="574"/>
      <c r="C450" s="574"/>
      <c r="D450" s="671"/>
      <c r="E450" s="574"/>
      <c r="F450" s="574"/>
      <c r="G450" s="574"/>
      <c r="H450" s="574"/>
      <c r="I450" s="672"/>
      <c r="J450" s="574"/>
      <c r="K450" s="574"/>
      <c r="L450" s="574"/>
      <c r="M450" s="673"/>
      <c r="N450" s="672"/>
      <c r="O450" s="574"/>
      <c r="P450" s="574"/>
      <c r="Q450" s="574"/>
      <c r="R450" s="574"/>
      <c r="S450" s="575"/>
      <c r="T450" s="574"/>
      <c r="U450" s="574"/>
    </row>
    <row r="451">
      <c r="A451" s="574"/>
      <c r="B451" s="574"/>
      <c r="C451" s="574"/>
      <c r="D451" s="671"/>
      <c r="E451" s="574"/>
      <c r="F451" s="574"/>
      <c r="G451" s="574"/>
      <c r="H451" s="574"/>
      <c r="I451" s="672"/>
      <c r="J451" s="574"/>
      <c r="K451" s="574"/>
      <c r="L451" s="574"/>
      <c r="M451" s="673"/>
      <c r="N451" s="672"/>
      <c r="O451" s="574"/>
      <c r="P451" s="574"/>
      <c r="Q451" s="574"/>
      <c r="R451" s="574"/>
      <c r="S451" s="575"/>
      <c r="T451" s="574"/>
      <c r="U451" s="574"/>
    </row>
    <row r="452">
      <c r="A452" s="574"/>
      <c r="B452" s="574"/>
      <c r="C452" s="574"/>
      <c r="D452" s="671"/>
      <c r="E452" s="574"/>
      <c r="F452" s="574"/>
      <c r="G452" s="574"/>
      <c r="H452" s="574"/>
      <c r="I452" s="672"/>
      <c r="J452" s="574"/>
      <c r="K452" s="574"/>
      <c r="L452" s="574"/>
      <c r="M452" s="673"/>
      <c r="N452" s="672"/>
      <c r="O452" s="574"/>
      <c r="P452" s="574"/>
      <c r="Q452" s="574"/>
      <c r="R452" s="574"/>
      <c r="S452" s="575"/>
      <c r="T452" s="574"/>
      <c r="U452" s="574"/>
    </row>
    <row r="453">
      <c r="A453" s="574"/>
      <c r="B453" s="574"/>
      <c r="C453" s="574"/>
      <c r="D453" s="671"/>
      <c r="E453" s="574"/>
      <c r="F453" s="574"/>
      <c r="G453" s="574"/>
      <c r="H453" s="574"/>
      <c r="I453" s="672"/>
      <c r="J453" s="574"/>
      <c r="K453" s="574"/>
      <c r="L453" s="574"/>
      <c r="M453" s="673"/>
      <c r="N453" s="672"/>
      <c r="O453" s="574"/>
      <c r="P453" s="574"/>
      <c r="Q453" s="574"/>
      <c r="R453" s="574"/>
      <c r="S453" s="575"/>
      <c r="T453" s="574"/>
      <c r="U453" s="574"/>
    </row>
    <row r="454">
      <c r="A454" s="574"/>
      <c r="B454" s="574"/>
      <c r="C454" s="574"/>
      <c r="D454" s="671"/>
      <c r="E454" s="574"/>
      <c r="F454" s="574"/>
      <c r="G454" s="574"/>
      <c r="H454" s="574"/>
      <c r="I454" s="672"/>
      <c r="J454" s="574"/>
      <c r="K454" s="574"/>
      <c r="L454" s="574"/>
      <c r="M454" s="673"/>
      <c r="N454" s="672"/>
      <c r="O454" s="574"/>
      <c r="P454" s="574"/>
      <c r="Q454" s="574"/>
      <c r="R454" s="574"/>
      <c r="S454" s="575"/>
      <c r="T454" s="574"/>
      <c r="U454" s="574"/>
    </row>
    <row r="455">
      <c r="A455" s="574"/>
      <c r="B455" s="574"/>
      <c r="C455" s="574"/>
      <c r="D455" s="671"/>
      <c r="E455" s="574"/>
      <c r="F455" s="574"/>
      <c r="G455" s="574"/>
      <c r="H455" s="574"/>
      <c r="I455" s="672"/>
      <c r="J455" s="574"/>
      <c r="K455" s="574"/>
      <c r="L455" s="574"/>
      <c r="M455" s="673"/>
      <c r="N455" s="672"/>
      <c r="O455" s="574"/>
      <c r="P455" s="574"/>
      <c r="Q455" s="574"/>
      <c r="R455" s="574"/>
      <c r="S455" s="575"/>
      <c r="T455" s="574"/>
      <c r="U455" s="574"/>
    </row>
    <row r="456">
      <c r="A456" s="574"/>
      <c r="B456" s="574"/>
      <c r="C456" s="574"/>
      <c r="D456" s="671"/>
      <c r="E456" s="574"/>
      <c r="F456" s="574"/>
      <c r="G456" s="574"/>
      <c r="H456" s="574"/>
      <c r="I456" s="672"/>
      <c r="J456" s="574"/>
      <c r="K456" s="574"/>
      <c r="L456" s="574"/>
      <c r="M456" s="673"/>
      <c r="N456" s="672"/>
      <c r="O456" s="574"/>
      <c r="P456" s="574"/>
      <c r="Q456" s="574"/>
      <c r="R456" s="574"/>
      <c r="S456" s="575"/>
      <c r="T456" s="574"/>
      <c r="U456" s="574"/>
    </row>
    <row r="457">
      <c r="A457" s="574"/>
      <c r="B457" s="574"/>
      <c r="C457" s="574"/>
      <c r="D457" s="671"/>
      <c r="E457" s="574"/>
      <c r="F457" s="574"/>
      <c r="G457" s="574"/>
      <c r="H457" s="574"/>
      <c r="I457" s="672"/>
      <c r="J457" s="574"/>
      <c r="K457" s="574"/>
      <c r="L457" s="574"/>
      <c r="M457" s="673"/>
      <c r="N457" s="672"/>
      <c r="O457" s="574"/>
      <c r="P457" s="574"/>
      <c r="Q457" s="574"/>
      <c r="R457" s="574"/>
      <c r="S457" s="575"/>
      <c r="T457" s="574"/>
      <c r="U457" s="574"/>
    </row>
    <row r="458">
      <c r="A458" s="574"/>
      <c r="B458" s="574"/>
      <c r="C458" s="574"/>
      <c r="D458" s="671"/>
      <c r="E458" s="574"/>
      <c r="F458" s="574"/>
      <c r="G458" s="574"/>
      <c r="H458" s="574"/>
      <c r="I458" s="672"/>
      <c r="J458" s="574"/>
      <c r="K458" s="574"/>
      <c r="L458" s="574"/>
      <c r="M458" s="673"/>
      <c r="N458" s="672"/>
      <c r="O458" s="574"/>
      <c r="P458" s="574"/>
      <c r="Q458" s="574"/>
      <c r="R458" s="574"/>
      <c r="S458" s="575"/>
      <c r="T458" s="574"/>
      <c r="U458" s="574"/>
    </row>
    <row r="459">
      <c r="A459" s="574"/>
      <c r="B459" s="574"/>
      <c r="C459" s="574"/>
      <c r="D459" s="671"/>
      <c r="E459" s="574"/>
      <c r="F459" s="574"/>
      <c r="G459" s="574"/>
      <c r="H459" s="574"/>
      <c r="I459" s="672"/>
      <c r="J459" s="574"/>
      <c r="K459" s="574"/>
      <c r="L459" s="574"/>
      <c r="M459" s="673"/>
      <c r="N459" s="672"/>
      <c r="O459" s="574"/>
      <c r="P459" s="574"/>
      <c r="Q459" s="574"/>
      <c r="R459" s="574"/>
      <c r="S459" s="575"/>
      <c r="T459" s="574"/>
      <c r="U459" s="574"/>
    </row>
    <row r="460">
      <c r="A460" s="574"/>
      <c r="B460" s="574"/>
      <c r="C460" s="574"/>
      <c r="D460" s="671"/>
      <c r="E460" s="574"/>
      <c r="F460" s="574"/>
      <c r="G460" s="574"/>
      <c r="H460" s="574"/>
      <c r="I460" s="672"/>
      <c r="J460" s="574"/>
      <c r="K460" s="574"/>
      <c r="L460" s="574"/>
      <c r="M460" s="673"/>
      <c r="N460" s="672"/>
      <c r="O460" s="574"/>
      <c r="P460" s="574"/>
      <c r="Q460" s="574"/>
      <c r="R460" s="574"/>
      <c r="S460" s="575"/>
      <c r="T460" s="574"/>
      <c r="U460" s="574"/>
    </row>
    <row r="461">
      <c r="A461" s="574"/>
      <c r="B461" s="574"/>
      <c r="C461" s="574"/>
      <c r="D461" s="671"/>
      <c r="E461" s="574"/>
      <c r="F461" s="574"/>
      <c r="G461" s="574"/>
      <c r="H461" s="574"/>
      <c r="I461" s="672"/>
      <c r="J461" s="574"/>
      <c r="K461" s="574"/>
      <c r="L461" s="574"/>
      <c r="M461" s="673"/>
      <c r="N461" s="672"/>
      <c r="O461" s="574"/>
      <c r="P461" s="574"/>
      <c r="Q461" s="574"/>
      <c r="R461" s="574"/>
      <c r="S461" s="575"/>
      <c r="T461" s="574"/>
      <c r="U461" s="574"/>
    </row>
    <row r="462">
      <c r="A462" s="574"/>
      <c r="B462" s="574"/>
      <c r="C462" s="574"/>
      <c r="D462" s="671"/>
      <c r="E462" s="574"/>
      <c r="F462" s="574"/>
      <c r="G462" s="574"/>
      <c r="H462" s="574"/>
      <c r="I462" s="672"/>
      <c r="J462" s="574"/>
      <c r="K462" s="574"/>
      <c r="L462" s="574"/>
      <c r="M462" s="673"/>
      <c r="N462" s="672"/>
      <c r="O462" s="574"/>
      <c r="P462" s="574"/>
      <c r="Q462" s="574"/>
      <c r="R462" s="574"/>
      <c r="S462" s="575"/>
      <c r="T462" s="574"/>
      <c r="U462" s="574"/>
    </row>
    <row r="463">
      <c r="A463" s="574"/>
      <c r="B463" s="574"/>
      <c r="C463" s="574"/>
      <c r="D463" s="671"/>
      <c r="E463" s="574"/>
      <c r="F463" s="574"/>
      <c r="G463" s="574"/>
      <c r="H463" s="574"/>
      <c r="I463" s="672"/>
      <c r="J463" s="574"/>
      <c r="K463" s="574"/>
      <c r="L463" s="574"/>
      <c r="M463" s="673"/>
      <c r="N463" s="672"/>
      <c r="O463" s="574"/>
      <c r="P463" s="574"/>
      <c r="Q463" s="574"/>
      <c r="R463" s="574"/>
      <c r="S463" s="575"/>
      <c r="T463" s="574"/>
      <c r="U463" s="574"/>
    </row>
    <row r="464">
      <c r="A464" s="574"/>
      <c r="B464" s="574"/>
      <c r="C464" s="574"/>
      <c r="D464" s="671"/>
      <c r="E464" s="574"/>
      <c r="F464" s="574"/>
      <c r="G464" s="574"/>
      <c r="H464" s="574"/>
      <c r="I464" s="672"/>
      <c r="J464" s="574"/>
      <c r="K464" s="574"/>
      <c r="L464" s="574"/>
      <c r="M464" s="673"/>
      <c r="N464" s="672"/>
      <c r="O464" s="574"/>
      <c r="P464" s="574"/>
      <c r="Q464" s="574"/>
      <c r="R464" s="574"/>
      <c r="S464" s="575"/>
      <c r="T464" s="574"/>
      <c r="U464" s="574"/>
    </row>
    <row r="465">
      <c r="A465" s="574"/>
      <c r="B465" s="574"/>
      <c r="C465" s="574"/>
      <c r="D465" s="671"/>
      <c r="E465" s="574"/>
      <c r="F465" s="574"/>
      <c r="G465" s="574"/>
      <c r="H465" s="574"/>
      <c r="I465" s="672"/>
      <c r="J465" s="574"/>
      <c r="K465" s="574"/>
      <c r="L465" s="574"/>
      <c r="M465" s="673"/>
      <c r="N465" s="672"/>
      <c r="O465" s="574"/>
      <c r="P465" s="574"/>
      <c r="Q465" s="574"/>
      <c r="R465" s="574"/>
      <c r="S465" s="575"/>
      <c r="T465" s="574"/>
      <c r="U465" s="574"/>
    </row>
    <row r="466">
      <c r="A466" s="574"/>
      <c r="B466" s="574"/>
      <c r="C466" s="574"/>
      <c r="D466" s="671"/>
      <c r="E466" s="574"/>
      <c r="F466" s="574"/>
      <c r="G466" s="574"/>
      <c r="H466" s="574"/>
      <c r="I466" s="672"/>
      <c r="J466" s="574"/>
      <c r="K466" s="574"/>
      <c r="L466" s="574"/>
      <c r="M466" s="673"/>
      <c r="N466" s="672"/>
      <c r="O466" s="574"/>
      <c r="P466" s="574"/>
      <c r="Q466" s="574"/>
      <c r="R466" s="574"/>
      <c r="S466" s="575"/>
      <c r="T466" s="574"/>
      <c r="U466" s="574"/>
    </row>
    <row r="467">
      <c r="A467" s="574"/>
      <c r="B467" s="574"/>
      <c r="C467" s="574"/>
      <c r="D467" s="671"/>
      <c r="E467" s="574"/>
      <c r="F467" s="574"/>
      <c r="G467" s="574"/>
      <c r="H467" s="574"/>
      <c r="I467" s="672"/>
      <c r="J467" s="574"/>
      <c r="K467" s="574"/>
      <c r="L467" s="574"/>
      <c r="M467" s="673"/>
      <c r="N467" s="672"/>
      <c r="O467" s="574"/>
      <c r="P467" s="574"/>
      <c r="Q467" s="574"/>
      <c r="R467" s="574"/>
      <c r="S467" s="575"/>
      <c r="T467" s="574"/>
      <c r="U467" s="574"/>
    </row>
    <row r="468">
      <c r="A468" s="574"/>
      <c r="B468" s="574"/>
      <c r="C468" s="574"/>
      <c r="D468" s="671"/>
      <c r="E468" s="574"/>
      <c r="F468" s="574"/>
      <c r="G468" s="574"/>
      <c r="H468" s="574"/>
      <c r="I468" s="672"/>
      <c r="J468" s="574"/>
      <c r="K468" s="574"/>
      <c r="L468" s="574"/>
      <c r="M468" s="673"/>
      <c r="N468" s="672"/>
      <c r="O468" s="574"/>
      <c r="P468" s="574"/>
      <c r="Q468" s="574"/>
      <c r="R468" s="574"/>
      <c r="S468" s="575"/>
      <c r="T468" s="574"/>
      <c r="U468" s="574"/>
    </row>
    <row r="469">
      <c r="A469" s="574"/>
      <c r="B469" s="574"/>
      <c r="C469" s="574"/>
      <c r="D469" s="671"/>
      <c r="E469" s="574"/>
      <c r="F469" s="574"/>
      <c r="G469" s="574"/>
      <c r="H469" s="574"/>
      <c r="I469" s="672"/>
      <c r="J469" s="574"/>
      <c r="K469" s="574"/>
      <c r="L469" s="574"/>
      <c r="M469" s="673"/>
      <c r="N469" s="672"/>
      <c r="O469" s="574"/>
      <c r="P469" s="574"/>
      <c r="Q469" s="574"/>
      <c r="R469" s="574"/>
      <c r="S469" s="575"/>
      <c r="T469" s="574"/>
      <c r="U469" s="574"/>
    </row>
    <row r="470">
      <c r="A470" s="574"/>
      <c r="B470" s="574"/>
      <c r="C470" s="574"/>
      <c r="D470" s="671"/>
      <c r="E470" s="574"/>
      <c r="F470" s="574"/>
      <c r="G470" s="574"/>
      <c r="H470" s="574"/>
      <c r="I470" s="672"/>
      <c r="J470" s="574"/>
      <c r="K470" s="574"/>
      <c r="L470" s="574"/>
      <c r="M470" s="673"/>
      <c r="N470" s="672"/>
      <c r="O470" s="574"/>
      <c r="P470" s="574"/>
      <c r="Q470" s="574"/>
      <c r="R470" s="574"/>
      <c r="S470" s="575"/>
      <c r="T470" s="574"/>
      <c r="U470" s="574"/>
    </row>
    <row r="471">
      <c r="A471" s="574"/>
      <c r="B471" s="574"/>
      <c r="C471" s="574"/>
      <c r="D471" s="671"/>
      <c r="E471" s="574"/>
      <c r="F471" s="574"/>
      <c r="G471" s="574"/>
      <c r="H471" s="574"/>
      <c r="I471" s="672"/>
      <c r="J471" s="574"/>
      <c r="K471" s="574"/>
      <c r="L471" s="574"/>
      <c r="M471" s="673"/>
      <c r="N471" s="672"/>
      <c r="O471" s="574"/>
      <c r="P471" s="574"/>
      <c r="Q471" s="574"/>
      <c r="R471" s="574"/>
      <c r="S471" s="575"/>
      <c r="T471" s="574"/>
      <c r="U471" s="574"/>
    </row>
    <row r="472">
      <c r="A472" s="574"/>
      <c r="B472" s="574"/>
      <c r="C472" s="574"/>
      <c r="D472" s="671"/>
      <c r="E472" s="574"/>
      <c r="F472" s="574"/>
      <c r="G472" s="574"/>
      <c r="H472" s="574"/>
      <c r="I472" s="672"/>
      <c r="J472" s="574"/>
      <c r="K472" s="574"/>
      <c r="L472" s="574"/>
      <c r="M472" s="673"/>
      <c r="N472" s="672"/>
      <c r="O472" s="574"/>
      <c r="P472" s="574"/>
      <c r="Q472" s="574"/>
      <c r="R472" s="574"/>
      <c r="S472" s="575"/>
      <c r="T472" s="574"/>
      <c r="U472" s="574"/>
    </row>
    <row r="473">
      <c r="A473" s="574"/>
      <c r="B473" s="574"/>
      <c r="C473" s="574"/>
      <c r="D473" s="671"/>
      <c r="E473" s="574"/>
      <c r="F473" s="574"/>
      <c r="G473" s="574"/>
      <c r="H473" s="574"/>
      <c r="I473" s="672"/>
      <c r="J473" s="574"/>
      <c r="K473" s="574"/>
      <c r="L473" s="574"/>
      <c r="M473" s="673"/>
      <c r="N473" s="672"/>
      <c r="O473" s="574"/>
      <c r="P473" s="574"/>
      <c r="Q473" s="574"/>
      <c r="R473" s="574"/>
      <c r="S473" s="575"/>
      <c r="T473" s="574"/>
      <c r="U473" s="574"/>
    </row>
    <row r="474">
      <c r="A474" s="574"/>
      <c r="B474" s="574"/>
      <c r="C474" s="574"/>
      <c r="D474" s="671"/>
      <c r="E474" s="574"/>
      <c r="F474" s="574"/>
      <c r="G474" s="574"/>
      <c r="H474" s="574"/>
      <c r="I474" s="672"/>
      <c r="J474" s="574"/>
      <c r="K474" s="574"/>
      <c r="L474" s="574"/>
      <c r="M474" s="673"/>
      <c r="N474" s="672"/>
      <c r="O474" s="574"/>
      <c r="P474" s="574"/>
      <c r="Q474" s="574"/>
      <c r="R474" s="574"/>
      <c r="S474" s="575"/>
      <c r="T474" s="574"/>
      <c r="U474" s="574"/>
    </row>
    <row r="475">
      <c r="A475" s="574"/>
      <c r="B475" s="574"/>
      <c r="C475" s="574"/>
      <c r="D475" s="671"/>
      <c r="E475" s="574"/>
      <c r="F475" s="574"/>
      <c r="G475" s="574"/>
      <c r="H475" s="574"/>
      <c r="I475" s="672"/>
      <c r="J475" s="574"/>
      <c r="K475" s="574"/>
      <c r="L475" s="574"/>
      <c r="M475" s="673"/>
      <c r="N475" s="672"/>
      <c r="O475" s="574"/>
      <c r="P475" s="574"/>
      <c r="Q475" s="574"/>
      <c r="R475" s="574"/>
      <c r="S475" s="575"/>
      <c r="T475" s="574"/>
      <c r="U475" s="574"/>
    </row>
    <row r="476">
      <c r="A476" s="574"/>
      <c r="B476" s="574"/>
      <c r="C476" s="574"/>
      <c r="D476" s="671"/>
      <c r="E476" s="574"/>
      <c r="F476" s="574"/>
      <c r="G476" s="574"/>
      <c r="H476" s="574"/>
      <c r="I476" s="672"/>
      <c r="J476" s="574"/>
      <c r="K476" s="574"/>
      <c r="L476" s="574"/>
      <c r="M476" s="673"/>
      <c r="N476" s="672"/>
      <c r="O476" s="574"/>
      <c r="P476" s="574"/>
      <c r="Q476" s="574"/>
      <c r="R476" s="574"/>
      <c r="S476" s="575"/>
      <c r="T476" s="574"/>
      <c r="U476" s="574"/>
    </row>
    <row r="477">
      <c r="A477" s="574"/>
      <c r="B477" s="574"/>
      <c r="C477" s="574"/>
      <c r="D477" s="671"/>
      <c r="E477" s="574"/>
      <c r="F477" s="574"/>
      <c r="G477" s="574"/>
      <c r="H477" s="574"/>
      <c r="I477" s="672"/>
      <c r="J477" s="574"/>
      <c r="K477" s="574"/>
      <c r="L477" s="574"/>
      <c r="M477" s="673"/>
      <c r="N477" s="672"/>
      <c r="O477" s="574"/>
      <c r="P477" s="574"/>
      <c r="Q477" s="574"/>
      <c r="R477" s="574"/>
      <c r="S477" s="575"/>
      <c r="T477" s="574"/>
      <c r="U477" s="574"/>
    </row>
    <row r="478">
      <c r="A478" s="574"/>
      <c r="B478" s="574"/>
      <c r="C478" s="574"/>
      <c r="D478" s="671"/>
      <c r="E478" s="574"/>
      <c r="F478" s="574"/>
      <c r="G478" s="574"/>
      <c r="H478" s="574"/>
      <c r="I478" s="672"/>
      <c r="J478" s="574"/>
      <c r="K478" s="574"/>
      <c r="L478" s="574"/>
      <c r="M478" s="673"/>
      <c r="N478" s="672"/>
      <c r="O478" s="574"/>
      <c r="P478" s="574"/>
      <c r="Q478" s="574"/>
      <c r="R478" s="574"/>
      <c r="S478" s="575"/>
      <c r="T478" s="574"/>
      <c r="U478" s="574"/>
    </row>
    <row r="479">
      <c r="A479" s="574"/>
      <c r="B479" s="574"/>
      <c r="C479" s="574"/>
      <c r="D479" s="671"/>
      <c r="E479" s="574"/>
      <c r="F479" s="574"/>
      <c r="G479" s="574"/>
      <c r="H479" s="574"/>
      <c r="I479" s="672"/>
      <c r="J479" s="574"/>
      <c r="K479" s="574"/>
      <c r="L479" s="574"/>
      <c r="M479" s="673"/>
      <c r="N479" s="672"/>
      <c r="O479" s="574"/>
      <c r="P479" s="574"/>
      <c r="Q479" s="574"/>
      <c r="R479" s="574"/>
      <c r="S479" s="575"/>
      <c r="T479" s="574"/>
      <c r="U479" s="574"/>
    </row>
    <row r="480">
      <c r="A480" s="574"/>
      <c r="B480" s="574"/>
      <c r="C480" s="574"/>
      <c r="D480" s="671"/>
      <c r="E480" s="574"/>
      <c r="F480" s="574"/>
      <c r="G480" s="574"/>
      <c r="H480" s="574"/>
      <c r="I480" s="672"/>
      <c r="J480" s="574"/>
      <c r="K480" s="574"/>
      <c r="L480" s="574"/>
      <c r="M480" s="673"/>
      <c r="N480" s="672"/>
      <c r="O480" s="574"/>
      <c r="P480" s="574"/>
      <c r="Q480" s="574"/>
      <c r="R480" s="574"/>
      <c r="S480" s="575"/>
      <c r="T480" s="574"/>
      <c r="U480" s="574"/>
    </row>
    <row r="481">
      <c r="A481" s="574"/>
      <c r="B481" s="574"/>
      <c r="C481" s="574"/>
      <c r="D481" s="671"/>
      <c r="E481" s="574"/>
      <c r="F481" s="574"/>
      <c r="G481" s="574"/>
      <c r="H481" s="574"/>
      <c r="I481" s="672"/>
      <c r="J481" s="574"/>
      <c r="K481" s="574"/>
      <c r="L481" s="574"/>
      <c r="M481" s="673"/>
      <c r="N481" s="672"/>
      <c r="O481" s="574"/>
      <c r="P481" s="574"/>
      <c r="Q481" s="574"/>
      <c r="R481" s="574"/>
      <c r="S481" s="575"/>
      <c r="T481" s="574"/>
      <c r="U481" s="574"/>
    </row>
    <row r="482">
      <c r="A482" s="574"/>
      <c r="B482" s="574"/>
      <c r="C482" s="574"/>
      <c r="D482" s="671"/>
      <c r="E482" s="574"/>
      <c r="F482" s="574"/>
      <c r="G482" s="574"/>
      <c r="H482" s="574"/>
      <c r="I482" s="672"/>
      <c r="J482" s="574"/>
      <c r="K482" s="574"/>
      <c r="L482" s="574"/>
      <c r="M482" s="673"/>
      <c r="N482" s="672"/>
      <c r="O482" s="574"/>
      <c r="P482" s="574"/>
      <c r="Q482" s="574"/>
      <c r="R482" s="574"/>
      <c r="S482" s="575"/>
      <c r="T482" s="574"/>
      <c r="U482" s="574"/>
    </row>
    <row r="483">
      <c r="A483" s="574"/>
      <c r="B483" s="574"/>
      <c r="C483" s="574"/>
      <c r="D483" s="671"/>
      <c r="E483" s="574"/>
      <c r="F483" s="574"/>
      <c r="G483" s="574"/>
      <c r="H483" s="574"/>
      <c r="I483" s="672"/>
      <c r="J483" s="574"/>
      <c r="K483" s="574"/>
      <c r="L483" s="574"/>
      <c r="M483" s="673"/>
      <c r="N483" s="672"/>
      <c r="O483" s="574"/>
      <c r="P483" s="574"/>
      <c r="Q483" s="574"/>
      <c r="R483" s="574"/>
      <c r="S483" s="575"/>
      <c r="T483" s="574"/>
      <c r="U483" s="574"/>
    </row>
    <row r="484">
      <c r="A484" s="574"/>
      <c r="B484" s="574"/>
      <c r="C484" s="574"/>
      <c r="D484" s="671"/>
      <c r="E484" s="574"/>
      <c r="F484" s="574"/>
      <c r="G484" s="574"/>
      <c r="H484" s="574"/>
      <c r="I484" s="672"/>
      <c r="J484" s="574"/>
      <c r="K484" s="574"/>
      <c r="L484" s="574"/>
      <c r="M484" s="673"/>
      <c r="N484" s="672"/>
      <c r="O484" s="574"/>
      <c r="P484" s="574"/>
      <c r="Q484" s="574"/>
      <c r="R484" s="574"/>
      <c r="S484" s="575"/>
      <c r="T484" s="574"/>
      <c r="U484" s="574"/>
    </row>
    <row r="485">
      <c r="A485" s="574"/>
      <c r="B485" s="574"/>
      <c r="C485" s="574"/>
      <c r="D485" s="671"/>
      <c r="E485" s="574"/>
      <c r="F485" s="574"/>
      <c r="G485" s="574"/>
      <c r="H485" s="574"/>
      <c r="I485" s="672"/>
      <c r="J485" s="574"/>
      <c r="K485" s="574"/>
      <c r="L485" s="574"/>
      <c r="M485" s="673"/>
      <c r="N485" s="672"/>
      <c r="O485" s="574"/>
      <c r="P485" s="574"/>
      <c r="Q485" s="574"/>
      <c r="R485" s="574"/>
      <c r="S485" s="575"/>
      <c r="T485" s="574"/>
      <c r="U485" s="574"/>
    </row>
    <row r="486">
      <c r="A486" s="574"/>
      <c r="B486" s="574"/>
      <c r="C486" s="574"/>
      <c r="D486" s="671"/>
      <c r="E486" s="574"/>
      <c r="F486" s="574"/>
      <c r="G486" s="574"/>
      <c r="H486" s="574"/>
      <c r="I486" s="672"/>
      <c r="J486" s="574"/>
      <c r="K486" s="574"/>
      <c r="L486" s="574"/>
      <c r="M486" s="673"/>
      <c r="N486" s="672"/>
      <c r="O486" s="574"/>
      <c r="P486" s="574"/>
      <c r="Q486" s="574"/>
      <c r="R486" s="574"/>
      <c r="S486" s="575"/>
      <c r="T486" s="574"/>
      <c r="U486" s="574"/>
    </row>
    <row r="487">
      <c r="A487" s="574"/>
      <c r="B487" s="574"/>
      <c r="C487" s="574"/>
      <c r="D487" s="671"/>
      <c r="E487" s="574"/>
      <c r="F487" s="574"/>
      <c r="G487" s="574"/>
      <c r="H487" s="574"/>
      <c r="I487" s="672"/>
      <c r="J487" s="574"/>
      <c r="K487" s="574"/>
      <c r="L487" s="574"/>
      <c r="M487" s="673"/>
      <c r="N487" s="672"/>
      <c r="O487" s="574"/>
      <c r="P487" s="574"/>
      <c r="Q487" s="574"/>
      <c r="R487" s="574"/>
      <c r="S487" s="575"/>
      <c r="T487" s="574"/>
      <c r="U487" s="574"/>
    </row>
    <row r="488">
      <c r="A488" s="574"/>
      <c r="B488" s="574"/>
      <c r="C488" s="574"/>
      <c r="D488" s="671"/>
      <c r="E488" s="574"/>
      <c r="F488" s="574"/>
      <c r="G488" s="574"/>
      <c r="H488" s="574"/>
      <c r="I488" s="672"/>
      <c r="J488" s="574"/>
      <c r="K488" s="574"/>
      <c r="L488" s="574"/>
      <c r="M488" s="673"/>
      <c r="N488" s="672"/>
      <c r="O488" s="574"/>
      <c r="P488" s="574"/>
      <c r="Q488" s="574"/>
      <c r="R488" s="574"/>
      <c r="S488" s="575"/>
      <c r="T488" s="574"/>
      <c r="U488" s="574"/>
    </row>
    <row r="489">
      <c r="A489" s="574"/>
      <c r="B489" s="574"/>
      <c r="C489" s="574"/>
      <c r="D489" s="671"/>
      <c r="E489" s="574"/>
      <c r="F489" s="574"/>
      <c r="G489" s="574"/>
      <c r="H489" s="574"/>
      <c r="I489" s="672"/>
      <c r="J489" s="574"/>
      <c r="K489" s="574"/>
      <c r="L489" s="574"/>
      <c r="M489" s="673"/>
      <c r="N489" s="672"/>
      <c r="O489" s="574"/>
      <c r="P489" s="574"/>
      <c r="Q489" s="574"/>
      <c r="R489" s="574"/>
      <c r="S489" s="575"/>
      <c r="T489" s="574"/>
      <c r="U489" s="574"/>
    </row>
    <row r="490">
      <c r="A490" s="574"/>
      <c r="B490" s="574"/>
      <c r="C490" s="574"/>
      <c r="D490" s="671"/>
      <c r="E490" s="574"/>
      <c r="F490" s="574"/>
      <c r="G490" s="574"/>
      <c r="H490" s="574"/>
      <c r="I490" s="672"/>
      <c r="J490" s="574"/>
      <c r="K490" s="574"/>
      <c r="L490" s="574"/>
      <c r="M490" s="673"/>
      <c r="N490" s="672"/>
      <c r="O490" s="574"/>
      <c r="P490" s="574"/>
      <c r="Q490" s="574"/>
      <c r="R490" s="574"/>
      <c r="S490" s="575"/>
      <c r="T490" s="574"/>
      <c r="U490" s="574"/>
    </row>
    <row r="491">
      <c r="A491" s="574"/>
      <c r="B491" s="574"/>
      <c r="C491" s="574"/>
      <c r="D491" s="671"/>
      <c r="E491" s="574"/>
      <c r="F491" s="574"/>
      <c r="G491" s="574"/>
      <c r="H491" s="574"/>
      <c r="I491" s="672"/>
      <c r="J491" s="574"/>
      <c r="K491" s="574"/>
      <c r="L491" s="574"/>
      <c r="M491" s="673"/>
      <c r="N491" s="672"/>
      <c r="O491" s="574"/>
      <c r="P491" s="574"/>
      <c r="Q491" s="574"/>
      <c r="R491" s="574"/>
      <c r="S491" s="575"/>
      <c r="T491" s="574"/>
      <c r="U491" s="574"/>
    </row>
    <row r="492">
      <c r="A492" s="574"/>
      <c r="B492" s="574"/>
      <c r="C492" s="574"/>
      <c r="D492" s="671"/>
      <c r="E492" s="574"/>
      <c r="F492" s="574"/>
      <c r="G492" s="574"/>
      <c r="H492" s="574"/>
      <c r="I492" s="672"/>
      <c r="J492" s="574"/>
      <c r="K492" s="574"/>
      <c r="L492" s="574"/>
      <c r="M492" s="673"/>
      <c r="N492" s="672"/>
      <c r="O492" s="574"/>
      <c r="P492" s="574"/>
      <c r="Q492" s="574"/>
      <c r="R492" s="574"/>
      <c r="S492" s="575"/>
      <c r="T492" s="574"/>
      <c r="U492" s="574"/>
    </row>
    <row r="493">
      <c r="A493" s="574"/>
      <c r="B493" s="574"/>
      <c r="C493" s="574"/>
      <c r="D493" s="671"/>
      <c r="E493" s="574"/>
      <c r="F493" s="574"/>
      <c r="G493" s="574"/>
      <c r="H493" s="574"/>
      <c r="I493" s="672"/>
      <c r="J493" s="574"/>
      <c r="K493" s="574"/>
      <c r="L493" s="574"/>
      <c r="M493" s="673"/>
      <c r="N493" s="672"/>
      <c r="O493" s="574"/>
      <c r="P493" s="574"/>
      <c r="Q493" s="574"/>
      <c r="R493" s="574"/>
      <c r="S493" s="575"/>
      <c r="T493" s="574"/>
      <c r="U493" s="574"/>
    </row>
    <row r="494">
      <c r="A494" s="574"/>
      <c r="B494" s="574"/>
      <c r="C494" s="574"/>
      <c r="D494" s="671"/>
      <c r="E494" s="574"/>
      <c r="F494" s="574"/>
      <c r="G494" s="574"/>
      <c r="H494" s="574"/>
      <c r="I494" s="672"/>
      <c r="J494" s="574"/>
      <c r="K494" s="574"/>
      <c r="L494" s="574"/>
      <c r="M494" s="673"/>
      <c r="N494" s="672"/>
      <c r="O494" s="574"/>
      <c r="P494" s="574"/>
      <c r="Q494" s="574"/>
      <c r="R494" s="574"/>
      <c r="S494" s="575"/>
      <c r="T494" s="574"/>
      <c r="U494" s="574"/>
    </row>
    <row r="495">
      <c r="A495" s="574"/>
      <c r="B495" s="574"/>
      <c r="C495" s="574"/>
      <c r="D495" s="671"/>
      <c r="E495" s="574"/>
      <c r="F495" s="574"/>
      <c r="G495" s="574"/>
      <c r="H495" s="574"/>
      <c r="I495" s="672"/>
      <c r="J495" s="574"/>
      <c r="K495" s="574"/>
      <c r="L495" s="574"/>
      <c r="M495" s="673"/>
      <c r="N495" s="672"/>
      <c r="O495" s="574"/>
      <c r="P495" s="574"/>
      <c r="Q495" s="574"/>
      <c r="R495" s="574"/>
      <c r="S495" s="575"/>
      <c r="T495" s="574"/>
      <c r="U495" s="574"/>
    </row>
    <row r="496">
      <c r="A496" s="574"/>
      <c r="B496" s="574"/>
      <c r="C496" s="574"/>
      <c r="D496" s="671"/>
      <c r="E496" s="574"/>
      <c r="F496" s="574"/>
      <c r="G496" s="574"/>
      <c r="H496" s="574"/>
      <c r="I496" s="672"/>
      <c r="J496" s="574"/>
      <c r="K496" s="574"/>
      <c r="L496" s="574"/>
      <c r="M496" s="673"/>
      <c r="N496" s="672"/>
      <c r="O496" s="574"/>
      <c r="P496" s="574"/>
      <c r="Q496" s="574"/>
      <c r="R496" s="574"/>
      <c r="S496" s="575"/>
      <c r="T496" s="574"/>
      <c r="U496" s="574"/>
    </row>
    <row r="497">
      <c r="A497" s="574"/>
      <c r="B497" s="574"/>
      <c r="C497" s="574"/>
      <c r="D497" s="671"/>
      <c r="E497" s="574"/>
      <c r="F497" s="574"/>
      <c r="G497" s="574"/>
      <c r="H497" s="574"/>
      <c r="I497" s="672"/>
      <c r="J497" s="574"/>
      <c r="K497" s="574"/>
      <c r="L497" s="574"/>
      <c r="M497" s="673"/>
      <c r="N497" s="672"/>
      <c r="O497" s="574"/>
      <c r="P497" s="574"/>
      <c r="Q497" s="574"/>
      <c r="R497" s="574"/>
      <c r="S497" s="575"/>
      <c r="T497" s="574"/>
      <c r="U497" s="574"/>
    </row>
    <row r="498">
      <c r="A498" s="574"/>
      <c r="B498" s="574"/>
      <c r="C498" s="574"/>
      <c r="D498" s="671"/>
      <c r="E498" s="574"/>
      <c r="F498" s="574"/>
      <c r="G498" s="574"/>
      <c r="H498" s="574"/>
      <c r="I498" s="672"/>
      <c r="J498" s="574"/>
      <c r="K498" s="574"/>
      <c r="L498" s="574"/>
      <c r="M498" s="673"/>
      <c r="N498" s="672"/>
      <c r="O498" s="574"/>
      <c r="P498" s="574"/>
      <c r="Q498" s="574"/>
      <c r="R498" s="574"/>
      <c r="S498" s="575"/>
      <c r="T498" s="574"/>
      <c r="U498" s="574"/>
    </row>
    <row r="499">
      <c r="A499" s="574"/>
      <c r="B499" s="574"/>
      <c r="C499" s="574"/>
      <c r="D499" s="671"/>
      <c r="E499" s="574"/>
      <c r="F499" s="574"/>
      <c r="G499" s="574"/>
      <c r="H499" s="574"/>
      <c r="I499" s="672"/>
      <c r="J499" s="574"/>
      <c r="K499" s="574"/>
      <c r="L499" s="574"/>
      <c r="M499" s="673"/>
      <c r="N499" s="672"/>
      <c r="O499" s="574"/>
      <c r="P499" s="574"/>
      <c r="Q499" s="574"/>
      <c r="R499" s="574"/>
      <c r="S499" s="575"/>
      <c r="T499" s="574"/>
      <c r="U499" s="574"/>
    </row>
    <row r="500">
      <c r="A500" s="574"/>
      <c r="B500" s="574"/>
      <c r="C500" s="574"/>
      <c r="D500" s="671"/>
      <c r="E500" s="574"/>
      <c r="F500" s="574"/>
      <c r="G500" s="574"/>
      <c r="H500" s="574"/>
      <c r="I500" s="672"/>
      <c r="J500" s="574"/>
      <c r="K500" s="574"/>
      <c r="L500" s="574"/>
      <c r="M500" s="673"/>
      <c r="N500" s="672"/>
      <c r="O500" s="574"/>
      <c r="P500" s="574"/>
      <c r="Q500" s="574"/>
      <c r="R500" s="574"/>
      <c r="S500" s="575"/>
      <c r="T500" s="574"/>
      <c r="U500" s="574"/>
    </row>
    <row r="501">
      <c r="A501" s="574"/>
      <c r="B501" s="574"/>
      <c r="C501" s="574"/>
      <c r="D501" s="671"/>
      <c r="E501" s="574"/>
      <c r="F501" s="574"/>
      <c r="G501" s="574"/>
      <c r="H501" s="574"/>
      <c r="I501" s="672"/>
      <c r="J501" s="574"/>
      <c r="K501" s="574"/>
      <c r="L501" s="574"/>
      <c r="M501" s="673"/>
      <c r="N501" s="672"/>
      <c r="O501" s="574"/>
      <c r="P501" s="574"/>
      <c r="Q501" s="574"/>
      <c r="R501" s="574"/>
      <c r="S501" s="575"/>
      <c r="T501" s="574"/>
      <c r="U501" s="574"/>
    </row>
    <row r="502">
      <c r="A502" s="574"/>
      <c r="B502" s="574"/>
      <c r="C502" s="574"/>
      <c r="D502" s="671"/>
      <c r="E502" s="574"/>
      <c r="F502" s="574"/>
      <c r="G502" s="574"/>
      <c r="H502" s="574"/>
      <c r="I502" s="672"/>
      <c r="J502" s="574"/>
      <c r="K502" s="574"/>
      <c r="L502" s="574"/>
      <c r="M502" s="673"/>
      <c r="N502" s="672"/>
      <c r="O502" s="574"/>
      <c r="P502" s="574"/>
      <c r="Q502" s="574"/>
      <c r="R502" s="574"/>
      <c r="S502" s="575"/>
      <c r="T502" s="574"/>
      <c r="U502" s="574"/>
    </row>
    <row r="503">
      <c r="A503" s="574"/>
      <c r="B503" s="574"/>
      <c r="C503" s="574"/>
      <c r="D503" s="671"/>
      <c r="E503" s="574"/>
      <c r="F503" s="574"/>
      <c r="G503" s="574"/>
      <c r="H503" s="574"/>
      <c r="I503" s="672"/>
      <c r="J503" s="574"/>
      <c r="K503" s="574"/>
      <c r="L503" s="574"/>
      <c r="M503" s="673"/>
      <c r="N503" s="672"/>
      <c r="O503" s="574"/>
      <c r="P503" s="574"/>
      <c r="Q503" s="574"/>
      <c r="R503" s="574"/>
      <c r="S503" s="575"/>
      <c r="T503" s="574"/>
      <c r="U503" s="574"/>
    </row>
    <row r="504">
      <c r="A504" s="574"/>
      <c r="B504" s="574"/>
      <c r="C504" s="574"/>
      <c r="D504" s="671"/>
      <c r="E504" s="574"/>
      <c r="F504" s="574"/>
      <c r="G504" s="574"/>
      <c r="H504" s="574"/>
      <c r="I504" s="672"/>
      <c r="J504" s="574"/>
      <c r="K504" s="574"/>
      <c r="L504" s="574"/>
      <c r="M504" s="673"/>
      <c r="N504" s="672"/>
      <c r="O504" s="574"/>
      <c r="P504" s="574"/>
      <c r="Q504" s="574"/>
      <c r="R504" s="574"/>
      <c r="S504" s="575"/>
      <c r="T504" s="574"/>
      <c r="U504" s="574"/>
    </row>
    <row r="505">
      <c r="A505" s="574"/>
      <c r="B505" s="574"/>
      <c r="C505" s="574"/>
      <c r="D505" s="671"/>
      <c r="E505" s="574"/>
      <c r="F505" s="574"/>
      <c r="G505" s="574"/>
      <c r="H505" s="574"/>
      <c r="I505" s="672"/>
      <c r="J505" s="574"/>
      <c r="K505" s="574"/>
      <c r="L505" s="574"/>
      <c r="M505" s="673"/>
      <c r="N505" s="672"/>
      <c r="O505" s="574"/>
      <c r="P505" s="574"/>
      <c r="Q505" s="574"/>
      <c r="R505" s="574"/>
      <c r="S505" s="575"/>
      <c r="T505" s="574"/>
      <c r="U505" s="574"/>
    </row>
    <row r="506">
      <c r="A506" s="574"/>
      <c r="B506" s="574"/>
      <c r="C506" s="574"/>
      <c r="D506" s="671"/>
      <c r="E506" s="574"/>
      <c r="F506" s="574"/>
      <c r="G506" s="574"/>
      <c r="H506" s="574"/>
      <c r="I506" s="672"/>
      <c r="J506" s="574"/>
      <c r="K506" s="574"/>
      <c r="L506" s="574"/>
      <c r="M506" s="673"/>
      <c r="N506" s="672"/>
      <c r="O506" s="574"/>
      <c r="P506" s="574"/>
      <c r="Q506" s="574"/>
      <c r="R506" s="574"/>
      <c r="S506" s="575"/>
      <c r="T506" s="574"/>
      <c r="U506" s="574"/>
    </row>
    <row r="507">
      <c r="A507" s="574"/>
      <c r="B507" s="574"/>
      <c r="C507" s="574"/>
      <c r="D507" s="671"/>
      <c r="E507" s="574"/>
      <c r="F507" s="574"/>
      <c r="G507" s="574"/>
      <c r="H507" s="574"/>
      <c r="I507" s="672"/>
      <c r="J507" s="574"/>
      <c r="K507" s="574"/>
      <c r="L507" s="574"/>
      <c r="M507" s="673"/>
      <c r="N507" s="672"/>
      <c r="O507" s="574"/>
      <c r="P507" s="574"/>
      <c r="Q507" s="574"/>
      <c r="R507" s="574"/>
      <c r="S507" s="575"/>
      <c r="T507" s="574"/>
      <c r="U507" s="574"/>
    </row>
    <row r="508">
      <c r="A508" s="574"/>
      <c r="B508" s="574"/>
      <c r="C508" s="574"/>
      <c r="D508" s="671"/>
      <c r="E508" s="574"/>
      <c r="F508" s="574"/>
      <c r="G508" s="574"/>
      <c r="H508" s="574"/>
      <c r="I508" s="672"/>
      <c r="J508" s="574"/>
      <c r="K508" s="574"/>
      <c r="L508" s="574"/>
      <c r="M508" s="673"/>
      <c r="N508" s="672"/>
      <c r="O508" s="574"/>
      <c r="P508" s="574"/>
      <c r="Q508" s="574"/>
      <c r="R508" s="574"/>
      <c r="S508" s="575"/>
      <c r="T508" s="574"/>
      <c r="U508" s="574"/>
    </row>
    <row r="509">
      <c r="A509" s="574"/>
      <c r="B509" s="574"/>
      <c r="C509" s="574"/>
      <c r="D509" s="671"/>
      <c r="E509" s="574"/>
      <c r="F509" s="574"/>
      <c r="G509" s="574"/>
      <c r="H509" s="574"/>
      <c r="I509" s="672"/>
      <c r="J509" s="574"/>
      <c r="K509" s="574"/>
      <c r="L509" s="574"/>
      <c r="M509" s="673"/>
      <c r="N509" s="672"/>
      <c r="O509" s="574"/>
      <c r="P509" s="574"/>
      <c r="Q509" s="574"/>
      <c r="R509" s="574"/>
      <c r="S509" s="575"/>
      <c r="T509" s="574"/>
      <c r="U509" s="574"/>
    </row>
    <row r="510">
      <c r="A510" s="574"/>
      <c r="B510" s="574"/>
      <c r="C510" s="574"/>
      <c r="D510" s="671"/>
      <c r="E510" s="574"/>
      <c r="F510" s="574"/>
      <c r="G510" s="574"/>
      <c r="H510" s="574"/>
      <c r="I510" s="672"/>
      <c r="J510" s="574"/>
      <c r="K510" s="574"/>
      <c r="L510" s="574"/>
      <c r="M510" s="673"/>
      <c r="N510" s="672"/>
      <c r="O510" s="574"/>
      <c r="P510" s="574"/>
      <c r="Q510" s="574"/>
      <c r="R510" s="574"/>
      <c r="S510" s="575"/>
      <c r="T510" s="574"/>
      <c r="U510" s="574"/>
    </row>
    <row r="511">
      <c r="A511" s="574"/>
      <c r="B511" s="574"/>
      <c r="C511" s="574"/>
      <c r="D511" s="671"/>
      <c r="E511" s="574"/>
      <c r="F511" s="574"/>
      <c r="G511" s="574"/>
      <c r="H511" s="574"/>
      <c r="I511" s="672"/>
      <c r="J511" s="574"/>
      <c r="K511" s="574"/>
      <c r="L511" s="574"/>
      <c r="M511" s="673"/>
      <c r="N511" s="672"/>
      <c r="O511" s="574"/>
      <c r="P511" s="574"/>
      <c r="Q511" s="574"/>
      <c r="R511" s="574"/>
      <c r="S511" s="575"/>
      <c r="T511" s="574"/>
      <c r="U511" s="574"/>
    </row>
    <row r="512">
      <c r="A512" s="574"/>
      <c r="B512" s="574"/>
      <c r="C512" s="574"/>
      <c r="D512" s="671"/>
      <c r="E512" s="574"/>
      <c r="F512" s="574"/>
      <c r="G512" s="574"/>
      <c r="H512" s="574"/>
      <c r="I512" s="672"/>
      <c r="J512" s="574"/>
      <c r="K512" s="574"/>
      <c r="L512" s="574"/>
      <c r="M512" s="673"/>
      <c r="N512" s="672"/>
      <c r="O512" s="574"/>
      <c r="P512" s="574"/>
      <c r="Q512" s="574"/>
      <c r="R512" s="574"/>
      <c r="S512" s="575"/>
      <c r="T512" s="574"/>
      <c r="U512" s="574"/>
    </row>
    <row r="513">
      <c r="A513" s="574"/>
      <c r="B513" s="574"/>
      <c r="C513" s="574"/>
      <c r="D513" s="671"/>
      <c r="E513" s="574"/>
      <c r="F513" s="574"/>
      <c r="G513" s="574"/>
      <c r="H513" s="574"/>
      <c r="I513" s="672"/>
      <c r="J513" s="574"/>
      <c r="K513" s="574"/>
      <c r="L513" s="574"/>
      <c r="M513" s="673"/>
      <c r="N513" s="672"/>
      <c r="O513" s="574"/>
      <c r="P513" s="574"/>
      <c r="Q513" s="574"/>
      <c r="R513" s="574"/>
      <c r="S513" s="575"/>
      <c r="T513" s="574"/>
      <c r="U513" s="574"/>
    </row>
    <row r="514">
      <c r="A514" s="574"/>
      <c r="B514" s="574"/>
      <c r="C514" s="574"/>
      <c r="D514" s="671"/>
      <c r="E514" s="574"/>
      <c r="F514" s="574"/>
      <c r="G514" s="574"/>
      <c r="H514" s="574"/>
      <c r="I514" s="672"/>
      <c r="J514" s="574"/>
      <c r="K514" s="574"/>
      <c r="L514" s="574"/>
      <c r="M514" s="673"/>
      <c r="N514" s="672"/>
      <c r="O514" s="574"/>
      <c r="P514" s="574"/>
      <c r="Q514" s="574"/>
      <c r="R514" s="574"/>
      <c r="S514" s="575"/>
      <c r="T514" s="574"/>
      <c r="U514" s="574"/>
    </row>
    <row r="515">
      <c r="A515" s="574"/>
      <c r="B515" s="574"/>
      <c r="C515" s="574"/>
      <c r="D515" s="671"/>
      <c r="E515" s="574"/>
      <c r="F515" s="574"/>
      <c r="G515" s="574"/>
      <c r="H515" s="574"/>
      <c r="I515" s="672"/>
      <c r="J515" s="574"/>
      <c r="K515" s="574"/>
      <c r="L515" s="574"/>
      <c r="M515" s="673"/>
      <c r="N515" s="672"/>
      <c r="O515" s="574"/>
      <c r="P515" s="574"/>
      <c r="Q515" s="574"/>
      <c r="R515" s="574"/>
      <c r="S515" s="575"/>
      <c r="T515" s="574"/>
      <c r="U515" s="574"/>
    </row>
    <row r="516">
      <c r="A516" s="574"/>
      <c r="B516" s="574"/>
      <c r="C516" s="574"/>
      <c r="D516" s="671"/>
      <c r="E516" s="574"/>
      <c r="F516" s="574"/>
      <c r="G516" s="574"/>
      <c r="H516" s="574"/>
      <c r="I516" s="672"/>
      <c r="J516" s="574"/>
      <c r="K516" s="574"/>
      <c r="L516" s="574"/>
      <c r="M516" s="673"/>
      <c r="N516" s="672"/>
      <c r="O516" s="574"/>
      <c r="P516" s="574"/>
      <c r="Q516" s="574"/>
      <c r="R516" s="574"/>
      <c r="S516" s="575"/>
      <c r="T516" s="574"/>
      <c r="U516" s="574"/>
    </row>
    <row r="517">
      <c r="A517" s="574"/>
      <c r="B517" s="574"/>
      <c r="C517" s="574"/>
      <c r="D517" s="671"/>
      <c r="E517" s="574"/>
      <c r="F517" s="574"/>
      <c r="G517" s="574"/>
      <c r="H517" s="574"/>
      <c r="I517" s="672"/>
      <c r="J517" s="574"/>
      <c r="K517" s="574"/>
      <c r="L517" s="574"/>
      <c r="M517" s="673"/>
      <c r="N517" s="672"/>
      <c r="O517" s="574"/>
      <c r="P517" s="574"/>
      <c r="Q517" s="574"/>
      <c r="R517" s="574"/>
      <c r="S517" s="575"/>
      <c r="T517" s="574"/>
      <c r="U517" s="574"/>
    </row>
    <row r="518">
      <c r="A518" s="574"/>
      <c r="B518" s="574"/>
      <c r="C518" s="574"/>
      <c r="D518" s="671"/>
      <c r="E518" s="574"/>
      <c r="F518" s="574"/>
      <c r="G518" s="574"/>
      <c r="H518" s="574"/>
      <c r="I518" s="672"/>
      <c r="J518" s="574"/>
      <c r="K518" s="574"/>
      <c r="L518" s="574"/>
      <c r="M518" s="673"/>
      <c r="N518" s="672"/>
      <c r="O518" s="574"/>
      <c r="P518" s="574"/>
      <c r="Q518" s="574"/>
      <c r="R518" s="574"/>
      <c r="S518" s="575"/>
      <c r="T518" s="574"/>
      <c r="U518" s="574"/>
    </row>
    <row r="519">
      <c r="A519" s="574"/>
      <c r="B519" s="574"/>
      <c r="C519" s="574"/>
      <c r="D519" s="671"/>
      <c r="E519" s="574"/>
      <c r="F519" s="574"/>
      <c r="G519" s="574"/>
      <c r="H519" s="574"/>
      <c r="I519" s="672"/>
      <c r="J519" s="574"/>
      <c r="K519" s="574"/>
      <c r="L519" s="574"/>
      <c r="M519" s="673"/>
      <c r="N519" s="672"/>
      <c r="O519" s="574"/>
      <c r="P519" s="574"/>
      <c r="Q519" s="574"/>
      <c r="R519" s="574"/>
      <c r="S519" s="575"/>
      <c r="T519" s="574"/>
      <c r="U519" s="574"/>
    </row>
    <row r="520">
      <c r="A520" s="574"/>
      <c r="B520" s="574"/>
      <c r="C520" s="574"/>
      <c r="D520" s="671"/>
      <c r="E520" s="574"/>
      <c r="F520" s="574"/>
      <c r="G520" s="574"/>
      <c r="H520" s="574"/>
      <c r="I520" s="672"/>
      <c r="J520" s="574"/>
      <c r="K520" s="574"/>
      <c r="L520" s="574"/>
      <c r="M520" s="673"/>
      <c r="N520" s="672"/>
      <c r="O520" s="574"/>
      <c r="P520" s="574"/>
      <c r="Q520" s="574"/>
      <c r="R520" s="574"/>
      <c r="S520" s="575"/>
      <c r="T520" s="574"/>
      <c r="U520" s="574"/>
    </row>
    <row r="521">
      <c r="A521" s="574"/>
      <c r="B521" s="574"/>
      <c r="C521" s="574"/>
      <c r="D521" s="671"/>
      <c r="E521" s="574"/>
      <c r="F521" s="574"/>
      <c r="G521" s="574"/>
      <c r="H521" s="574"/>
      <c r="I521" s="672"/>
      <c r="J521" s="574"/>
      <c r="K521" s="574"/>
      <c r="L521" s="574"/>
      <c r="M521" s="673"/>
      <c r="N521" s="672"/>
      <c r="O521" s="574"/>
      <c r="P521" s="574"/>
      <c r="Q521" s="574"/>
      <c r="R521" s="574"/>
      <c r="S521" s="575"/>
      <c r="T521" s="574"/>
      <c r="U521" s="574"/>
    </row>
    <row r="522">
      <c r="A522" s="574"/>
      <c r="B522" s="574"/>
      <c r="C522" s="574"/>
      <c r="D522" s="671"/>
      <c r="E522" s="574"/>
      <c r="F522" s="574"/>
      <c r="G522" s="574"/>
      <c r="H522" s="574"/>
      <c r="I522" s="672"/>
      <c r="J522" s="574"/>
      <c r="K522" s="574"/>
      <c r="L522" s="574"/>
      <c r="M522" s="673"/>
      <c r="N522" s="672"/>
      <c r="O522" s="574"/>
      <c r="P522" s="574"/>
      <c r="Q522" s="574"/>
      <c r="R522" s="574"/>
      <c r="S522" s="575"/>
      <c r="T522" s="574"/>
      <c r="U522" s="574"/>
    </row>
    <row r="523">
      <c r="A523" s="574"/>
      <c r="B523" s="574"/>
      <c r="C523" s="574"/>
      <c r="D523" s="671"/>
      <c r="E523" s="574"/>
      <c r="F523" s="574"/>
      <c r="G523" s="574"/>
      <c r="H523" s="574"/>
      <c r="I523" s="672"/>
      <c r="J523" s="574"/>
      <c r="K523" s="574"/>
      <c r="L523" s="574"/>
      <c r="M523" s="673"/>
      <c r="N523" s="672"/>
      <c r="O523" s="574"/>
      <c r="P523" s="574"/>
      <c r="Q523" s="574"/>
      <c r="R523" s="574"/>
      <c r="S523" s="575"/>
      <c r="T523" s="574"/>
      <c r="U523" s="574"/>
    </row>
    <row r="524">
      <c r="A524" s="574"/>
      <c r="B524" s="574"/>
      <c r="C524" s="574"/>
      <c r="D524" s="671"/>
      <c r="E524" s="574"/>
      <c r="F524" s="574"/>
      <c r="G524" s="574"/>
      <c r="H524" s="574"/>
      <c r="I524" s="672"/>
      <c r="J524" s="574"/>
      <c r="K524" s="574"/>
      <c r="L524" s="574"/>
      <c r="M524" s="673"/>
      <c r="N524" s="672"/>
      <c r="O524" s="574"/>
      <c r="P524" s="574"/>
      <c r="Q524" s="574"/>
      <c r="R524" s="574"/>
      <c r="S524" s="575"/>
      <c r="T524" s="574"/>
      <c r="U524" s="574"/>
    </row>
    <row r="525">
      <c r="A525" s="574"/>
      <c r="B525" s="574"/>
      <c r="C525" s="574"/>
      <c r="D525" s="671"/>
      <c r="E525" s="574"/>
      <c r="F525" s="574"/>
      <c r="G525" s="574"/>
      <c r="H525" s="574"/>
      <c r="I525" s="672"/>
      <c r="J525" s="574"/>
      <c r="K525" s="574"/>
      <c r="L525" s="574"/>
      <c r="M525" s="673"/>
      <c r="N525" s="672"/>
      <c r="O525" s="574"/>
      <c r="P525" s="574"/>
      <c r="Q525" s="574"/>
      <c r="R525" s="574"/>
      <c r="S525" s="575"/>
      <c r="T525" s="574"/>
      <c r="U525" s="574"/>
    </row>
    <row r="526">
      <c r="A526" s="574"/>
      <c r="B526" s="574"/>
      <c r="C526" s="574"/>
      <c r="D526" s="671"/>
      <c r="E526" s="574"/>
      <c r="F526" s="574"/>
      <c r="G526" s="574"/>
      <c r="H526" s="574"/>
      <c r="I526" s="672"/>
      <c r="J526" s="574"/>
      <c r="K526" s="574"/>
      <c r="L526" s="574"/>
      <c r="M526" s="673"/>
      <c r="N526" s="672"/>
      <c r="O526" s="574"/>
      <c r="P526" s="574"/>
      <c r="Q526" s="574"/>
      <c r="R526" s="574"/>
      <c r="S526" s="575"/>
      <c r="T526" s="574"/>
      <c r="U526" s="574"/>
    </row>
    <row r="527">
      <c r="A527" s="574"/>
      <c r="B527" s="574"/>
      <c r="C527" s="574"/>
      <c r="D527" s="671"/>
      <c r="E527" s="574"/>
      <c r="F527" s="574"/>
      <c r="G527" s="574"/>
      <c r="H527" s="574"/>
      <c r="I527" s="672"/>
      <c r="J527" s="574"/>
      <c r="K527" s="574"/>
      <c r="L527" s="574"/>
      <c r="M527" s="673"/>
      <c r="N527" s="672"/>
      <c r="O527" s="574"/>
      <c r="P527" s="574"/>
      <c r="Q527" s="574"/>
      <c r="R527" s="574"/>
      <c r="S527" s="575"/>
      <c r="T527" s="574"/>
      <c r="U527" s="574"/>
    </row>
    <row r="528">
      <c r="A528" s="574"/>
      <c r="B528" s="574"/>
      <c r="C528" s="574"/>
      <c r="D528" s="671"/>
      <c r="E528" s="574"/>
      <c r="F528" s="574"/>
      <c r="G528" s="574"/>
      <c r="H528" s="574"/>
      <c r="I528" s="672"/>
      <c r="J528" s="574"/>
      <c r="K528" s="574"/>
      <c r="L528" s="574"/>
      <c r="M528" s="673"/>
      <c r="N528" s="672"/>
      <c r="O528" s="574"/>
      <c r="P528" s="574"/>
      <c r="Q528" s="574"/>
      <c r="R528" s="574"/>
      <c r="S528" s="575"/>
      <c r="T528" s="574"/>
      <c r="U528" s="574"/>
    </row>
    <row r="529">
      <c r="A529" s="574"/>
      <c r="B529" s="574"/>
      <c r="C529" s="574"/>
      <c r="D529" s="671"/>
      <c r="E529" s="574"/>
      <c r="F529" s="574"/>
      <c r="G529" s="574"/>
      <c r="H529" s="574"/>
      <c r="I529" s="672"/>
      <c r="J529" s="574"/>
      <c r="K529" s="574"/>
      <c r="L529" s="574"/>
      <c r="M529" s="673"/>
      <c r="N529" s="672"/>
      <c r="O529" s="574"/>
      <c r="P529" s="574"/>
      <c r="Q529" s="574"/>
      <c r="R529" s="574"/>
      <c r="S529" s="575"/>
      <c r="T529" s="574"/>
      <c r="U529" s="574"/>
    </row>
    <row r="530">
      <c r="A530" s="574"/>
      <c r="B530" s="574"/>
      <c r="C530" s="574"/>
      <c r="D530" s="671"/>
      <c r="E530" s="574"/>
      <c r="F530" s="574"/>
      <c r="G530" s="574"/>
      <c r="H530" s="574"/>
      <c r="I530" s="672"/>
      <c r="J530" s="574"/>
      <c r="K530" s="574"/>
      <c r="L530" s="574"/>
      <c r="M530" s="673"/>
      <c r="N530" s="672"/>
      <c r="O530" s="574"/>
      <c r="P530" s="574"/>
      <c r="Q530" s="574"/>
      <c r="R530" s="574"/>
      <c r="S530" s="575"/>
      <c r="T530" s="574"/>
      <c r="U530" s="574"/>
    </row>
    <row r="531">
      <c r="A531" s="574"/>
      <c r="B531" s="574"/>
      <c r="C531" s="574"/>
      <c r="D531" s="671"/>
      <c r="E531" s="574"/>
      <c r="F531" s="574"/>
      <c r="G531" s="574"/>
      <c r="H531" s="574"/>
      <c r="I531" s="672"/>
      <c r="J531" s="574"/>
      <c r="K531" s="574"/>
      <c r="L531" s="574"/>
      <c r="M531" s="673"/>
      <c r="N531" s="672"/>
      <c r="O531" s="574"/>
      <c r="P531" s="574"/>
      <c r="Q531" s="574"/>
      <c r="R531" s="574"/>
      <c r="S531" s="575"/>
      <c r="T531" s="574"/>
      <c r="U531" s="574"/>
    </row>
    <row r="532">
      <c r="A532" s="574"/>
      <c r="B532" s="574"/>
      <c r="C532" s="574"/>
      <c r="D532" s="671"/>
      <c r="E532" s="574"/>
      <c r="F532" s="574"/>
      <c r="G532" s="574"/>
      <c r="H532" s="574"/>
      <c r="I532" s="672"/>
      <c r="J532" s="574"/>
      <c r="K532" s="574"/>
      <c r="L532" s="574"/>
      <c r="M532" s="673"/>
      <c r="N532" s="672"/>
      <c r="O532" s="574"/>
      <c r="P532" s="574"/>
      <c r="Q532" s="574"/>
      <c r="R532" s="574"/>
      <c r="S532" s="575"/>
      <c r="T532" s="574"/>
      <c r="U532" s="574"/>
    </row>
    <row r="533">
      <c r="A533" s="574"/>
      <c r="B533" s="574"/>
      <c r="C533" s="574"/>
      <c r="D533" s="671"/>
      <c r="E533" s="574"/>
      <c r="F533" s="574"/>
      <c r="G533" s="574"/>
      <c r="H533" s="574"/>
      <c r="I533" s="672"/>
      <c r="J533" s="574"/>
      <c r="K533" s="574"/>
      <c r="L533" s="574"/>
      <c r="M533" s="673"/>
      <c r="N533" s="672"/>
      <c r="O533" s="574"/>
      <c r="P533" s="574"/>
      <c r="Q533" s="574"/>
      <c r="R533" s="574"/>
      <c r="S533" s="575"/>
      <c r="T533" s="574"/>
      <c r="U533" s="574"/>
    </row>
    <row r="534">
      <c r="A534" s="574"/>
      <c r="B534" s="574"/>
      <c r="C534" s="574"/>
      <c r="D534" s="671"/>
      <c r="E534" s="574"/>
      <c r="F534" s="574"/>
      <c r="G534" s="574"/>
      <c r="H534" s="574"/>
      <c r="I534" s="672"/>
      <c r="J534" s="574"/>
      <c r="K534" s="574"/>
      <c r="L534" s="574"/>
      <c r="M534" s="673"/>
      <c r="N534" s="672"/>
      <c r="O534" s="574"/>
      <c r="P534" s="574"/>
      <c r="Q534" s="574"/>
      <c r="R534" s="574"/>
      <c r="S534" s="575"/>
      <c r="T534" s="574"/>
      <c r="U534" s="574"/>
    </row>
    <row r="535">
      <c r="A535" s="574"/>
      <c r="B535" s="574"/>
      <c r="C535" s="574"/>
      <c r="D535" s="671"/>
      <c r="E535" s="574"/>
      <c r="F535" s="574"/>
      <c r="G535" s="574"/>
      <c r="H535" s="574"/>
      <c r="I535" s="672"/>
      <c r="J535" s="574"/>
      <c r="K535" s="574"/>
      <c r="L535" s="574"/>
      <c r="M535" s="673"/>
      <c r="N535" s="672"/>
      <c r="O535" s="574"/>
      <c r="P535" s="574"/>
      <c r="Q535" s="574"/>
      <c r="R535" s="574"/>
      <c r="S535" s="575"/>
      <c r="T535" s="574"/>
      <c r="U535" s="574"/>
    </row>
    <row r="536">
      <c r="A536" s="574"/>
      <c r="B536" s="574"/>
      <c r="C536" s="574"/>
      <c r="D536" s="671"/>
      <c r="E536" s="574"/>
      <c r="F536" s="574"/>
      <c r="G536" s="574"/>
      <c r="H536" s="574"/>
      <c r="I536" s="672"/>
      <c r="J536" s="574"/>
      <c r="K536" s="574"/>
      <c r="L536" s="574"/>
      <c r="M536" s="673"/>
      <c r="N536" s="672"/>
      <c r="O536" s="574"/>
      <c r="P536" s="574"/>
      <c r="Q536" s="574"/>
      <c r="R536" s="574"/>
      <c r="S536" s="575"/>
      <c r="T536" s="574"/>
      <c r="U536" s="574"/>
    </row>
    <row r="537">
      <c r="A537" s="574"/>
      <c r="B537" s="574"/>
      <c r="C537" s="574"/>
      <c r="D537" s="671"/>
      <c r="E537" s="574"/>
      <c r="F537" s="574"/>
      <c r="G537" s="574"/>
      <c r="H537" s="574"/>
      <c r="I537" s="672"/>
      <c r="J537" s="574"/>
      <c r="K537" s="574"/>
      <c r="L537" s="574"/>
      <c r="M537" s="673"/>
      <c r="N537" s="672"/>
      <c r="O537" s="574"/>
      <c r="P537" s="574"/>
      <c r="Q537" s="574"/>
      <c r="R537" s="574"/>
      <c r="S537" s="575"/>
      <c r="T537" s="574"/>
      <c r="U537" s="574"/>
    </row>
    <row r="538">
      <c r="A538" s="574"/>
      <c r="B538" s="574"/>
      <c r="C538" s="574"/>
      <c r="D538" s="671"/>
      <c r="E538" s="574"/>
      <c r="F538" s="574"/>
      <c r="G538" s="574"/>
      <c r="H538" s="574"/>
      <c r="I538" s="672"/>
      <c r="J538" s="574"/>
      <c r="K538" s="574"/>
      <c r="L538" s="574"/>
      <c r="M538" s="673"/>
      <c r="N538" s="672"/>
      <c r="O538" s="574"/>
      <c r="P538" s="574"/>
      <c r="Q538" s="574"/>
      <c r="R538" s="574"/>
      <c r="S538" s="575"/>
      <c r="T538" s="574"/>
      <c r="U538" s="574"/>
    </row>
    <row r="539">
      <c r="A539" s="574"/>
      <c r="B539" s="574"/>
      <c r="C539" s="574"/>
      <c r="D539" s="671"/>
      <c r="E539" s="574"/>
      <c r="F539" s="574"/>
      <c r="G539" s="574"/>
      <c r="H539" s="574"/>
      <c r="I539" s="672"/>
      <c r="J539" s="574"/>
      <c r="K539" s="574"/>
      <c r="L539" s="574"/>
      <c r="M539" s="673"/>
      <c r="N539" s="672"/>
      <c r="O539" s="574"/>
      <c r="P539" s="574"/>
      <c r="Q539" s="574"/>
      <c r="R539" s="574"/>
      <c r="S539" s="575"/>
      <c r="T539" s="574"/>
      <c r="U539" s="574"/>
    </row>
    <row r="540">
      <c r="A540" s="574"/>
      <c r="B540" s="574"/>
      <c r="C540" s="574"/>
      <c r="D540" s="671"/>
      <c r="E540" s="574"/>
      <c r="F540" s="574"/>
      <c r="G540" s="574"/>
      <c r="H540" s="574"/>
      <c r="I540" s="672"/>
      <c r="J540" s="574"/>
      <c r="K540" s="574"/>
      <c r="L540" s="574"/>
      <c r="M540" s="673"/>
      <c r="N540" s="672"/>
      <c r="O540" s="574"/>
      <c r="P540" s="574"/>
      <c r="Q540" s="574"/>
      <c r="R540" s="574"/>
      <c r="S540" s="575"/>
      <c r="T540" s="574"/>
      <c r="U540" s="574"/>
    </row>
    <row r="541">
      <c r="A541" s="574"/>
      <c r="B541" s="574"/>
      <c r="C541" s="574"/>
      <c r="D541" s="671"/>
      <c r="E541" s="574"/>
      <c r="F541" s="574"/>
      <c r="G541" s="574"/>
      <c r="H541" s="574"/>
      <c r="I541" s="672"/>
      <c r="J541" s="574"/>
      <c r="K541" s="574"/>
      <c r="L541" s="574"/>
      <c r="M541" s="673"/>
      <c r="N541" s="672"/>
      <c r="O541" s="574"/>
      <c r="P541" s="574"/>
      <c r="Q541" s="574"/>
      <c r="R541" s="574"/>
      <c r="S541" s="575"/>
      <c r="T541" s="574"/>
      <c r="U541" s="574"/>
    </row>
    <row r="542">
      <c r="A542" s="574"/>
      <c r="B542" s="574"/>
      <c r="C542" s="574"/>
      <c r="D542" s="671"/>
      <c r="E542" s="574"/>
      <c r="F542" s="574"/>
      <c r="G542" s="574"/>
      <c r="H542" s="574"/>
      <c r="I542" s="672"/>
      <c r="J542" s="574"/>
      <c r="K542" s="574"/>
      <c r="L542" s="574"/>
      <c r="M542" s="673"/>
      <c r="N542" s="672"/>
      <c r="O542" s="574"/>
      <c r="P542" s="574"/>
      <c r="Q542" s="574"/>
      <c r="R542" s="574"/>
      <c r="S542" s="575"/>
      <c r="T542" s="574"/>
      <c r="U542" s="574"/>
    </row>
    <row r="543">
      <c r="A543" s="574"/>
      <c r="B543" s="574"/>
      <c r="C543" s="574"/>
      <c r="D543" s="671"/>
      <c r="E543" s="574"/>
      <c r="F543" s="574"/>
      <c r="G543" s="574"/>
      <c r="H543" s="574"/>
      <c r="I543" s="672"/>
      <c r="J543" s="574"/>
      <c r="K543" s="574"/>
      <c r="L543" s="574"/>
      <c r="M543" s="673"/>
      <c r="N543" s="672"/>
      <c r="O543" s="574"/>
      <c r="P543" s="574"/>
      <c r="Q543" s="574"/>
      <c r="R543" s="574"/>
      <c r="S543" s="575"/>
      <c r="T543" s="574"/>
      <c r="U543" s="574"/>
    </row>
    <row r="544">
      <c r="A544" s="574"/>
      <c r="B544" s="574"/>
      <c r="C544" s="574"/>
      <c r="D544" s="671"/>
      <c r="E544" s="574"/>
      <c r="F544" s="574"/>
      <c r="G544" s="574"/>
      <c r="H544" s="574"/>
      <c r="I544" s="672"/>
      <c r="J544" s="574"/>
      <c r="K544" s="574"/>
      <c r="L544" s="574"/>
      <c r="M544" s="673"/>
      <c r="N544" s="672"/>
      <c r="O544" s="574"/>
      <c r="P544" s="574"/>
      <c r="Q544" s="574"/>
      <c r="R544" s="574"/>
      <c r="S544" s="575"/>
      <c r="T544" s="574"/>
      <c r="U544" s="574"/>
    </row>
    <row r="545">
      <c r="A545" s="574"/>
      <c r="B545" s="574"/>
      <c r="C545" s="574"/>
      <c r="D545" s="671"/>
      <c r="E545" s="574"/>
      <c r="F545" s="574"/>
      <c r="G545" s="574"/>
      <c r="H545" s="574"/>
      <c r="I545" s="672"/>
      <c r="J545" s="574"/>
      <c r="K545" s="574"/>
      <c r="L545" s="574"/>
      <c r="M545" s="673"/>
      <c r="N545" s="672"/>
      <c r="O545" s="574"/>
      <c r="P545" s="574"/>
      <c r="Q545" s="574"/>
      <c r="R545" s="574"/>
      <c r="S545" s="575"/>
      <c r="T545" s="574"/>
      <c r="U545" s="574"/>
    </row>
    <row r="546">
      <c r="A546" s="574"/>
      <c r="B546" s="574"/>
      <c r="C546" s="574"/>
      <c r="D546" s="671"/>
      <c r="E546" s="574"/>
      <c r="F546" s="574"/>
      <c r="G546" s="574"/>
      <c r="H546" s="574"/>
      <c r="I546" s="672"/>
      <c r="J546" s="574"/>
      <c r="K546" s="574"/>
      <c r="L546" s="574"/>
      <c r="M546" s="673"/>
      <c r="N546" s="672"/>
      <c r="O546" s="574"/>
      <c r="P546" s="574"/>
      <c r="Q546" s="574"/>
      <c r="R546" s="574"/>
      <c r="S546" s="575"/>
      <c r="T546" s="574"/>
      <c r="U546" s="574"/>
    </row>
    <row r="547">
      <c r="A547" s="574"/>
      <c r="B547" s="574"/>
      <c r="C547" s="574"/>
      <c r="D547" s="671"/>
      <c r="E547" s="574"/>
      <c r="F547" s="574"/>
      <c r="G547" s="574"/>
      <c r="H547" s="574"/>
      <c r="I547" s="672"/>
      <c r="J547" s="574"/>
      <c r="K547" s="574"/>
      <c r="L547" s="574"/>
      <c r="M547" s="673"/>
      <c r="N547" s="672"/>
      <c r="O547" s="574"/>
      <c r="P547" s="574"/>
      <c r="Q547" s="574"/>
      <c r="R547" s="574"/>
      <c r="S547" s="575"/>
      <c r="T547" s="574"/>
      <c r="U547" s="574"/>
    </row>
    <row r="548">
      <c r="A548" s="574"/>
      <c r="B548" s="574"/>
      <c r="C548" s="574"/>
      <c r="D548" s="671"/>
      <c r="E548" s="574"/>
      <c r="F548" s="574"/>
      <c r="G548" s="574"/>
      <c r="H548" s="574"/>
      <c r="I548" s="672"/>
      <c r="J548" s="574"/>
      <c r="K548" s="574"/>
      <c r="L548" s="574"/>
      <c r="M548" s="673"/>
      <c r="N548" s="672"/>
      <c r="O548" s="574"/>
      <c r="P548" s="574"/>
      <c r="Q548" s="574"/>
      <c r="R548" s="574"/>
      <c r="S548" s="575"/>
      <c r="T548" s="574"/>
      <c r="U548" s="574"/>
    </row>
    <row r="549">
      <c r="A549" s="574"/>
      <c r="B549" s="574"/>
      <c r="C549" s="574"/>
      <c r="D549" s="671"/>
      <c r="E549" s="574"/>
      <c r="F549" s="574"/>
      <c r="G549" s="574"/>
      <c r="H549" s="574"/>
      <c r="I549" s="672"/>
      <c r="J549" s="574"/>
      <c r="K549" s="574"/>
      <c r="L549" s="574"/>
      <c r="M549" s="673"/>
      <c r="N549" s="672"/>
      <c r="O549" s="574"/>
      <c r="P549" s="574"/>
      <c r="Q549" s="574"/>
      <c r="R549" s="574"/>
      <c r="S549" s="575"/>
      <c r="T549" s="574"/>
      <c r="U549" s="574"/>
    </row>
    <row r="550">
      <c r="A550" s="574"/>
      <c r="B550" s="574"/>
      <c r="C550" s="574"/>
      <c r="D550" s="671"/>
      <c r="E550" s="574"/>
      <c r="F550" s="574"/>
      <c r="G550" s="574"/>
      <c r="H550" s="574"/>
      <c r="I550" s="672"/>
      <c r="J550" s="574"/>
      <c r="K550" s="574"/>
      <c r="L550" s="574"/>
      <c r="M550" s="673"/>
      <c r="N550" s="672"/>
      <c r="O550" s="574"/>
      <c r="P550" s="574"/>
      <c r="Q550" s="574"/>
      <c r="R550" s="574"/>
      <c r="S550" s="575"/>
      <c r="T550" s="574"/>
      <c r="U550" s="574"/>
    </row>
    <row r="551">
      <c r="A551" s="574"/>
      <c r="B551" s="574"/>
      <c r="C551" s="574"/>
      <c r="D551" s="671"/>
      <c r="E551" s="574"/>
      <c r="F551" s="574"/>
      <c r="G551" s="574"/>
      <c r="H551" s="574"/>
      <c r="I551" s="672"/>
      <c r="J551" s="574"/>
      <c r="K551" s="574"/>
      <c r="L551" s="574"/>
      <c r="M551" s="673"/>
      <c r="N551" s="672"/>
      <c r="O551" s="574"/>
      <c r="P551" s="574"/>
      <c r="Q551" s="574"/>
      <c r="R551" s="574"/>
      <c r="S551" s="575"/>
      <c r="T551" s="574"/>
      <c r="U551" s="574"/>
    </row>
    <row r="552">
      <c r="A552" s="574"/>
      <c r="B552" s="574"/>
      <c r="C552" s="574"/>
      <c r="D552" s="671"/>
      <c r="E552" s="574"/>
      <c r="F552" s="574"/>
      <c r="G552" s="574"/>
      <c r="H552" s="574"/>
      <c r="I552" s="672"/>
      <c r="J552" s="574"/>
      <c r="K552" s="574"/>
      <c r="L552" s="574"/>
      <c r="M552" s="673"/>
      <c r="N552" s="672"/>
      <c r="O552" s="574"/>
      <c r="P552" s="574"/>
      <c r="Q552" s="574"/>
      <c r="R552" s="574"/>
      <c r="S552" s="575"/>
      <c r="T552" s="574"/>
      <c r="U552" s="574"/>
    </row>
    <row r="553">
      <c r="A553" s="574"/>
      <c r="B553" s="574"/>
      <c r="C553" s="574"/>
      <c r="D553" s="671"/>
      <c r="E553" s="574"/>
      <c r="F553" s="574"/>
      <c r="G553" s="574"/>
      <c r="H553" s="574"/>
      <c r="I553" s="672"/>
      <c r="J553" s="574"/>
      <c r="K553" s="574"/>
      <c r="L553" s="574"/>
      <c r="M553" s="673"/>
      <c r="N553" s="672"/>
      <c r="O553" s="574"/>
      <c r="P553" s="574"/>
      <c r="Q553" s="574"/>
      <c r="R553" s="574"/>
      <c r="S553" s="575"/>
      <c r="T553" s="574"/>
      <c r="U553" s="574"/>
    </row>
    <row r="554">
      <c r="A554" s="574"/>
      <c r="B554" s="574"/>
      <c r="C554" s="574"/>
      <c r="D554" s="671"/>
      <c r="E554" s="574"/>
      <c r="F554" s="574"/>
      <c r="G554" s="574"/>
      <c r="H554" s="574"/>
      <c r="I554" s="672"/>
      <c r="J554" s="574"/>
      <c r="K554" s="574"/>
      <c r="L554" s="574"/>
      <c r="M554" s="673"/>
      <c r="N554" s="672"/>
      <c r="O554" s="574"/>
      <c r="P554" s="574"/>
      <c r="Q554" s="574"/>
      <c r="R554" s="574"/>
      <c r="S554" s="575"/>
      <c r="T554" s="574"/>
      <c r="U554" s="574"/>
    </row>
    <row r="555">
      <c r="A555" s="574"/>
      <c r="B555" s="574"/>
      <c r="C555" s="574"/>
      <c r="D555" s="671"/>
      <c r="E555" s="574"/>
      <c r="F555" s="574"/>
      <c r="G555" s="574"/>
      <c r="H555" s="574"/>
      <c r="I555" s="672"/>
      <c r="J555" s="574"/>
      <c r="K555" s="574"/>
      <c r="L555" s="574"/>
      <c r="M555" s="673"/>
      <c r="N555" s="672"/>
      <c r="O555" s="574"/>
      <c r="P555" s="574"/>
      <c r="Q555" s="574"/>
      <c r="R555" s="574"/>
      <c r="S555" s="575"/>
      <c r="T555" s="574"/>
      <c r="U555" s="574"/>
    </row>
    <row r="556">
      <c r="A556" s="574"/>
      <c r="B556" s="574"/>
      <c r="C556" s="574"/>
      <c r="D556" s="671"/>
      <c r="E556" s="574"/>
      <c r="F556" s="574"/>
      <c r="G556" s="574"/>
      <c r="H556" s="574"/>
      <c r="I556" s="672"/>
      <c r="J556" s="574"/>
      <c r="K556" s="574"/>
      <c r="L556" s="574"/>
      <c r="M556" s="673"/>
      <c r="N556" s="672"/>
      <c r="O556" s="574"/>
      <c r="P556" s="574"/>
      <c r="Q556" s="574"/>
      <c r="R556" s="574"/>
      <c r="S556" s="575"/>
      <c r="T556" s="574"/>
      <c r="U556" s="574"/>
    </row>
    <row r="557">
      <c r="A557" s="574"/>
      <c r="B557" s="574"/>
      <c r="C557" s="574"/>
      <c r="D557" s="671"/>
      <c r="E557" s="574"/>
      <c r="F557" s="574"/>
      <c r="G557" s="574"/>
      <c r="H557" s="574"/>
      <c r="I557" s="672"/>
      <c r="J557" s="574"/>
      <c r="K557" s="574"/>
      <c r="L557" s="574"/>
      <c r="M557" s="673"/>
      <c r="N557" s="672"/>
      <c r="O557" s="574"/>
      <c r="P557" s="574"/>
      <c r="Q557" s="574"/>
      <c r="R557" s="574"/>
      <c r="S557" s="575"/>
      <c r="T557" s="574"/>
      <c r="U557" s="574"/>
    </row>
    <row r="558">
      <c r="A558" s="574"/>
      <c r="B558" s="574"/>
      <c r="C558" s="574"/>
      <c r="D558" s="671"/>
      <c r="E558" s="574"/>
      <c r="F558" s="574"/>
      <c r="G558" s="574"/>
      <c r="H558" s="574"/>
      <c r="I558" s="672"/>
      <c r="J558" s="574"/>
      <c r="K558" s="574"/>
      <c r="L558" s="574"/>
      <c r="M558" s="673"/>
      <c r="N558" s="672"/>
      <c r="O558" s="574"/>
      <c r="P558" s="574"/>
      <c r="Q558" s="574"/>
      <c r="R558" s="574"/>
      <c r="S558" s="575"/>
      <c r="T558" s="574"/>
      <c r="U558" s="574"/>
    </row>
    <row r="559">
      <c r="A559" s="574"/>
      <c r="B559" s="574"/>
      <c r="C559" s="574"/>
      <c r="D559" s="671"/>
      <c r="E559" s="574"/>
      <c r="F559" s="574"/>
      <c r="G559" s="574"/>
      <c r="H559" s="574"/>
      <c r="I559" s="672"/>
      <c r="J559" s="574"/>
      <c r="K559" s="574"/>
      <c r="L559" s="574"/>
      <c r="M559" s="673"/>
      <c r="N559" s="672"/>
      <c r="O559" s="574"/>
      <c r="P559" s="574"/>
      <c r="Q559" s="574"/>
      <c r="R559" s="574"/>
      <c r="S559" s="575"/>
      <c r="T559" s="574"/>
      <c r="U559" s="574"/>
    </row>
    <row r="560">
      <c r="A560" s="574"/>
      <c r="B560" s="574"/>
      <c r="C560" s="574"/>
      <c r="D560" s="671"/>
      <c r="E560" s="574"/>
      <c r="F560" s="574"/>
      <c r="G560" s="574"/>
      <c r="H560" s="574"/>
      <c r="I560" s="672"/>
      <c r="J560" s="574"/>
      <c r="K560" s="574"/>
      <c r="L560" s="574"/>
      <c r="M560" s="673"/>
      <c r="N560" s="672"/>
      <c r="O560" s="574"/>
      <c r="P560" s="574"/>
      <c r="Q560" s="574"/>
      <c r="R560" s="574"/>
      <c r="S560" s="575"/>
      <c r="T560" s="574"/>
      <c r="U560" s="574"/>
    </row>
    <row r="561">
      <c r="A561" s="574"/>
      <c r="B561" s="574"/>
      <c r="C561" s="574"/>
      <c r="D561" s="671"/>
      <c r="E561" s="574"/>
      <c r="F561" s="574"/>
      <c r="G561" s="574"/>
      <c r="H561" s="574"/>
      <c r="I561" s="672"/>
      <c r="J561" s="574"/>
      <c r="K561" s="574"/>
      <c r="L561" s="574"/>
      <c r="M561" s="673"/>
      <c r="N561" s="672"/>
      <c r="O561" s="574"/>
      <c r="P561" s="574"/>
      <c r="Q561" s="574"/>
      <c r="R561" s="574"/>
      <c r="S561" s="575"/>
      <c r="T561" s="574"/>
      <c r="U561" s="574"/>
    </row>
    <row r="562">
      <c r="A562" s="574"/>
      <c r="B562" s="574"/>
      <c r="C562" s="574"/>
      <c r="D562" s="671"/>
      <c r="E562" s="574"/>
      <c r="F562" s="574"/>
      <c r="G562" s="574"/>
      <c r="H562" s="574"/>
      <c r="I562" s="672"/>
      <c r="J562" s="574"/>
      <c r="K562" s="574"/>
      <c r="L562" s="574"/>
      <c r="M562" s="673"/>
      <c r="N562" s="672"/>
      <c r="O562" s="574"/>
      <c r="P562" s="574"/>
      <c r="Q562" s="574"/>
      <c r="R562" s="574"/>
      <c r="S562" s="575"/>
      <c r="T562" s="574"/>
      <c r="U562" s="574"/>
    </row>
    <row r="563">
      <c r="A563" s="574"/>
      <c r="B563" s="574"/>
      <c r="C563" s="574"/>
      <c r="D563" s="671"/>
      <c r="E563" s="574"/>
      <c r="F563" s="574"/>
      <c r="G563" s="574"/>
      <c r="H563" s="574"/>
      <c r="I563" s="672"/>
      <c r="J563" s="574"/>
      <c r="K563" s="574"/>
      <c r="L563" s="574"/>
      <c r="M563" s="673"/>
      <c r="N563" s="672"/>
      <c r="O563" s="574"/>
      <c r="P563" s="574"/>
      <c r="Q563" s="574"/>
      <c r="R563" s="574"/>
      <c r="S563" s="575"/>
      <c r="T563" s="574"/>
      <c r="U563" s="574"/>
    </row>
    <row r="564">
      <c r="A564" s="574"/>
      <c r="B564" s="574"/>
      <c r="C564" s="574"/>
      <c r="D564" s="671"/>
      <c r="E564" s="574"/>
      <c r="F564" s="574"/>
      <c r="G564" s="574"/>
      <c r="H564" s="574"/>
      <c r="I564" s="672"/>
      <c r="J564" s="574"/>
      <c r="K564" s="574"/>
      <c r="L564" s="574"/>
      <c r="M564" s="673"/>
      <c r="N564" s="672"/>
      <c r="O564" s="574"/>
      <c r="P564" s="574"/>
      <c r="Q564" s="574"/>
      <c r="R564" s="574"/>
      <c r="S564" s="575"/>
      <c r="T564" s="574"/>
      <c r="U564" s="574"/>
    </row>
    <row r="565">
      <c r="A565" s="574"/>
      <c r="B565" s="574"/>
      <c r="C565" s="574"/>
      <c r="D565" s="671"/>
      <c r="E565" s="574"/>
      <c r="F565" s="574"/>
      <c r="G565" s="574"/>
      <c r="H565" s="574"/>
      <c r="I565" s="672"/>
      <c r="J565" s="574"/>
      <c r="K565" s="574"/>
      <c r="L565" s="574"/>
      <c r="M565" s="673"/>
      <c r="N565" s="672"/>
      <c r="O565" s="574"/>
      <c r="P565" s="574"/>
      <c r="Q565" s="574"/>
      <c r="R565" s="574"/>
      <c r="S565" s="575"/>
      <c r="T565" s="574"/>
      <c r="U565" s="574"/>
    </row>
    <row r="566">
      <c r="A566" s="574"/>
      <c r="B566" s="574"/>
      <c r="C566" s="574"/>
      <c r="D566" s="671"/>
      <c r="E566" s="574"/>
      <c r="F566" s="574"/>
      <c r="G566" s="574"/>
      <c r="H566" s="574"/>
      <c r="I566" s="672"/>
      <c r="J566" s="574"/>
      <c r="K566" s="574"/>
      <c r="L566" s="574"/>
      <c r="M566" s="673"/>
      <c r="N566" s="672"/>
      <c r="O566" s="574"/>
      <c r="P566" s="574"/>
      <c r="Q566" s="574"/>
      <c r="R566" s="574"/>
      <c r="S566" s="575"/>
      <c r="T566" s="574"/>
      <c r="U566" s="574"/>
    </row>
    <row r="567">
      <c r="A567" s="574"/>
      <c r="B567" s="574"/>
      <c r="C567" s="574"/>
      <c r="D567" s="671"/>
      <c r="E567" s="574"/>
      <c r="F567" s="574"/>
      <c r="G567" s="574"/>
      <c r="H567" s="574"/>
      <c r="I567" s="672"/>
      <c r="J567" s="574"/>
      <c r="K567" s="574"/>
      <c r="L567" s="574"/>
      <c r="M567" s="673"/>
      <c r="N567" s="672"/>
      <c r="O567" s="574"/>
      <c r="P567" s="574"/>
      <c r="Q567" s="574"/>
      <c r="R567" s="574"/>
      <c r="S567" s="575"/>
      <c r="T567" s="574"/>
      <c r="U567" s="574"/>
    </row>
    <row r="568">
      <c r="A568" s="574"/>
      <c r="B568" s="574"/>
      <c r="C568" s="574"/>
      <c r="D568" s="671"/>
      <c r="E568" s="574"/>
      <c r="F568" s="574"/>
      <c r="G568" s="574"/>
      <c r="H568" s="574"/>
      <c r="I568" s="672"/>
      <c r="J568" s="574"/>
      <c r="K568" s="574"/>
      <c r="L568" s="574"/>
      <c r="M568" s="673"/>
      <c r="N568" s="672"/>
      <c r="O568" s="574"/>
      <c r="P568" s="574"/>
      <c r="Q568" s="574"/>
      <c r="R568" s="574"/>
      <c r="S568" s="575"/>
      <c r="T568" s="574"/>
      <c r="U568" s="574"/>
    </row>
    <row r="569">
      <c r="A569" s="574"/>
      <c r="B569" s="574"/>
      <c r="C569" s="574"/>
      <c r="D569" s="671"/>
      <c r="E569" s="574"/>
      <c r="F569" s="574"/>
      <c r="G569" s="574"/>
      <c r="H569" s="574"/>
      <c r="I569" s="672"/>
      <c r="J569" s="574"/>
      <c r="K569" s="574"/>
      <c r="L569" s="574"/>
      <c r="M569" s="673"/>
      <c r="N569" s="672"/>
      <c r="O569" s="574"/>
      <c r="P569" s="574"/>
      <c r="Q569" s="574"/>
      <c r="R569" s="574"/>
      <c r="S569" s="575"/>
      <c r="T569" s="574"/>
      <c r="U569" s="574"/>
    </row>
    <row r="570">
      <c r="A570" s="574"/>
      <c r="B570" s="574"/>
      <c r="C570" s="574"/>
      <c r="D570" s="671"/>
      <c r="E570" s="574"/>
      <c r="F570" s="574"/>
      <c r="G570" s="574"/>
      <c r="H570" s="574"/>
      <c r="I570" s="672"/>
      <c r="J570" s="574"/>
      <c r="K570" s="574"/>
      <c r="L570" s="574"/>
      <c r="M570" s="673"/>
      <c r="N570" s="672"/>
      <c r="O570" s="574"/>
      <c r="P570" s="574"/>
      <c r="Q570" s="574"/>
      <c r="R570" s="574"/>
      <c r="S570" s="575"/>
      <c r="T570" s="574"/>
      <c r="U570" s="574"/>
    </row>
    <row r="571">
      <c r="A571" s="574"/>
      <c r="B571" s="574"/>
      <c r="C571" s="574"/>
      <c r="D571" s="671"/>
      <c r="E571" s="574"/>
      <c r="F571" s="574"/>
      <c r="G571" s="574"/>
      <c r="H571" s="574"/>
      <c r="I571" s="672"/>
      <c r="J571" s="574"/>
      <c r="K571" s="574"/>
      <c r="L571" s="574"/>
      <c r="M571" s="673"/>
      <c r="N571" s="672"/>
      <c r="O571" s="574"/>
      <c r="P571" s="574"/>
      <c r="Q571" s="574"/>
      <c r="R571" s="574"/>
      <c r="S571" s="575"/>
      <c r="T571" s="574"/>
      <c r="U571" s="574"/>
    </row>
    <row r="572">
      <c r="A572" s="574"/>
      <c r="B572" s="574"/>
      <c r="C572" s="574"/>
      <c r="D572" s="671"/>
      <c r="E572" s="574"/>
      <c r="F572" s="574"/>
      <c r="G572" s="574"/>
      <c r="H572" s="574"/>
      <c r="I572" s="672"/>
      <c r="J572" s="574"/>
      <c r="K572" s="574"/>
      <c r="L572" s="574"/>
      <c r="M572" s="673"/>
      <c r="N572" s="672"/>
      <c r="O572" s="574"/>
      <c r="P572" s="574"/>
      <c r="Q572" s="574"/>
      <c r="R572" s="574"/>
      <c r="S572" s="575"/>
      <c r="T572" s="574"/>
      <c r="U572" s="574"/>
    </row>
    <row r="573">
      <c r="A573" s="574"/>
      <c r="B573" s="574"/>
      <c r="C573" s="574"/>
      <c r="D573" s="671"/>
      <c r="E573" s="574"/>
      <c r="F573" s="574"/>
      <c r="G573" s="574"/>
      <c r="H573" s="574"/>
      <c r="I573" s="672"/>
      <c r="J573" s="574"/>
      <c r="K573" s="574"/>
      <c r="L573" s="574"/>
      <c r="M573" s="673"/>
      <c r="N573" s="672"/>
      <c r="O573" s="574"/>
      <c r="P573" s="574"/>
      <c r="Q573" s="574"/>
      <c r="R573" s="574"/>
      <c r="S573" s="575"/>
      <c r="T573" s="574"/>
      <c r="U573" s="574"/>
    </row>
    <row r="574">
      <c r="A574" s="574"/>
      <c r="B574" s="574"/>
      <c r="C574" s="574"/>
      <c r="D574" s="671"/>
      <c r="E574" s="574"/>
      <c r="F574" s="574"/>
      <c r="G574" s="574"/>
      <c r="H574" s="574"/>
      <c r="I574" s="672"/>
      <c r="J574" s="574"/>
      <c r="K574" s="574"/>
      <c r="L574" s="574"/>
      <c r="M574" s="673"/>
      <c r="N574" s="672"/>
      <c r="O574" s="574"/>
      <c r="P574" s="574"/>
      <c r="Q574" s="574"/>
      <c r="R574" s="574"/>
      <c r="S574" s="575"/>
      <c r="T574" s="574"/>
      <c r="U574" s="574"/>
    </row>
    <row r="575">
      <c r="A575" s="574"/>
      <c r="B575" s="574"/>
      <c r="C575" s="574"/>
      <c r="D575" s="671"/>
      <c r="E575" s="574"/>
      <c r="F575" s="574"/>
      <c r="G575" s="574"/>
      <c r="H575" s="574"/>
      <c r="I575" s="672"/>
      <c r="J575" s="574"/>
      <c r="K575" s="574"/>
      <c r="L575" s="574"/>
      <c r="M575" s="673"/>
      <c r="N575" s="672"/>
      <c r="O575" s="574"/>
      <c r="P575" s="574"/>
      <c r="Q575" s="574"/>
      <c r="R575" s="574"/>
      <c r="S575" s="575"/>
      <c r="T575" s="574"/>
      <c r="U575" s="574"/>
    </row>
    <row r="576">
      <c r="A576" s="574"/>
      <c r="B576" s="574"/>
      <c r="C576" s="574"/>
      <c r="D576" s="671"/>
      <c r="E576" s="574"/>
      <c r="F576" s="574"/>
      <c r="G576" s="574"/>
      <c r="H576" s="574"/>
      <c r="I576" s="672"/>
      <c r="J576" s="574"/>
      <c r="K576" s="574"/>
      <c r="L576" s="574"/>
      <c r="M576" s="673"/>
      <c r="N576" s="672"/>
      <c r="O576" s="574"/>
      <c r="P576" s="574"/>
      <c r="Q576" s="574"/>
      <c r="R576" s="574"/>
      <c r="S576" s="575"/>
      <c r="T576" s="574"/>
      <c r="U576" s="574"/>
    </row>
    <row r="577">
      <c r="A577" s="574"/>
      <c r="B577" s="574"/>
      <c r="C577" s="574"/>
      <c r="D577" s="671"/>
      <c r="E577" s="574"/>
      <c r="F577" s="574"/>
      <c r="G577" s="574"/>
      <c r="H577" s="574"/>
      <c r="I577" s="672"/>
      <c r="J577" s="574"/>
      <c r="K577" s="574"/>
      <c r="L577" s="574"/>
      <c r="M577" s="673"/>
      <c r="N577" s="672"/>
      <c r="O577" s="574"/>
      <c r="P577" s="574"/>
      <c r="Q577" s="574"/>
      <c r="R577" s="574"/>
      <c r="S577" s="575"/>
      <c r="T577" s="574"/>
      <c r="U577" s="574"/>
    </row>
    <row r="578">
      <c r="A578" s="574"/>
      <c r="B578" s="574"/>
      <c r="C578" s="574"/>
      <c r="D578" s="671"/>
      <c r="E578" s="574"/>
      <c r="F578" s="574"/>
      <c r="G578" s="574"/>
      <c r="H578" s="574"/>
      <c r="I578" s="672"/>
      <c r="J578" s="574"/>
      <c r="K578" s="574"/>
      <c r="L578" s="574"/>
      <c r="M578" s="673"/>
      <c r="N578" s="672"/>
      <c r="O578" s="574"/>
      <c r="P578" s="574"/>
      <c r="Q578" s="574"/>
      <c r="R578" s="574"/>
      <c r="S578" s="575"/>
      <c r="T578" s="574"/>
      <c r="U578" s="574"/>
    </row>
    <row r="579">
      <c r="A579" s="574"/>
      <c r="B579" s="574"/>
      <c r="C579" s="574"/>
      <c r="D579" s="671"/>
      <c r="E579" s="574"/>
      <c r="F579" s="574"/>
      <c r="G579" s="574"/>
      <c r="H579" s="574"/>
      <c r="I579" s="672"/>
      <c r="J579" s="574"/>
      <c r="K579" s="574"/>
      <c r="L579" s="574"/>
      <c r="M579" s="673"/>
      <c r="N579" s="672"/>
      <c r="O579" s="574"/>
      <c r="P579" s="574"/>
      <c r="Q579" s="574"/>
      <c r="R579" s="574"/>
      <c r="S579" s="575"/>
      <c r="T579" s="574"/>
      <c r="U579" s="574"/>
    </row>
    <row r="580">
      <c r="A580" s="574"/>
      <c r="B580" s="574"/>
      <c r="C580" s="574"/>
      <c r="D580" s="671"/>
      <c r="E580" s="574"/>
      <c r="F580" s="574"/>
      <c r="G580" s="574"/>
      <c r="H580" s="574"/>
      <c r="I580" s="672"/>
      <c r="J580" s="574"/>
      <c r="K580" s="574"/>
      <c r="L580" s="574"/>
      <c r="M580" s="673"/>
      <c r="N580" s="672"/>
      <c r="O580" s="574"/>
      <c r="P580" s="574"/>
      <c r="Q580" s="574"/>
      <c r="R580" s="574"/>
      <c r="S580" s="575"/>
      <c r="T580" s="574"/>
      <c r="U580" s="574"/>
    </row>
    <row r="581">
      <c r="A581" s="574"/>
      <c r="B581" s="574"/>
      <c r="C581" s="574"/>
      <c r="D581" s="671"/>
      <c r="E581" s="574"/>
      <c r="F581" s="574"/>
      <c r="G581" s="574"/>
      <c r="H581" s="574"/>
      <c r="I581" s="672"/>
      <c r="J581" s="574"/>
      <c r="K581" s="574"/>
      <c r="L581" s="574"/>
      <c r="M581" s="673"/>
      <c r="N581" s="672"/>
      <c r="O581" s="574"/>
      <c r="P581" s="574"/>
      <c r="Q581" s="574"/>
      <c r="R581" s="574"/>
      <c r="S581" s="575"/>
      <c r="T581" s="574"/>
      <c r="U581" s="574"/>
    </row>
    <row r="582">
      <c r="A582" s="574"/>
      <c r="B582" s="574"/>
      <c r="C582" s="574"/>
      <c r="D582" s="671"/>
      <c r="E582" s="574"/>
      <c r="F582" s="574"/>
      <c r="G582" s="574"/>
      <c r="H582" s="574"/>
      <c r="I582" s="672"/>
      <c r="J582" s="574"/>
      <c r="K582" s="574"/>
      <c r="L582" s="574"/>
      <c r="M582" s="673"/>
      <c r="N582" s="672"/>
      <c r="O582" s="574"/>
      <c r="P582" s="574"/>
      <c r="Q582" s="574"/>
      <c r="R582" s="574"/>
      <c r="S582" s="575"/>
      <c r="T582" s="574"/>
      <c r="U582" s="574"/>
    </row>
    <row r="583">
      <c r="A583" s="574"/>
      <c r="B583" s="574"/>
      <c r="C583" s="574"/>
      <c r="D583" s="671"/>
      <c r="E583" s="574"/>
      <c r="F583" s="574"/>
      <c r="G583" s="574"/>
      <c r="H583" s="574"/>
      <c r="I583" s="672"/>
      <c r="J583" s="574"/>
      <c r="K583" s="574"/>
      <c r="L583" s="574"/>
      <c r="M583" s="673"/>
      <c r="N583" s="672"/>
      <c r="O583" s="574"/>
      <c r="P583" s="574"/>
      <c r="Q583" s="574"/>
      <c r="R583" s="574"/>
      <c r="S583" s="575"/>
      <c r="T583" s="574"/>
      <c r="U583" s="574"/>
    </row>
    <row r="584">
      <c r="A584" s="574"/>
      <c r="B584" s="574"/>
      <c r="C584" s="574"/>
      <c r="D584" s="671"/>
      <c r="E584" s="574"/>
      <c r="F584" s="574"/>
      <c r="G584" s="574"/>
      <c r="H584" s="574"/>
      <c r="I584" s="672"/>
      <c r="J584" s="574"/>
      <c r="K584" s="574"/>
      <c r="L584" s="574"/>
      <c r="M584" s="673"/>
      <c r="N584" s="672"/>
      <c r="O584" s="574"/>
      <c r="P584" s="574"/>
      <c r="Q584" s="574"/>
      <c r="R584" s="574"/>
      <c r="S584" s="575"/>
      <c r="T584" s="574"/>
      <c r="U584" s="574"/>
    </row>
    <row r="585">
      <c r="A585" s="574"/>
      <c r="B585" s="574"/>
      <c r="C585" s="574"/>
      <c r="D585" s="671"/>
      <c r="E585" s="574"/>
      <c r="F585" s="574"/>
      <c r="G585" s="574"/>
      <c r="H585" s="574"/>
      <c r="I585" s="672"/>
      <c r="J585" s="574"/>
      <c r="K585" s="574"/>
      <c r="L585" s="574"/>
      <c r="M585" s="673"/>
      <c r="N585" s="672"/>
      <c r="O585" s="574"/>
      <c r="P585" s="574"/>
      <c r="Q585" s="574"/>
      <c r="R585" s="574"/>
      <c r="S585" s="575"/>
      <c r="T585" s="574"/>
      <c r="U585" s="574"/>
    </row>
    <row r="586">
      <c r="A586" s="574"/>
      <c r="B586" s="574"/>
      <c r="C586" s="574"/>
      <c r="D586" s="671"/>
      <c r="E586" s="574"/>
      <c r="F586" s="574"/>
      <c r="G586" s="574"/>
      <c r="H586" s="574"/>
      <c r="I586" s="672"/>
      <c r="J586" s="574"/>
      <c r="K586" s="574"/>
      <c r="L586" s="574"/>
      <c r="M586" s="673"/>
      <c r="N586" s="672"/>
      <c r="O586" s="574"/>
      <c r="P586" s="574"/>
      <c r="Q586" s="574"/>
      <c r="R586" s="574"/>
      <c r="S586" s="575"/>
      <c r="T586" s="574"/>
      <c r="U586" s="574"/>
    </row>
    <row r="587">
      <c r="A587" s="574"/>
      <c r="B587" s="574"/>
      <c r="C587" s="574"/>
      <c r="D587" s="671"/>
      <c r="E587" s="574"/>
      <c r="F587" s="574"/>
      <c r="G587" s="574"/>
      <c r="H587" s="574"/>
      <c r="I587" s="672"/>
      <c r="J587" s="574"/>
      <c r="K587" s="574"/>
      <c r="L587" s="574"/>
      <c r="M587" s="673"/>
      <c r="N587" s="672"/>
      <c r="O587" s="574"/>
      <c r="P587" s="574"/>
      <c r="Q587" s="574"/>
      <c r="R587" s="574"/>
      <c r="S587" s="575"/>
      <c r="T587" s="574"/>
      <c r="U587" s="574"/>
    </row>
    <row r="588">
      <c r="A588" s="574"/>
      <c r="B588" s="574"/>
      <c r="C588" s="574"/>
      <c r="D588" s="671"/>
      <c r="E588" s="574"/>
      <c r="F588" s="574"/>
      <c r="G588" s="574"/>
      <c r="H588" s="574"/>
      <c r="I588" s="672"/>
      <c r="J588" s="574"/>
      <c r="K588" s="574"/>
      <c r="L588" s="574"/>
      <c r="M588" s="673"/>
      <c r="N588" s="672"/>
      <c r="O588" s="574"/>
      <c r="P588" s="574"/>
      <c r="Q588" s="574"/>
      <c r="R588" s="574"/>
      <c r="S588" s="575"/>
      <c r="T588" s="574"/>
      <c r="U588" s="574"/>
    </row>
    <row r="589">
      <c r="A589" s="574"/>
      <c r="B589" s="574"/>
      <c r="C589" s="574"/>
      <c r="D589" s="671"/>
      <c r="E589" s="574"/>
      <c r="F589" s="574"/>
      <c r="G589" s="574"/>
      <c r="H589" s="574"/>
      <c r="I589" s="672"/>
      <c r="J589" s="574"/>
      <c r="K589" s="574"/>
      <c r="L589" s="574"/>
      <c r="M589" s="673"/>
      <c r="N589" s="672"/>
      <c r="O589" s="574"/>
      <c r="P589" s="574"/>
      <c r="Q589" s="574"/>
      <c r="R589" s="574"/>
      <c r="S589" s="575"/>
      <c r="T589" s="574"/>
      <c r="U589" s="574"/>
    </row>
    <row r="590">
      <c r="A590" s="574"/>
      <c r="B590" s="574"/>
      <c r="C590" s="574"/>
      <c r="D590" s="671"/>
      <c r="E590" s="574"/>
      <c r="F590" s="574"/>
      <c r="G590" s="574"/>
      <c r="H590" s="574"/>
      <c r="I590" s="672"/>
      <c r="J590" s="574"/>
      <c r="K590" s="574"/>
      <c r="L590" s="574"/>
      <c r="M590" s="673"/>
      <c r="N590" s="672"/>
      <c r="O590" s="574"/>
      <c r="P590" s="574"/>
      <c r="Q590" s="574"/>
      <c r="R590" s="574"/>
      <c r="S590" s="575"/>
      <c r="T590" s="574"/>
      <c r="U590" s="574"/>
    </row>
    <row r="591">
      <c r="A591" s="574"/>
      <c r="B591" s="574"/>
      <c r="C591" s="574"/>
      <c r="D591" s="671"/>
      <c r="E591" s="574"/>
      <c r="F591" s="574"/>
      <c r="G591" s="574"/>
      <c r="H591" s="574"/>
      <c r="I591" s="672"/>
      <c r="J591" s="574"/>
      <c r="K591" s="574"/>
      <c r="L591" s="574"/>
      <c r="M591" s="673"/>
      <c r="N591" s="672"/>
      <c r="O591" s="574"/>
      <c r="P591" s="574"/>
      <c r="Q591" s="574"/>
      <c r="R591" s="574"/>
      <c r="S591" s="575"/>
      <c r="T591" s="574"/>
      <c r="U591" s="574"/>
    </row>
    <row r="592">
      <c r="A592" s="574"/>
      <c r="B592" s="574"/>
      <c r="C592" s="574"/>
      <c r="D592" s="671"/>
      <c r="E592" s="574"/>
      <c r="F592" s="574"/>
      <c r="G592" s="574"/>
      <c r="H592" s="574"/>
      <c r="I592" s="672"/>
      <c r="J592" s="574"/>
      <c r="K592" s="574"/>
      <c r="L592" s="574"/>
      <c r="M592" s="673"/>
      <c r="N592" s="672"/>
      <c r="O592" s="574"/>
      <c r="P592" s="574"/>
      <c r="Q592" s="574"/>
      <c r="R592" s="574"/>
      <c r="S592" s="575"/>
      <c r="T592" s="574"/>
      <c r="U592" s="574"/>
    </row>
    <row r="593">
      <c r="A593" s="574"/>
      <c r="B593" s="574"/>
      <c r="C593" s="574"/>
      <c r="D593" s="671"/>
      <c r="E593" s="574"/>
      <c r="F593" s="574"/>
      <c r="G593" s="574"/>
      <c r="H593" s="574"/>
      <c r="I593" s="672"/>
      <c r="J593" s="574"/>
      <c r="K593" s="574"/>
      <c r="L593" s="574"/>
      <c r="M593" s="673"/>
      <c r="N593" s="672"/>
      <c r="O593" s="574"/>
      <c r="P593" s="574"/>
      <c r="Q593" s="574"/>
      <c r="R593" s="574"/>
      <c r="S593" s="575"/>
      <c r="T593" s="574"/>
      <c r="U593" s="574"/>
    </row>
    <row r="594">
      <c r="A594" s="574"/>
      <c r="B594" s="574"/>
      <c r="C594" s="574"/>
      <c r="D594" s="671"/>
      <c r="E594" s="574"/>
      <c r="F594" s="574"/>
      <c r="G594" s="574"/>
      <c r="H594" s="574"/>
      <c r="I594" s="672"/>
      <c r="J594" s="574"/>
      <c r="K594" s="574"/>
      <c r="L594" s="574"/>
      <c r="M594" s="673"/>
      <c r="N594" s="672"/>
      <c r="O594" s="574"/>
      <c r="P594" s="574"/>
      <c r="Q594" s="574"/>
      <c r="R594" s="574"/>
      <c r="S594" s="575"/>
      <c r="T594" s="574"/>
      <c r="U594" s="574"/>
    </row>
    <row r="595">
      <c r="A595" s="574"/>
      <c r="B595" s="574"/>
      <c r="C595" s="574"/>
      <c r="D595" s="671"/>
      <c r="E595" s="574"/>
      <c r="F595" s="574"/>
      <c r="G595" s="574"/>
      <c r="H595" s="574"/>
      <c r="I595" s="672"/>
      <c r="J595" s="574"/>
      <c r="K595" s="574"/>
      <c r="L595" s="574"/>
      <c r="M595" s="673"/>
      <c r="N595" s="672"/>
      <c r="O595" s="574"/>
      <c r="P595" s="574"/>
      <c r="Q595" s="574"/>
      <c r="R595" s="574"/>
      <c r="S595" s="575"/>
      <c r="T595" s="574"/>
      <c r="U595" s="574"/>
    </row>
    <row r="596">
      <c r="A596" s="574"/>
      <c r="B596" s="574"/>
      <c r="C596" s="574"/>
      <c r="D596" s="671"/>
      <c r="E596" s="574"/>
      <c r="F596" s="574"/>
      <c r="G596" s="574"/>
      <c r="H596" s="574"/>
      <c r="I596" s="672"/>
      <c r="J596" s="574"/>
      <c r="K596" s="574"/>
      <c r="L596" s="574"/>
      <c r="M596" s="673"/>
      <c r="N596" s="672"/>
      <c r="O596" s="574"/>
      <c r="P596" s="574"/>
      <c r="Q596" s="574"/>
      <c r="R596" s="574"/>
      <c r="S596" s="575"/>
      <c r="T596" s="574"/>
      <c r="U596" s="574"/>
    </row>
    <row r="597">
      <c r="A597" s="574"/>
      <c r="B597" s="574"/>
      <c r="C597" s="574"/>
      <c r="D597" s="671"/>
      <c r="E597" s="574"/>
      <c r="F597" s="574"/>
      <c r="G597" s="574"/>
      <c r="H597" s="574"/>
      <c r="I597" s="672"/>
      <c r="J597" s="574"/>
      <c r="K597" s="574"/>
      <c r="L597" s="574"/>
      <c r="M597" s="673"/>
      <c r="N597" s="672"/>
      <c r="O597" s="574"/>
      <c r="P597" s="574"/>
      <c r="Q597" s="574"/>
      <c r="R597" s="574"/>
      <c r="S597" s="575"/>
      <c r="T597" s="574"/>
      <c r="U597" s="574"/>
    </row>
    <row r="598">
      <c r="A598" s="574"/>
      <c r="B598" s="574"/>
      <c r="C598" s="574"/>
      <c r="D598" s="671"/>
      <c r="E598" s="574"/>
      <c r="F598" s="574"/>
      <c r="G598" s="574"/>
      <c r="H598" s="574"/>
      <c r="I598" s="672"/>
      <c r="J598" s="574"/>
      <c r="K598" s="574"/>
      <c r="L598" s="574"/>
      <c r="M598" s="673"/>
      <c r="N598" s="672"/>
      <c r="O598" s="574"/>
      <c r="P598" s="574"/>
      <c r="Q598" s="574"/>
      <c r="R598" s="574"/>
      <c r="S598" s="575"/>
      <c r="T598" s="574"/>
      <c r="U598" s="574"/>
    </row>
    <row r="599">
      <c r="A599" s="574"/>
      <c r="B599" s="574"/>
      <c r="C599" s="574"/>
      <c r="D599" s="671"/>
      <c r="E599" s="574"/>
      <c r="F599" s="574"/>
      <c r="G599" s="574"/>
      <c r="H599" s="574"/>
      <c r="I599" s="672"/>
      <c r="J599" s="574"/>
      <c r="K599" s="574"/>
      <c r="L599" s="574"/>
      <c r="M599" s="673"/>
      <c r="N599" s="672"/>
      <c r="O599" s="574"/>
      <c r="P599" s="574"/>
      <c r="Q599" s="574"/>
      <c r="R599" s="574"/>
      <c r="S599" s="575"/>
      <c r="T599" s="574"/>
      <c r="U599" s="574"/>
    </row>
    <row r="600">
      <c r="A600" s="574"/>
      <c r="B600" s="574"/>
      <c r="C600" s="574"/>
      <c r="D600" s="671"/>
      <c r="E600" s="574"/>
      <c r="F600" s="574"/>
      <c r="G600" s="574"/>
      <c r="H600" s="574"/>
      <c r="I600" s="672"/>
      <c r="J600" s="574"/>
      <c r="K600" s="574"/>
      <c r="L600" s="574"/>
      <c r="M600" s="673"/>
      <c r="N600" s="672"/>
      <c r="O600" s="574"/>
      <c r="P600" s="574"/>
      <c r="Q600" s="574"/>
      <c r="R600" s="574"/>
      <c r="S600" s="575"/>
      <c r="T600" s="574"/>
      <c r="U600" s="574"/>
    </row>
    <row r="601">
      <c r="A601" s="574"/>
      <c r="B601" s="574"/>
      <c r="C601" s="574"/>
      <c r="D601" s="671"/>
      <c r="E601" s="574"/>
      <c r="F601" s="574"/>
      <c r="G601" s="574"/>
      <c r="H601" s="574"/>
      <c r="I601" s="672"/>
      <c r="J601" s="574"/>
      <c r="K601" s="574"/>
      <c r="L601" s="574"/>
      <c r="M601" s="673"/>
      <c r="N601" s="672"/>
      <c r="O601" s="574"/>
      <c r="P601" s="574"/>
      <c r="Q601" s="574"/>
      <c r="R601" s="574"/>
      <c r="S601" s="575"/>
      <c r="T601" s="574"/>
      <c r="U601" s="574"/>
    </row>
    <row r="602">
      <c r="A602" s="574"/>
      <c r="B602" s="574"/>
      <c r="C602" s="574"/>
      <c r="D602" s="671"/>
      <c r="E602" s="574"/>
      <c r="F602" s="574"/>
      <c r="G602" s="574"/>
      <c r="H602" s="574"/>
      <c r="I602" s="672"/>
      <c r="J602" s="574"/>
      <c r="K602" s="574"/>
      <c r="L602" s="574"/>
      <c r="M602" s="673"/>
      <c r="N602" s="672"/>
      <c r="O602" s="574"/>
      <c r="P602" s="574"/>
      <c r="Q602" s="574"/>
      <c r="R602" s="574"/>
      <c r="S602" s="575"/>
      <c r="T602" s="574"/>
      <c r="U602" s="574"/>
    </row>
    <row r="603">
      <c r="A603" s="574"/>
      <c r="B603" s="574"/>
      <c r="C603" s="574"/>
      <c r="D603" s="671"/>
      <c r="E603" s="574"/>
      <c r="F603" s="574"/>
      <c r="G603" s="574"/>
      <c r="H603" s="574"/>
      <c r="I603" s="672"/>
      <c r="J603" s="574"/>
      <c r="K603" s="574"/>
      <c r="L603" s="574"/>
      <c r="M603" s="673"/>
      <c r="N603" s="672"/>
      <c r="O603" s="574"/>
      <c r="P603" s="574"/>
      <c r="Q603" s="574"/>
      <c r="R603" s="574"/>
      <c r="S603" s="575"/>
      <c r="T603" s="574"/>
      <c r="U603" s="574"/>
    </row>
    <row r="604">
      <c r="A604" s="574"/>
      <c r="B604" s="574"/>
      <c r="C604" s="574"/>
      <c r="D604" s="671"/>
      <c r="E604" s="574"/>
      <c r="F604" s="574"/>
      <c r="G604" s="574"/>
      <c r="H604" s="574"/>
      <c r="I604" s="672"/>
      <c r="J604" s="574"/>
      <c r="K604" s="574"/>
      <c r="L604" s="574"/>
      <c r="M604" s="673"/>
      <c r="N604" s="672"/>
      <c r="O604" s="574"/>
      <c r="P604" s="574"/>
      <c r="Q604" s="574"/>
      <c r="R604" s="574"/>
      <c r="S604" s="575"/>
      <c r="T604" s="574"/>
      <c r="U604" s="574"/>
    </row>
    <row r="605">
      <c r="A605" s="574"/>
      <c r="B605" s="574"/>
      <c r="C605" s="574"/>
      <c r="D605" s="671"/>
      <c r="E605" s="574"/>
      <c r="F605" s="574"/>
      <c r="G605" s="574"/>
      <c r="H605" s="574"/>
      <c r="I605" s="672"/>
      <c r="J605" s="574"/>
      <c r="K605" s="574"/>
      <c r="L605" s="574"/>
      <c r="M605" s="673"/>
      <c r="N605" s="672"/>
      <c r="O605" s="574"/>
      <c r="P605" s="574"/>
      <c r="Q605" s="574"/>
      <c r="R605" s="574"/>
      <c r="S605" s="575"/>
      <c r="T605" s="574"/>
      <c r="U605" s="574"/>
    </row>
    <row r="606">
      <c r="A606" s="574"/>
      <c r="B606" s="574"/>
      <c r="C606" s="574"/>
      <c r="D606" s="671"/>
      <c r="E606" s="574"/>
      <c r="F606" s="574"/>
      <c r="G606" s="574"/>
      <c r="H606" s="574"/>
      <c r="I606" s="672"/>
      <c r="J606" s="574"/>
      <c r="K606" s="574"/>
      <c r="L606" s="574"/>
      <c r="M606" s="673"/>
      <c r="N606" s="672"/>
      <c r="O606" s="574"/>
      <c r="P606" s="574"/>
      <c r="Q606" s="574"/>
      <c r="R606" s="574"/>
      <c r="S606" s="575"/>
      <c r="T606" s="574"/>
      <c r="U606" s="574"/>
    </row>
    <row r="607">
      <c r="A607" s="574"/>
      <c r="B607" s="574"/>
      <c r="C607" s="574"/>
      <c r="D607" s="671"/>
      <c r="E607" s="574"/>
      <c r="F607" s="574"/>
      <c r="G607" s="574"/>
      <c r="H607" s="574"/>
      <c r="I607" s="672"/>
      <c r="J607" s="574"/>
      <c r="K607" s="574"/>
      <c r="L607" s="574"/>
      <c r="M607" s="673"/>
      <c r="N607" s="672"/>
      <c r="O607" s="574"/>
      <c r="P607" s="574"/>
      <c r="Q607" s="574"/>
      <c r="R607" s="574"/>
      <c r="S607" s="575"/>
      <c r="T607" s="574"/>
      <c r="U607" s="574"/>
    </row>
    <row r="608">
      <c r="A608" s="574"/>
      <c r="B608" s="574"/>
      <c r="C608" s="574"/>
      <c r="D608" s="671"/>
      <c r="E608" s="574"/>
      <c r="F608" s="574"/>
      <c r="G608" s="574"/>
      <c r="H608" s="574"/>
      <c r="I608" s="672"/>
      <c r="J608" s="574"/>
      <c r="K608" s="574"/>
      <c r="L608" s="574"/>
      <c r="M608" s="673"/>
      <c r="N608" s="672"/>
      <c r="O608" s="574"/>
      <c r="P608" s="574"/>
      <c r="Q608" s="574"/>
      <c r="R608" s="574"/>
      <c r="S608" s="575"/>
      <c r="T608" s="574"/>
      <c r="U608" s="574"/>
    </row>
    <row r="609">
      <c r="A609" s="574"/>
      <c r="B609" s="574"/>
      <c r="C609" s="574"/>
      <c r="D609" s="671"/>
      <c r="E609" s="574"/>
      <c r="F609" s="574"/>
      <c r="G609" s="574"/>
      <c r="H609" s="574"/>
      <c r="I609" s="672"/>
      <c r="J609" s="574"/>
      <c r="K609" s="574"/>
      <c r="L609" s="574"/>
      <c r="M609" s="673"/>
      <c r="N609" s="672"/>
      <c r="O609" s="574"/>
      <c r="P609" s="574"/>
      <c r="Q609" s="574"/>
      <c r="R609" s="574"/>
      <c r="S609" s="575"/>
      <c r="T609" s="574"/>
      <c r="U609" s="574"/>
    </row>
    <row r="610">
      <c r="A610" s="574"/>
      <c r="B610" s="574"/>
      <c r="C610" s="574"/>
      <c r="D610" s="671"/>
      <c r="E610" s="574"/>
      <c r="F610" s="574"/>
      <c r="G610" s="574"/>
      <c r="H610" s="574"/>
      <c r="I610" s="672"/>
      <c r="J610" s="574"/>
      <c r="K610" s="574"/>
      <c r="L610" s="574"/>
      <c r="M610" s="673"/>
      <c r="N610" s="672"/>
      <c r="O610" s="574"/>
      <c r="P610" s="574"/>
      <c r="Q610" s="574"/>
      <c r="R610" s="574"/>
      <c r="S610" s="575"/>
      <c r="T610" s="574"/>
      <c r="U610" s="574"/>
    </row>
    <row r="611">
      <c r="A611" s="574"/>
      <c r="B611" s="574"/>
      <c r="C611" s="574"/>
      <c r="D611" s="671"/>
      <c r="E611" s="574"/>
      <c r="F611" s="574"/>
      <c r="G611" s="574"/>
      <c r="H611" s="574"/>
      <c r="I611" s="672"/>
      <c r="J611" s="574"/>
      <c r="K611" s="574"/>
      <c r="L611" s="574"/>
      <c r="M611" s="673"/>
      <c r="N611" s="672"/>
      <c r="O611" s="574"/>
      <c r="P611" s="574"/>
      <c r="Q611" s="574"/>
      <c r="R611" s="574"/>
      <c r="S611" s="575"/>
      <c r="T611" s="574"/>
      <c r="U611" s="574"/>
    </row>
    <row r="612">
      <c r="A612" s="574"/>
      <c r="B612" s="574"/>
      <c r="C612" s="574"/>
      <c r="D612" s="671"/>
      <c r="E612" s="574"/>
      <c r="F612" s="574"/>
      <c r="G612" s="574"/>
      <c r="H612" s="574"/>
      <c r="I612" s="672"/>
      <c r="J612" s="574"/>
      <c r="K612" s="574"/>
      <c r="L612" s="574"/>
      <c r="M612" s="673"/>
      <c r="N612" s="672"/>
      <c r="O612" s="574"/>
      <c r="P612" s="574"/>
      <c r="Q612" s="574"/>
      <c r="R612" s="574"/>
      <c r="S612" s="575"/>
      <c r="T612" s="574"/>
      <c r="U612" s="574"/>
    </row>
    <row r="613">
      <c r="A613" s="574"/>
      <c r="B613" s="574"/>
      <c r="C613" s="574"/>
      <c r="D613" s="671"/>
      <c r="E613" s="574"/>
      <c r="F613" s="574"/>
      <c r="G613" s="574"/>
      <c r="H613" s="574"/>
      <c r="I613" s="672"/>
      <c r="J613" s="574"/>
      <c r="K613" s="574"/>
      <c r="L613" s="574"/>
      <c r="M613" s="673"/>
      <c r="N613" s="672"/>
      <c r="O613" s="574"/>
      <c r="P613" s="574"/>
      <c r="Q613" s="574"/>
      <c r="R613" s="574"/>
      <c r="S613" s="575"/>
      <c r="T613" s="574"/>
      <c r="U613" s="574"/>
    </row>
    <row r="614">
      <c r="A614" s="574"/>
      <c r="B614" s="574"/>
      <c r="C614" s="574"/>
      <c r="D614" s="671"/>
      <c r="E614" s="574"/>
      <c r="F614" s="574"/>
      <c r="G614" s="574"/>
      <c r="H614" s="574"/>
      <c r="I614" s="672"/>
      <c r="J614" s="574"/>
      <c r="K614" s="574"/>
      <c r="L614" s="574"/>
      <c r="M614" s="673"/>
      <c r="N614" s="672"/>
      <c r="O614" s="574"/>
      <c r="P614" s="574"/>
      <c r="Q614" s="574"/>
      <c r="R614" s="574"/>
      <c r="S614" s="575"/>
      <c r="T614" s="574"/>
      <c r="U614" s="574"/>
    </row>
    <row r="615">
      <c r="A615" s="574"/>
      <c r="B615" s="574"/>
      <c r="C615" s="574"/>
      <c r="D615" s="671"/>
      <c r="E615" s="574"/>
      <c r="F615" s="574"/>
      <c r="G615" s="574"/>
      <c r="H615" s="574"/>
      <c r="I615" s="672"/>
      <c r="J615" s="574"/>
      <c r="K615" s="574"/>
      <c r="L615" s="574"/>
      <c r="M615" s="673"/>
      <c r="N615" s="672"/>
      <c r="O615" s="574"/>
      <c r="P615" s="574"/>
      <c r="Q615" s="574"/>
      <c r="R615" s="574"/>
      <c r="S615" s="575"/>
      <c r="T615" s="574"/>
      <c r="U615" s="574"/>
    </row>
    <row r="616">
      <c r="A616" s="574"/>
      <c r="B616" s="574"/>
      <c r="C616" s="574"/>
      <c r="D616" s="671"/>
      <c r="E616" s="574"/>
      <c r="F616" s="574"/>
      <c r="G616" s="574"/>
      <c r="H616" s="574"/>
      <c r="I616" s="672"/>
      <c r="J616" s="574"/>
      <c r="K616" s="574"/>
      <c r="L616" s="574"/>
      <c r="M616" s="673"/>
      <c r="N616" s="672"/>
      <c r="O616" s="574"/>
      <c r="P616" s="574"/>
      <c r="Q616" s="574"/>
      <c r="R616" s="574"/>
      <c r="S616" s="575"/>
      <c r="T616" s="574"/>
      <c r="U616" s="574"/>
    </row>
    <row r="617">
      <c r="A617" s="574"/>
      <c r="B617" s="574"/>
      <c r="C617" s="574"/>
      <c r="D617" s="671"/>
      <c r="E617" s="574"/>
      <c r="F617" s="574"/>
      <c r="G617" s="574"/>
      <c r="H617" s="574"/>
      <c r="I617" s="672"/>
      <c r="J617" s="574"/>
      <c r="K617" s="574"/>
      <c r="L617" s="574"/>
      <c r="M617" s="673"/>
      <c r="N617" s="672"/>
      <c r="O617" s="574"/>
      <c r="P617" s="574"/>
      <c r="Q617" s="574"/>
      <c r="R617" s="574"/>
      <c r="S617" s="575"/>
      <c r="T617" s="574"/>
      <c r="U617" s="574"/>
    </row>
    <row r="618">
      <c r="A618" s="574"/>
      <c r="B618" s="574"/>
      <c r="C618" s="574"/>
      <c r="D618" s="671"/>
      <c r="E618" s="574"/>
      <c r="F618" s="574"/>
      <c r="G618" s="574"/>
      <c r="H618" s="574"/>
      <c r="I618" s="672"/>
      <c r="J618" s="574"/>
      <c r="K618" s="574"/>
      <c r="L618" s="574"/>
      <c r="M618" s="673"/>
      <c r="N618" s="672"/>
      <c r="O618" s="574"/>
      <c r="P618" s="574"/>
      <c r="Q618" s="574"/>
      <c r="R618" s="574"/>
      <c r="S618" s="575"/>
      <c r="T618" s="574"/>
      <c r="U618" s="574"/>
    </row>
    <row r="619">
      <c r="A619" s="574"/>
      <c r="B619" s="574"/>
      <c r="C619" s="574"/>
      <c r="D619" s="671"/>
      <c r="E619" s="574"/>
      <c r="F619" s="574"/>
      <c r="G619" s="574"/>
      <c r="H619" s="574"/>
      <c r="I619" s="672"/>
      <c r="J619" s="574"/>
      <c r="K619" s="574"/>
      <c r="L619" s="574"/>
      <c r="M619" s="673"/>
      <c r="N619" s="672"/>
      <c r="O619" s="574"/>
      <c r="P619" s="574"/>
      <c r="Q619" s="574"/>
      <c r="R619" s="574"/>
      <c r="S619" s="575"/>
      <c r="T619" s="574"/>
      <c r="U619" s="574"/>
    </row>
    <row r="620">
      <c r="A620" s="574"/>
      <c r="B620" s="574"/>
      <c r="C620" s="574"/>
      <c r="D620" s="671"/>
      <c r="E620" s="574"/>
      <c r="F620" s="574"/>
      <c r="G620" s="574"/>
      <c r="H620" s="574"/>
      <c r="I620" s="672"/>
      <c r="J620" s="574"/>
      <c r="K620" s="574"/>
      <c r="L620" s="574"/>
      <c r="M620" s="673"/>
      <c r="N620" s="672"/>
      <c r="O620" s="574"/>
      <c r="P620" s="574"/>
      <c r="Q620" s="574"/>
      <c r="R620" s="574"/>
      <c r="S620" s="575"/>
      <c r="T620" s="574"/>
      <c r="U620" s="574"/>
    </row>
    <row r="621">
      <c r="A621" s="574"/>
      <c r="B621" s="574"/>
      <c r="C621" s="574"/>
      <c r="D621" s="671"/>
      <c r="E621" s="574"/>
      <c r="F621" s="574"/>
      <c r="G621" s="574"/>
      <c r="H621" s="574"/>
      <c r="I621" s="672"/>
      <c r="J621" s="574"/>
      <c r="K621" s="574"/>
      <c r="L621" s="574"/>
      <c r="M621" s="673"/>
      <c r="N621" s="672"/>
      <c r="O621" s="574"/>
      <c r="P621" s="574"/>
      <c r="Q621" s="574"/>
      <c r="R621" s="574"/>
      <c r="S621" s="575"/>
      <c r="T621" s="574"/>
      <c r="U621" s="574"/>
    </row>
    <row r="622">
      <c r="A622" s="574"/>
      <c r="B622" s="574"/>
      <c r="C622" s="574"/>
      <c r="D622" s="671"/>
      <c r="E622" s="574"/>
      <c r="F622" s="574"/>
      <c r="G622" s="574"/>
      <c r="H622" s="574"/>
      <c r="I622" s="672"/>
      <c r="J622" s="574"/>
      <c r="K622" s="574"/>
      <c r="L622" s="574"/>
      <c r="M622" s="673"/>
      <c r="N622" s="672"/>
      <c r="O622" s="574"/>
      <c r="P622" s="574"/>
      <c r="Q622" s="574"/>
      <c r="R622" s="574"/>
      <c r="S622" s="575"/>
      <c r="T622" s="574"/>
      <c r="U622" s="574"/>
    </row>
    <row r="623">
      <c r="A623" s="574"/>
      <c r="B623" s="574"/>
      <c r="C623" s="574"/>
      <c r="D623" s="671"/>
      <c r="E623" s="574"/>
      <c r="F623" s="574"/>
      <c r="G623" s="574"/>
      <c r="H623" s="574"/>
      <c r="I623" s="672"/>
      <c r="J623" s="574"/>
      <c r="K623" s="574"/>
      <c r="L623" s="574"/>
      <c r="M623" s="673"/>
      <c r="N623" s="672"/>
      <c r="O623" s="574"/>
      <c r="P623" s="574"/>
      <c r="Q623" s="574"/>
      <c r="R623" s="574"/>
      <c r="S623" s="575"/>
      <c r="T623" s="574"/>
      <c r="U623" s="574"/>
    </row>
    <row r="624">
      <c r="A624" s="574"/>
      <c r="B624" s="574"/>
      <c r="C624" s="574"/>
      <c r="D624" s="671"/>
      <c r="E624" s="574"/>
      <c r="F624" s="574"/>
      <c r="G624" s="574"/>
      <c r="H624" s="574"/>
      <c r="I624" s="672"/>
      <c r="J624" s="574"/>
      <c r="K624" s="574"/>
      <c r="L624" s="574"/>
      <c r="M624" s="673"/>
      <c r="N624" s="672"/>
      <c r="O624" s="574"/>
      <c r="P624" s="574"/>
      <c r="Q624" s="574"/>
      <c r="R624" s="574"/>
      <c r="S624" s="575"/>
      <c r="T624" s="574"/>
      <c r="U624" s="574"/>
    </row>
    <row r="625">
      <c r="A625" s="574"/>
      <c r="B625" s="574"/>
      <c r="C625" s="574"/>
      <c r="D625" s="671"/>
      <c r="E625" s="574"/>
      <c r="F625" s="574"/>
      <c r="G625" s="574"/>
      <c r="H625" s="574"/>
      <c r="I625" s="672"/>
      <c r="J625" s="574"/>
      <c r="K625" s="574"/>
      <c r="L625" s="574"/>
      <c r="M625" s="673"/>
      <c r="N625" s="672"/>
      <c r="O625" s="574"/>
      <c r="P625" s="574"/>
      <c r="Q625" s="574"/>
      <c r="R625" s="574"/>
      <c r="S625" s="575"/>
      <c r="T625" s="574"/>
      <c r="U625" s="574"/>
    </row>
    <row r="626">
      <c r="A626" s="574"/>
      <c r="B626" s="574"/>
      <c r="C626" s="574"/>
      <c r="D626" s="671"/>
      <c r="E626" s="574"/>
      <c r="F626" s="574"/>
      <c r="G626" s="574"/>
      <c r="H626" s="574"/>
      <c r="I626" s="672"/>
      <c r="J626" s="574"/>
      <c r="K626" s="574"/>
      <c r="L626" s="574"/>
      <c r="M626" s="673"/>
      <c r="N626" s="672"/>
      <c r="O626" s="574"/>
      <c r="P626" s="574"/>
      <c r="Q626" s="574"/>
      <c r="R626" s="574"/>
      <c r="S626" s="575"/>
      <c r="T626" s="574"/>
      <c r="U626" s="574"/>
    </row>
    <row r="627">
      <c r="A627" s="574"/>
      <c r="B627" s="574"/>
      <c r="C627" s="574"/>
      <c r="D627" s="671"/>
      <c r="E627" s="574"/>
      <c r="F627" s="574"/>
      <c r="G627" s="574"/>
      <c r="H627" s="574"/>
      <c r="I627" s="672"/>
      <c r="J627" s="574"/>
      <c r="K627" s="574"/>
      <c r="L627" s="574"/>
      <c r="M627" s="673"/>
      <c r="N627" s="672"/>
      <c r="O627" s="574"/>
      <c r="P627" s="574"/>
      <c r="Q627" s="574"/>
      <c r="R627" s="574"/>
      <c r="S627" s="575"/>
      <c r="T627" s="574"/>
      <c r="U627" s="574"/>
    </row>
    <row r="628">
      <c r="A628" s="574"/>
      <c r="B628" s="574"/>
      <c r="C628" s="574"/>
      <c r="D628" s="671"/>
      <c r="E628" s="574"/>
      <c r="F628" s="574"/>
      <c r="G628" s="574"/>
      <c r="H628" s="574"/>
      <c r="I628" s="672"/>
      <c r="J628" s="574"/>
      <c r="K628" s="574"/>
      <c r="L628" s="574"/>
      <c r="M628" s="673"/>
      <c r="N628" s="672"/>
      <c r="O628" s="574"/>
      <c r="P628" s="574"/>
      <c r="Q628" s="574"/>
      <c r="R628" s="574"/>
      <c r="S628" s="575"/>
      <c r="T628" s="574"/>
      <c r="U628" s="574"/>
    </row>
    <row r="629">
      <c r="A629" s="574"/>
      <c r="B629" s="574"/>
      <c r="C629" s="574"/>
      <c r="D629" s="671"/>
      <c r="E629" s="574"/>
      <c r="F629" s="574"/>
      <c r="G629" s="574"/>
      <c r="H629" s="574"/>
      <c r="I629" s="672"/>
      <c r="J629" s="574"/>
      <c r="K629" s="574"/>
      <c r="L629" s="574"/>
      <c r="M629" s="673"/>
      <c r="N629" s="672"/>
      <c r="O629" s="574"/>
      <c r="P629" s="574"/>
      <c r="Q629" s="574"/>
      <c r="R629" s="574"/>
      <c r="S629" s="575"/>
      <c r="T629" s="574"/>
      <c r="U629" s="574"/>
    </row>
    <row r="630">
      <c r="A630" s="574"/>
      <c r="B630" s="574"/>
      <c r="C630" s="574"/>
      <c r="D630" s="671"/>
      <c r="E630" s="574"/>
      <c r="F630" s="574"/>
      <c r="G630" s="574"/>
      <c r="H630" s="574"/>
      <c r="I630" s="672"/>
      <c r="J630" s="574"/>
      <c r="K630" s="574"/>
      <c r="L630" s="574"/>
      <c r="M630" s="673"/>
      <c r="N630" s="672"/>
      <c r="O630" s="574"/>
      <c r="P630" s="574"/>
      <c r="Q630" s="574"/>
      <c r="R630" s="574"/>
      <c r="S630" s="575"/>
      <c r="T630" s="574"/>
      <c r="U630" s="574"/>
    </row>
    <row r="631">
      <c r="A631" s="574"/>
      <c r="B631" s="574"/>
      <c r="C631" s="574"/>
      <c r="D631" s="671"/>
      <c r="E631" s="574"/>
      <c r="F631" s="574"/>
      <c r="G631" s="574"/>
      <c r="H631" s="574"/>
      <c r="I631" s="672"/>
      <c r="J631" s="574"/>
      <c r="K631" s="574"/>
      <c r="L631" s="574"/>
      <c r="M631" s="673"/>
      <c r="N631" s="672"/>
      <c r="O631" s="574"/>
      <c r="P631" s="574"/>
      <c r="Q631" s="574"/>
      <c r="R631" s="574"/>
      <c r="S631" s="575"/>
      <c r="T631" s="574"/>
      <c r="U631" s="574"/>
    </row>
    <row r="632">
      <c r="A632" s="574"/>
      <c r="B632" s="574"/>
      <c r="C632" s="574"/>
      <c r="D632" s="671"/>
      <c r="E632" s="574"/>
      <c r="F632" s="574"/>
      <c r="G632" s="574"/>
      <c r="H632" s="574"/>
      <c r="I632" s="672"/>
      <c r="J632" s="574"/>
      <c r="K632" s="574"/>
      <c r="L632" s="574"/>
      <c r="M632" s="673"/>
      <c r="N632" s="672"/>
      <c r="O632" s="574"/>
      <c r="P632" s="574"/>
      <c r="Q632" s="574"/>
      <c r="R632" s="574"/>
      <c r="S632" s="575"/>
      <c r="T632" s="574"/>
      <c r="U632" s="574"/>
    </row>
    <row r="633">
      <c r="A633" s="574"/>
      <c r="B633" s="574"/>
      <c r="C633" s="574"/>
      <c r="D633" s="671"/>
      <c r="E633" s="574"/>
      <c r="F633" s="574"/>
      <c r="G633" s="574"/>
      <c r="H633" s="574"/>
      <c r="I633" s="672"/>
      <c r="J633" s="574"/>
      <c r="K633" s="574"/>
      <c r="L633" s="574"/>
      <c r="M633" s="673"/>
      <c r="N633" s="672"/>
      <c r="O633" s="574"/>
      <c r="P633" s="574"/>
      <c r="Q633" s="574"/>
      <c r="R633" s="574"/>
      <c r="S633" s="575"/>
      <c r="T633" s="574"/>
      <c r="U633" s="574"/>
    </row>
    <row r="634">
      <c r="A634" s="574"/>
      <c r="B634" s="574"/>
      <c r="C634" s="574"/>
      <c r="D634" s="671"/>
      <c r="E634" s="574"/>
      <c r="F634" s="574"/>
      <c r="G634" s="574"/>
      <c r="H634" s="574"/>
      <c r="I634" s="672"/>
      <c r="J634" s="574"/>
      <c r="K634" s="574"/>
      <c r="L634" s="574"/>
      <c r="M634" s="673"/>
      <c r="N634" s="672"/>
      <c r="O634" s="574"/>
      <c r="P634" s="574"/>
      <c r="Q634" s="574"/>
      <c r="R634" s="574"/>
      <c r="S634" s="575"/>
      <c r="T634" s="574"/>
      <c r="U634" s="574"/>
    </row>
    <row r="635">
      <c r="A635" s="574"/>
      <c r="B635" s="574"/>
      <c r="C635" s="574"/>
      <c r="D635" s="671"/>
      <c r="E635" s="574"/>
      <c r="F635" s="574"/>
      <c r="G635" s="574"/>
      <c r="H635" s="574"/>
      <c r="I635" s="672"/>
      <c r="J635" s="574"/>
      <c r="K635" s="574"/>
      <c r="L635" s="574"/>
      <c r="M635" s="673"/>
      <c r="N635" s="672"/>
      <c r="O635" s="574"/>
      <c r="P635" s="574"/>
      <c r="Q635" s="574"/>
      <c r="R635" s="574"/>
      <c r="S635" s="575"/>
      <c r="T635" s="574"/>
      <c r="U635" s="574"/>
    </row>
    <row r="636">
      <c r="A636" s="574"/>
      <c r="B636" s="574"/>
      <c r="C636" s="574"/>
      <c r="D636" s="671"/>
      <c r="E636" s="574"/>
      <c r="F636" s="574"/>
      <c r="G636" s="574"/>
      <c r="H636" s="574"/>
      <c r="I636" s="672"/>
      <c r="J636" s="574"/>
      <c r="K636" s="574"/>
      <c r="L636" s="574"/>
      <c r="M636" s="673"/>
      <c r="N636" s="672"/>
      <c r="O636" s="574"/>
      <c r="P636" s="574"/>
      <c r="Q636" s="574"/>
      <c r="R636" s="574"/>
      <c r="S636" s="575"/>
      <c r="T636" s="574"/>
      <c r="U636" s="574"/>
    </row>
    <row r="637">
      <c r="A637" s="574"/>
      <c r="B637" s="574"/>
      <c r="C637" s="574"/>
      <c r="D637" s="671"/>
      <c r="E637" s="574"/>
      <c r="F637" s="574"/>
      <c r="G637" s="574"/>
      <c r="H637" s="574"/>
      <c r="I637" s="672"/>
      <c r="J637" s="574"/>
      <c r="K637" s="574"/>
      <c r="L637" s="574"/>
      <c r="M637" s="673"/>
      <c r="N637" s="672"/>
      <c r="O637" s="574"/>
      <c r="P637" s="574"/>
      <c r="Q637" s="574"/>
      <c r="R637" s="574"/>
      <c r="S637" s="575"/>
      <c r="T637" s="574"/>
      <c r="U637" s="574"/>
    </row>
    <row r="638">
      <c r="A638" s="574"/>
      <c r="B638" s="574"/>
      <c r="C638" s="574"/>
      <c r="D638" s="671"/>
      <c r="E638" s="574"/>
      <c r="F638" s="574"/>
      <c r="G638" s="574"/>
      <c r="H638" s="574"/>
      <c r="I638" s="672"/>
      <c r="J638" s="574"/>
      <c r="K638" s="574"/>
      <c r="L638" s="574"/>
      <c r="M638" s="673"/>
      <c r="N638" s="672"/>
      <c r="O638" s="574"/>
      <c r="P638" s="574"/>
      <c r="Q638" s="574"/>
      <c r="R638" s="574"/>
      <c r="S638" s="575"/>
      <c r="T638" s="574"/>
      <c r="U638" s="574"/>
    </row>
    <row r="639">
      <c r="A639" s="574"/>
      <c r="B639" s="574"/>
      <c r="C639" s="574"/>
      <c r="D639" s="671"/>
      <c r="E639" s="574"/>
      <c r="F639" s="574"/>
      <c r="G639" s="574"/>
      <c r="H639" s="574"/>
      <c r="I639" s="672"/>
      <c r="J639" s="574"/>
      <c r="K639" s="574"/>
      <c r="L639" s="574"/>
      <c r="M639" s="673"/>
      <c r="N639" s="672"/>
      <c r="O639" s="574"/>
      <c r="P639" s="574"/>
      <c r="Q639" s="574"/>
      <c r="R639" s="574"/>
      <c r="S639" s="575"/>
      <c r="T639" s="574"/>
      <c r="U639" s="574"/>
    </row>
    <row r="640">
      <c r="A640" s="574"/>
      <c r="B640" s="574"/>
      <c r="C640" s="574"/>
      <c r="D640" s="671"/>
      <c r="E640" s="574"/>
      <c r="F640" s="574"/>
      <c r="G640" s="574"/>
      <c r="H640" s="574"/>
      <c r="I640" s="672"/>
      <c r="J640" s="574"/>
      <c r="K640" s="574"/>
      <c r="L640" s="574"/>
      <c r="M640" s="673"/>
      <c r="N640" s="672"/>
      <c r="O640" s="574"/>
      <c r="P640" s="574"/>
      <c r="Q640" s="574"/>
      <c r="R640" s="574"/>
      <c r="S640" s="575"/>
      <c r="T640" s="574"/>
      <c r="U640" s="574"/>
    </row>
    <row r="641">
      <c r="A641" s="574"/>
      <c r="B641" s="574"/>
      <c r="C641" s="574"/>
      <c r="D641" s="671"/>
      <c r="E641" s="574"/>
      <c r="F641" s="574"/>
      <c r="G641" s="574"/>
      <c r="H641" s="574"/>
      <c r="I641" s="672"/>
      <c r="J641" s="574"/>
      <c r="K641" s="574"/>
      <c r="L641" s="574"/>
      <c r="M641" s="673"/>
      <c r="N641" s="672"/>
      <c r="O641" s="574"/>
      <c r="P641" s="574"/>
      <c r="Q641" s="574"/>
      <c r="R641" s="574"/>
      <c r="S641" s="575"/>
      <c r="T641" s="574"/>
      <c r="U641" s="574"/>
    </row>
    <row r="642">
      <c r="A642" s="574"/>
      <c r="B642" s="574"/>
      <c r="C642" s="574"/>
      <c r="D642" s="671"/>
      <c r="E642" s="574"/>
      <c r="F642" s="574"/>
      <c r="G642" s="574"/>
      <c r="H642" s="574"/>
      <c r="I642" s="672"/>
      <c r="J642" s="574"/>
      <c r="K642" s="574"/>
      <c r="L642" s="574"/>
      <c r="M642" s="673"/>
      <c r="N642" s="672"/>
      <c r="O642" s="574"/>
      <c r="P642" s="574"/>
      <c r="Q642" s="574"/>
      <c r="R642" s="574"/>
      <c r="S642" s="575"/>
      <c r="T642" s="574"/>
      <c r="U642" s="574"/>
    </row>
    <row r="643">
      <c r="A643" s="574"/>
      <c r="B643" s="574"/>
      <c r="C643" s="574"/>
      <c r="D643" s="671"/>
      <c r="E643" s="574"/>
      <c r="F643" s="574"/>
      <c r="G643" s="574"/>
      <c r="H643" s="574"/>
      <c r="I643" s="672"/>
      <c r="J643" s="574"/>
      <c r="K643" s="574"/>
      <c r="L643" s="574"/>
      <c r="M643" s="673"/>
      <c r="N643" s="672"/>
      <c r="O643" s="574"/>
      <c r="P643" s="574"/>
      <c r="Q643" s="574"/>
      <c r="R643" s="574"/>
      <c r="S643" s="575"/>
      <c r="T643" s="574"/>
      <c r="U643" s="574"/>
    </row>
    <row r="644">
      <c r="A644" s="574"/>
      <c r="B644" s="574"/>
      <c r="C644" s="574"/>
      <c r="D644" s="671"/>
      <c r="E644" s="574"/>
      <c r="F644" s="574"/>
      <c r="G644" s="574"/>
      <c r="H644" s="574"/>
      <c r="I644" s="672"/>
      <c r="J644" s="574"/>
      <c r="K644" s="574"/>
      <c r="L644" s="574"/>
      <c r="M644" s="673"/>
      <c r="N644" s="672"/>
      <c r="O644" s="574"/>
      <c r="P644" s="574"/>
      <c r="Q644" s="574"/>
      <c r="R644" s="574"/>
      <c r="S644" s="575"/>
      <c r="T644" s="574"/>
      <c r="U644" s="574"/>
    </row>
    <row r="645">
      <c r="A645" s="574"/>
      <c r="B645" s="574"/>
      <c r="C645" s="574"/>
      <c r="D645" s="671"/>
      <c r="E645" s="574"/>
      <c r="F645" s="574"/>
      <c r="G645" s="574"/>
      <c r="H645" s="574"/>
      <c r="I645" s="672"/>
      <c r="J645" s="574"/>
      <c r="K645" s="574"/>
      <c r="L645" s="574"/>
      <c r="M645" s="673"/>
      <c r="N645" s="672"/>
      <c r="O645" s="574"/>
      <c r="P645" s="574"/>
      <c r="Q645" s="574"/>
      <c r="R645" s="574"/>
      <c r="S645" s="575"/>
      <c r="T645" s="574"/>
      <c r="U645" s="574"/>
    </row>
    <row r="646">
      <c r="A646" s="574"/>
      <c r="B646" s="574"/>
      <c r="C646" s="574"/>
      <c r="D646" s="671"/>
      <c r="E646" s="574"/>
      <c r="F646" s="574"/>
      <c r="G646" s="574"/>
      <c r="H646" s="574"/>
      <c r="I646" s="672"/>
      <c r="J646" s="574"/>
      <c r="K646" s="574"/>
      <c r="L646" s="574"/>
      <c r="M646" s="673"/>
      <c r="N646" s="672"/>
      <c r="O646" s="574"/>
      <c r="P646" s="574"/>
      <c r="Q646" s="574"/>
      <c r="R646" s="574"/>
      <c r="S646" s="575"/>
      <c r="T646" s="574"/>
      <c r="U646" s="574"/>
    </row>
    <row r="647">
      <c r="A647" s="574"/>
      <c r="B647" s="574"/>
      <c r="C647" s="574"/>
      <c r="D647" s="671"/>
      <c r="E647" s="574"/>
      <c r="F647" s="574"/>
      <c r="G647" s="574"/>
      <c r="H647" s="574"/>
      <c r="I647" s="672"/>
      <c r="J647" s="574"/>
      <c r="K647" s="574"/>
      <c r="L647" s="574"/>
      <c r="M647" s="673"/>
      <c r="N647" s="672"/>
      <c r="O647" s="574"/>
      <c r="P647" s="574"/>
      <c r="Q647" s="574"/>
      <c r="R647" s="574"/>
      <c r="S647" s="575"/>
      <c r="T647" s="574"/>
      <c r="U647" s="574"/>
    </row>
    <row r="648">
      <c r="A648" s="574"/>
      <c r="B648" s="574"/>
      <c r="C648" s="574"/>
      <c r="D648" s="671"/>
      <c r="E648" s="574"/>
      <c r="F648" s="574"/>
      <c r="G648" s="574"/>
      <c r="H648" s="574"/>
      <c r="I648" s="672"/>
      <c r="J648" s="574"/>
      <c r="K648" s="574"/>
      <c r="L648" s="574"/>
      <c r="M648" s="673"/>
      <c r="N648" s="672"/>
      <c r="O648" s="574"/>
      <c r="P648" s="574"/>
      <c r="Q648" s="574"/>
      <c r="R648" s="574"/>
      <c r="S648" s="575"/>
      <c r="T648" s="574"/>
      <c r="U648" s="574"/>
    </row>
    <row r="649">
      <c r="A649" s="574"/>
      <c r="B649" s="574"/>
      <c r="C649" s="574"/>
      <c r="D649" s="671"/>
      <c r="E649" s="574"/>
      <c r="F649" s="574"/>
      <c r="G649" s="574"/>
      <c r="H649" s="574"/>
      <c r="I649" s="672"/>
      <c r="J649" s="574"/>
      <c r="K649" s="574"/>
      <c r="L649" s="574"/>
      <c r="M649" s="673"/>
      <c r="N649" s="672"/>
      <c r="O649" s="574"/>
      <c r="P649" s="574"/>
      <c r="Q649" s="574"/>
      <c r="R649" s="574"/>
      <c r="S649" s="575"/>
      <c r="T649" s="574"/>
      <c r="U649" s="574"/>
    </row>
    <row r="650">
      <c r="A650" s="574"/>
      <c r="B650" s="574"/>
      <c r="C650" s="574"/>
      <c r="D650" s="671"/>
      <c r="E650" s="574"/>
      <c r="F650" s="574"/>
      <c r="G650" s="574"/>
      <c r="H650" s="574"/>
      <c r="I650" s="672"/>
      <c r="J650" s="574"/>
      <c r="K650" s="574"/>
      <c r="L650" s="574"/>
      <c r="M650" s="673"/>
      <c r="N650" s="672"/>
      <c r="O650" s="574"/>
      <c r="P650" s="574"/>
      <c r="Q650" s="574"/>
      <c r="R650" s="574"/>
      <c r="S650" s="575"/>
      <c r="T650" s="574"/>
      <c r="U650" s="574"/>
    </row>
    <row r="651">
      <c r="A651" s="574"/>
      <c r="B651" s="574"/>
      <c r="C651" s="574"/>
      <c r="D651" s="671"/>
      <c r="E651" s="574"/>
      <c r="F651" s="574"/>
      <c r="G651" s="574"/>
      <c r="H651" s="574"/>
      <c r="I651" s="672"/>
      <c r="J651" s="574"/>
      <c r="K651" s="574"/>
      <c r="L651" s="574"/>
      <c r="M651" s="673"/>
      <c r="N651" s="672"/>
      <c r="O651" s="574"/>
      <c r="P651" s="574"/>
      <c r="Q651" s="574"/>
      <c r="R651" s="574"/>
      <c r="S651" s="575"/>
      <c r="T651" s="574"/>
      <c r="U651" s="574"/>
    </row>
    <row r="652">
      <c r="A652" s="574"/>
      <c r="B652" s="574"/>
      <c r="C652" s="574"/>
      <c r="D652" s="671"/>
      <c r="E652" s="574"/>
      <c r="F652" s="574"/>
      <c r="G652" s="574"/>
      <c r="H652" s="574"/>
      <c r="I652" s="672"/>
      <c r="J652" s="574"/>
      <c r="K652" s="574"/>
      <c r="L652" s="574"/>
      <c r="M652" s="673"/>
      <c r="N652" s="672"/>
      <c r="O652" s="574"/>
      <c r="P652" s="574"/>
      <c r="Q652" s="574"/>
      <c r="R652" s="574"/>
      <c r="S652" s="575"/>
      <c r="T652" s="574"/>
      <c r="U652" s="574"/>
    </row>
    <row r="653">
      <c r="A653" s="574"/>
      <c r="B653" s="574"/>
      <c r="C653" s="574"/>
      <c r="D653" s="671"/>
      <c r="E653" s="574"/>
      <c r="F653" s="574"/>
      <c r="G653" s="574"/>
      <c r="H653" s="574"/>
      <c r="I653" s="672"/>
      <c r="J653" s="574"/>
      <c r="K653" s="574"/>
      <c r="L653" s="574"/>
      <c r="M653" s="673"/>
      <c r="N653" s="672"/>
      <c r="O653" s="574"/>
      <c r="P653" s="574"/>
      <c r="Q653" s="574"/>
      <c r="R653" s="574"/>
      <c r="S653" s="575"/>
      <c r="T653" s="574"/>
      <c r="U653" s="574"/>
    </row>
    <row r="654">
      <c r="A654" s="574"/>
      <c r="B654" s="574"/>
      <c r="C654" s="574"/>
      <c r="D654" s="671"/>
      <c r="E654" s="574"/>
      <c r="F654" s="574"/>
      <c r="G654" s="574"/>
      <c r="H654" s="574"/>
      <c r="I654" s="672"/>
      <c r="J654" s="574"/>
      <c r="K654" s="574"/>
      <c r="L654" s="574"/>
      <c r="M654" s="673"/>
      <c r="N654" s="672"/>
      <c r="O654" s="574"/>
      <c r="P654" s="574"/>
      <c r="Q654" s="574"/>
      <c r="R654" s="574"/>
      <c r="S654" s="575"/>
      <c r="T654" s="574"/>
      <c r="U654" s="574"/>
    </row>
    <row r="655">
      <c r="A655" s="574"/>
      <c r="B655" s="574"/>
      <c r="C655" s="574"/>
      <c r="D655" s="671"/>
      <c r="E655" s="574"/>
      <c r="F655" s="574"/>
      <c r="G655" s="574"/>
      <c r="H655" s="574"/>
      <c r="I655" s="672"/>
      <c r="J655" s="574"/>
      <c r="K655" s="574"/>
      <c r="L655" s="574"/>
      <c r="M655" s="673"/>
      <c r="N655" s="672"/>
      <c r="O655" s="574"/>
      <c r="P655" s="574"/>
      <c r="Q655" s="574"/>
      <c r="R655" s="574"/>
      <c r="S655" s="575"/>
      <c r="T655" s="574"/>
      <c r="U655" s="574"/>
    </row>
    <row r="656">
      <c r="A656" s="574"/>
      <c r="B656" s="574"/>
      <c r="C656" s="574"/>
      <c r="D656" s="671"/>
      <c r="E656" s="574"/>
      <c r="F656" s="574"/>
      <c r="G656" s="574"/>
      <c r="H656" s="574"/>
      <c r="I656" s="672"/>
      <c r="J656" s="574"/>
      <c r="K656" s="574"/>
      <c r="L656" s="574"/>
      <c r="M656" s="673"/>
      <c r="N656" s="672"/>
      <c r="O656" s="574"/>
      <c r="P656" s="574"/>
      <c r="Q656" s="574"/>
      <c r="R656" s="574"/>
      <c r="S656" s="575"/>
      <c r="T656" s="574"/>
      <c r="U656" s="574"/>
    </row>
    <row r="657">
      <c r="A657" s="574"/>
      <c r="B657" s="574"/>
      <c r="C657" s="574"/>
      <c r="D657" s="671"/>
      <c r="E657" s="574"/>
      <c r="F657" s="574"/>
      <c r="G657" s="574"/>
      <c r="H657" s="574"/>
      <c r="I657" s="672"/>
      <c r="J657" s="574"/>
      <c r="K657" s="574"/>
      <c r="L657" s="574"/>
      <c r="M657" s="673"/>
      <c r="N657" s="672"/>
      <c r="O657" s="574"/>
      <c r="P657" s="574"/>
      <c r="Q657" s="574"/>
      <c r="R657" s="574"/>
      <c r="S657" s="575"/>
      <c r="T657" s="574"/>
      <c r="U657" s="574"/>
    </row>
    <row r="658">
      <c r="A658" s="574"/>
      <c r="B658" s="574"/>
      <c r="C658" s="574"/>
      <c r="D658" s="671"/>
      <c r="E658" s="574"/>
      <c r="F658" s="574"/>
      <c r="G658" s="574"/>
      <c r="H658" s="574"/>
      <c r="I658" s="672"/>
      <c r="J658" s="574"/>
      <c r="K658" s="574"/>
      <c r="L658" s="574"/>
      <c r="M658" s="673"/>
      <c r="N658" s="672"/>
      <c r="O658" s="574"/>
      <c r="P658" s="574"/>
      <c r="Q658" s="574"/>
      <c r="R658" s="574"/>
      <c r="S658" s="575"/>
      <c r="T658" s="574"/>
      <c r="U658" s="574"/>
    </row>
    <row r="659">
      <c r="A659" s="574"/>
      <c r="B659" s="574"/>
      <c r="C659" s="574"/>
      <c r="D659" s="671"/>
      <c r="E659" s="574"/>
      <c r="F659" s="574"/>
      <c r="G659" s="574"/>
      <c r="H659" s="574"/>
      <c r="I659" s="672"/>
      <c r="J659" s="574"/>
      <c r="K659" s="574"/>
      <c r="L659" s="574"/>
      <c r="M659" s="673"/>
      <c r="N659" s="672"/>
      <c r="O659" s="574"/>
      <c r="P659" s="574"/>
      <c r="Q659" s="574"/>
      <c r="R659" s="574"/>
      <c r="S659" s="575"/>
      <c r="T659" s="574"/>
      <c r="U659" s="574"/>
    </row>
    <row r="660">
      <c r="A660" s="574"/>
      <c r="B660" s="574"/>
      <c r="C660" s="574"/>
      <c r="D660" s="671"/>
      <c r="E660" s="574"/>
      <c r="F660" s="574"/>
      <c r="G660" s="574"/>
      <c r="H660" s="574"/>
      <c r="I660" s="672"/>
      <c r="J660" s="574"/>
      <c r="K660" s="574"/>
      <c r="L660" s="574"/>
      <c r="M660" s="673"/>
      <c r="N660" s="672"/>
      <c r="O660" s="574"/>
      <c r="P660" s="574"/>
      <c r="Q660" s="574"/>
      <c r="R660" s="574"/>
      <c r="S660" s="575"/>
      <c r="T660" s="574"/>
      <c r="U660" s="574"/>
    </row>
    <row r="661">
      <c r="A661" s="574"/>
      <c r="B661" s="574"/>
      <c r="C661" s="574"/>
      <c r="D661" s="671"/>
      <c r="E661" s="574"/>
      <c r="F661" s="574"/>
      <c r="G661" s="574"/>
      <c r="H661" s="574"/>
      <c r="I661" s="672"/>
      <c r="J661" s="574"/>
      <c r="K661" s="574"/>
      <c r="L661" s="574"/>
      <c r="M661" s="673"/>
      <c r="N661" s="672"/>
      <c r="O661" s="574"/>
      <c r="P661" s="574"/>
      <c r="Q661" s="574"/>
      <c r="R661" s="574"/>
      <c r="S661" s="575"/>
      <c r="T661" s="574"/>
      <c r="U661" s="574"/>
    </row>
    <row r="662">
      <c r="A662" s="574"/>
      <c r="B662" s="574"/>
      <c r="C662" s="574"/>
      <c r="D662" s="671"/>
      <c r="E662" s="574"/>
      <c r="F662" s="574"/>
      <c r="G662" s="574"/>
      <c r="H662" s="574"/>
      <c r="I662" s="672"/>
      <c r="J662" s="574"/>
      <c r="K662" s="574"/>
      <c r="L662" s="574"/>
      <c r="M662" s="673"/>
      <c r="N662" s="672"/>
      <c r="O662" s="574"/>
      <c r="P662" s="574"/>
      <c r="Q662" s="574"/>
      <c r="R662" s="574"/>
      <c r="S662" s="575"/>
      <c r="T662" s="574"/>
      <c r="U662" s="574"/>
    </row>
    <row r="663">
      <c r="A663" s="574"/>
      <c r="B663" s="574"/>
      <c r="C663" s="574"/>
      <c r="D663" s="671"/>
      <c r="E663" s="574"/>
      <c r="F663" s="574"/>
      <c r="G663" s="574"/>
      <c r="H663" s="574"/>
      <c r="I663" s="672"/>
      <c r="J663" s="574"/>
      <c r="K663" s="574"/>
      <c r="L663" s="574"/>
      <c r="M663" s="673"/>
      <c r="N663" s="672"/>
      <c r="O663" s="574"/>
      <c r="P663" s="574"/>
      <c r="Q663" s="574"/>
      <c r="R663" s="574"/>
      <c r="S663" s="575"/>
      <c r="T663" s="574"/>
      <c r="U663" s="574"/>
    </row>
    <row r="664">
      <c r="A664" s="574"/>
      <c r="B664" s="574"/>
      <c r="C664" s="574"/>
      <c r="D664" s="671"/>
      <c r="E664" s="574"/>
      <c r="F664" s="574"/>
      <c r="G664" s="574"/>
      <c r="H664" s="574"/>
      <c r="I664" s="672"/>
      <c r="J664" s="574"/>
      <c r="K664" s="574"/>
      <c r="L664" s="574"/>
      <c r="M664" s="673"/>
      <c r="N664" s="672"/>
      <c r="O664" s="574"/>
      <c r="P664" s="574"/>
      <c r="Q664" s="574"/>
      <c r="R664" s="574"/>
      <c r="S664" s="575"/>
      <c r="T664" s="574"/>
      <c r="U664" s="574"/>
    </row>
    <row r="665">
      <c r="A665" s="574"/>
      <c r="B665" s="574"/>
      <c r="C665" s="574"/>
      <c r="D665" s="671"/>
      <c r="E665" s="574"/>
      <c r="F665" s="574"/>
      <c r="G665" s="574"/>
      <c r="H665" s="574"/>
      <c r="I665" s="672"/>
      <c r="J665" s="574"/>
      <c r="K665" s="574"/>
      <c r="L665" s="574"/>
      <c r="M665" s="673"/>
      <c r="N665" s="672"/>
      <c r="O665" s="574"/>
      <c r="P665" s="574"/>
      <c r="Q665" s="574"/>
      <c r="R665" s="574"/>
      <c r="S665" s="575"/>
      <c r="T665" s="574"/>
      <c r="U665" s="574"/>
    </row>
    <row r="666">
      <c r="A666" s="574"/>
      <c r="B666" s="574"/>
      <c r="C666" s="574"/>
      <c r="D666" s="671"/>
      <c r="E666" s="574"/>
      <c r="F666" s="574"/>
      <c r="G666" s="574"/>
      <c r="H666" s="574"/>
      <c r="I666" s="672"/>
      <c r="J666" s="574"/>
      <c r="K666" s="574"/>
      <c r="L666" s="574"/>
      <c r="M666" s="673"/>
      <c r="N666" s="672"/>
      <c r="O666" s="574"/>
      <c r="P666" s="574"/>
      <c r="Q666" s="574"/>
      <c r="R666" s="574"/>
      <c r="S666" s="575"/>
      <c r="T666" s="574"/>
      <c r="U666" s="574"/>
    </row>
    <row r="667">
      <c r="A667" s="574"/>
      <c r="B667" s="574"/>
      <c r="C667" s="574"/>
      <c r="D667" s="671"/>
      <c r="E667" s="574"/>
      <c r="F667" s="574"/>
      <c r="G667" s="574"/>
      <c r="H667" s="574"/>
      <c r="I667" s="672"/>
      <c r="J667" s="574"/>
      <c r="K667" s="574"/>
      <c r="L667" s="574"/>
      <c r="M667" s="673"/>
      <c r="N667" s="672"/>
      <c r="O667" s="574"/>
      <c r="P667" s="574"/>
      <c r="Q667" s="574"/>
      <c r="R667" s="574"/>
      <c r="S667" s="575"/>
      <c r="T667" s="574"/>
      <c r="U667" s="574"/>
    </row>
    <row r="668">
      <c r="A668" s="574"/>
      <c r="B668" s="574"/>
      <c r="C668" s="574"/>
      <c r="D668" s="671"/>
      <c r="E668" s="574"/>
      <c r="F668" s="574"/>
      <c r="G668" s="574"/>
      <c r="H668" s="574"/>
      <c r="I668" s="672"/>
      <c r="J668" s="574"/>
      <c r="K668" s="574"/>
      <c r="L668" s="574"/>
      <c r="M668" s="673"/>
      <c r="N668" s="672"/>
      <c r="O668" s="574"/>
      <c r="P668" s="574"/>
      <c r="Q668" s="574"/>
      <c r="R668" s="574"/>
      <c r="S668" s="575"/>
      <c r="T668" s="574"/>
      <c r="U668" s="574"/>
    </row>
    <row r="669">
      <c r="A669" s="574"/>
      <c r="B669" s="574"/>
      <c r="C669" s="574"/>
      <c r="D669" s="671"/>
      <c r="E669" s="574"/>
      <c r="F669" s="574"/>
      <c r="G669" s="574"/>
      <c r="H669" s="574"/>
      <c r="I669" s="672"/>
      <c r="J669" s="574"/>
      <c r="K669" s="574"/>
      <c r="L669" s="574"/>
      <c r="M669" s="673"/>
      <c r="N669" s="672"/>
      <c r="O669" s="574"/>
      <c r="P669" s="574"/>
      <c r="Q669" s="574"/>
      <c r="R669" s="574"/>
      <c r="S669" s="575"/>
      <c r="T669" s="574"/>
      <c r="U669" s="574"/>
    </row>
    <row r="670">
      <c r="A670" s="574"/>
      <c r="B670" s="574"/>
      <c r="C670" s="574"/>
      <c r="D670" s="671"/>
      <c r="E670" s="574"/>
      <c r="F670" s="574"/>
      <c r="G670" s="574"/>
      <c r="H670" s="574"/>
      <c r="I670" s="672"/>
      <c r="J670" s="574"/>
      <c r="K670" s="574"/>
      <c r="L670" s="574"/>
      <c r="M670" s="673"/>
      <c r="N670" s="672"/>
      <c r="O670" s="574"/>
      <c r="P670" s="574"/>
      <c r="Q670" s="574"/>
      <c r="R670" s="574"/>
      <c r="S670" s="575"/>
      <c r="T670" s="574"/>
      <c r="U670" s="574"/>
    </row>
    <row r="671">
      <c r="A671" s="574"/>
      <c r="B671" s="574"/>
      <c r="C671" s="574"/>
      <c r="D671" s="671"/>
      <c r="E671" s="574"/>
      <c r="F671" s="574"/>
      <c r="G671" s="574"/>
      <c r="H671" s="574"/>
      <c r="I671" s="672"/>
      <c r="J671" s="574"/>
      <c r="K671" s="574"/>
      <c r="L671" s="574"/>
      <c r="M671" s="673"/>
      <c r="N671" s="672"/>
      <c r="O671" s="574"/>
      <c r="P671" s="574"/>
      <c r="Q671" s="574"/>
      <c r="R671" s="574"/>
      <c r="S671" s="575"/>
      <c r="T671" s="574"/>
      <c r="U671" s="574"/>
    </row>
    <row r="672">
      <c r="A672" s="574"/>
      <c r="B672" s="574"/>
      <c r="C672" s="574"/>
      <c r="D672" s="671"/>
      <c r="E672" s="574"/>
      <c r="F672" s="574"/>
      <c r="G672" s="574"/>
      <c r="H672" s="574"/>
      <c r="I672" s="672"/>
      <c r="J672" s="574"/>
      <c r="K672" s="574"/>
      <c r="L672" s="574"/>
      <c r="M672" s="673"/>
      <c r="N672" s="672"/>
      <c r="O672" s="574"/>
      <c r="P672" s="574"/>
      <c r="Q672" s="574"/>
      <c r="R672" s="574"/>
      <c r="S672" s="575"/>
      <c r="T672" s="574"/>
      <c r="U672" s="574"/>
    </row>
    <row r="673">
      <c r="A673" s="574"/>
      <c r="B673" s="574"/>
      <c r="C673" s="574"/>
      <c r="D673" s="671"/>
      <c r="E673" s="574"/>
      <c r="F673" s="574"/>
      <c r="G673" s="574"/>
      <c r="H673" s="574"/>
      <c r="I673" s="672"/>
      <c r="J673" s="574"/>
      <c r="K673" s="574"/>
      <c r="L673" s="574"/>
      <c r="M673" s="673"/>
      <c r="N673" s="672"/>
      <c r="O673" s="574"/>
      <c r="P673" s="574"/>
      <c r="Q673" s="574"/>
      <c r="R673" s="574"/>
      <c r="S673" s="575"/>
      <c r="T673" s="574"/>
      <c r="U673" s="574"/>
    </row>
    <row r="674">
      <c r="A674" s="574"/>
      <c r="B674" s="574"/>
      <c r="C674" s="574"/>
      <c r="D674" s="671"/>
      <c r="E674" s="574"/>
      <c r="F674" s="574"/>
      <c r="G674" s="574"/>
      <c r="H674" s="574"/>
      <c r="I674" s="672"/>
      <c r="J674" s="574"/>
      <c r="K674" s="574"/>
      <c r="L674" s="574"/>
      <c r="M674" s="673"/>
      <c r="N674" s="672"/>
      <c r="O674" s="574"/>
      <c r="P674" s="574"/>
      <c r="Q674" s="574"/>
      <c r="R674" s="574"/>
      <c r="S674" s="575"/>
      <c r="T674" s="574"/>
      <c r="U674" s="574"/>
    </row>
    <row r="675">
      <c r="A675" s="574"/>
      <c r="B675" s="574"/>
      <c r="C675" s="574"/>
      <c r="D675" s="671"/>
      <c r="E675" s="574"/>
      <c r="F675" s="574"/>
      <c r="G675" s="574"/>
      <c r="H675" s="574"/>
      <c r="I675" s="672"/>
      <c r="J675" s="574"/>
      <c r="K675" s="574"/>
      <c r="L675" s="574"/>
      <c r="M675" s="673"/>
      <c r="N675" s="672"/>
      <c r="O675" s="574"/>
      <c r="P675" s="574"/>
      <c r="Q675" s="574"/>
      <c r="R675" s="574"/>
      <c r="S675" s="575"/>
      <c r="T675" s="574"/>
      <c r="U675" s="574"/>
    </row>
    <row r="676">
      <c r="A676" s="574"/>
      <c r="B676" s="574"/>
      <c r="C676" s="574"/>
      <c r="D676" s="671"/>
      <c r="E676" s="574"/>
      <c r="F676" s="574"/>
      <c r="G676" s="574"/>
      <c r="H676" s="574"/>
      <c r="I676" s="672"/>
      <c r="J676" s="574"/>
      <c r="K676" s="574"/>
      <c r="L676" s="574"/>
      <c r="M676" s="673"/>
      <c r="N676" s="672"/>
      <c r="O676" s="574"/>
      <c r="P676" s="574"/>
      <c r="Q676" s="574"/>
      <c r="R676" s="574"/>
      <c r="S676" s="575"/>
      <c r="T676" s="574"/>
      <c r="U676" s="574"/>
    </row>
    <row r="677">
      <c r="A677" s="574"/>
      <c r="B677" s="574"/>
      <c r="C677" s="574"/>
      <c r="D677" s="671"/>
      <c r="E677" s="574"/>
      <c r="F677" s="574"/>
      <c r="G677" s="574"/>
      <c r="H677" s="574"/>
      <c r="I677" s="672"/>
      <c r="J677" s="574"/>
      <c r="K677" s="574"/>
      <c r="L677" s="574"/>
      <c r="M677" s="673"/>
      <c r="N677" s="672"/>
      <c r="O677" s="574"/>
      <c r="P677" s="574"/>
      <c r="Q677" s="574"/>
      <c r="R677" s="574"/>
      <c r="S677" s="575"/>
      <c r="T677" s="574"/>
      <c r="U677" s="574"/>
    </row>
    <row r="678">
      <c r="A678" s="574"/>
      <c r="B678" s="574"/>
      <c r="C678" s="574"/>
      <c r="D678" s="671"/>
      <c r="E678" s="574"/>
      <c r="F678" s="574"/>
      <c r="G678" s="574"/>
      <c r="H678" s="574"/>
      <c r="I678" s="672"/>
      <c r="J678" s="574"/>
      <c r="K678" s="574"/>
      <c r="L678" s="574"/>
      <c r="M678" s="673"/>
      <c r="N678" s="672"/>
      <c r="O678" s="574"/>
      <c r="P678" s="574"/>
      <c r="Q678" s="574"/>
      <c r="R678" s="574"/>
      <c r="S678" s="575"/>
      <c r="T678" s="574"/>
      <c r="U678" s="574"/>
    </row>
    <row r="679">
      <c r="A679" s="574"/>
      <c r="B679" s="574"/>
      <c r="C679" s="574"/>
      <c r="D679" s="671"/>
      <c r="E679" s="574"/>
      <c r="F679" s="574"/>
      <c r="G679" s="574"/>
      <c r="H679" s="574"/>
      <c r="I679" s="672"/>
      <c r="J679" s="574"/>
      <c r="K679" s="574"/>
      <c r="L679" s="574"/>
      <c r="M679" s="673"/>
      <c r="N679" s="672"/>
      <c r="O679" s="574"/>
      <c r="P679" s="574"/>
      <c r="Q679" s="574"/>
      <c r="R679" s="574"/>
      <c r="S679" s="575"/>
      <c r="T679" s="574"/>
      <c r="U679" s="574"/>
    </row>
    <row r="680">
      <c r="A680" s="574"/>
      <c r="B680" s="574"/>
      <c r="C680" s="574"/>
      <c r="D680" s="671"/>
      <c r="E680" s="574"/>
      <c r="F680" s="574"/>
      <c r="G680" s="574"/>
      <c r="H680" s="574"/>
      <c r="I680" s="672"/>
      <c r="J680" s="574"/>
      <c r="K680" s="574"/>
      <c r="L680" s="574"/>
      <c r="M680" s="673"/>
      <c r="N680" s="672"/>
      <c r="O680" s="574"/>
      <c r="P680" s="574"/>
      <c r="Q680" s="574"/>
      <c r="R680" s="574"/>
      <c r="S680" s="575"/>
      <c r="T680" s="574"/>
      <c r="U680" s="574"/>
    </row>
    <row r="681">
      <c r="A681" s="574"/>
      <c r="B681" s="574"/>
      <c r="C681" s="574"/>
      <c r="D681" s="671"/>
      <c r="E681" s="574"/>
      <c r="F681" s="574"/>
      <c r="G681" s="574"/>
      <c r="H681" s="574"/>
      <c r="I681" s="672"/>
      <c r="J681" s="574"/>
      <c r="K681" s="574"/>
      <c r="L681" s="574"/>
      <c r="M681" s="673"/>
      <c r="N681" s="672"/>
      <c r="O681" s="574"/>
      <c r="P681" s="574"/>
      <c r="Q681" s="574"/>
      <c r="R681" s="574"/>
      <c r="S681" s="575"/>
      <c r="T681" s="574"/>
      <c r="U681" s="574"/>
    </row>
    <row r="682">
      <c r="A682" s="574"/>
      <c r="B682" s="574"/>
      <c r="C682" s="574"/>
      <c r="D682" s="671"/>
      <c r="E682" s="574"/>
      <c r="F682" s="574"/>
      <c r="G682" s="574"/>
      <c r="H682" s="574"/>
      <c r="I682" s="672"/>
      <c r="J682" s="574"/>
      <c r="K682" s="574"/>
      <c r="L682" s="574"/>
      <c r="M682" s="673"/>
      <c r="N682" s="672"/>
      <c r="O682" s="574"/>
      <c r="P682" s="574"/>
      <c r="Q682" s="574"/>
      <c r="R682" s="574"/>
      <c r="S682" s="575"/>
      <c r="T682" s="574"/>
      <c r="U682" s="574"/>
    </row>
    <row r="683">
      <c r="A683" s="574"/>
      <c r="B683" s="574"/>
      <c r="C683" s="574"/>
      <c r="D683" s="671"/>
      <c r="E683" s="574"/>
      <c r="F683" s="574"/>
      <c r="G683" s="574"/>
      <c r="H683" s="574"/>
      <c r="I683" s="672"/>
      <c r="J683" s="574"/>
      <c r="K683" s="574"/>
      <c r="L683" s="574"/>
      <c r="M683" s="673"/>
      <c r="N683" s="672"/>
      <c r="O683" s="574"/>
      <c r="P683" s="574"/>
      <c r="Q683" s="574"/>
      <c r="R683" s="574"/>
      <c r="S683" s="575"/>
      <c r="T683" s="574"/>
      <c r="U683" s="574"/>
    </row>
    <row r="684">
      <c r="A684" s="574"/>
      <c r="B684" s="574"/>
      <c r="C684" s="574"/>
      <c r="D684" s="671"/>
      <c r="E684" s="574"/>
      <c r="F684" s="574"/>
      <c r="G684" s="574"/>
      <c r="H684" s="574"/>
      <c r="I684" s="672"/>
      <c r="J684" s="574"/>
      <c r="K684" s="574"/>
      <c r="L684" s="574"/>
      <c r="M684" s="673"/>
      <c r="N684" s="672"/>
      <c r="O684" s="574"/>
      <c r="P684" s="574"/>
      <c r="Q684" s="574"/>
      <c r="R684" s="574"/>
      <c r="S684" s="575"/>
      <c r="T684" s="574"/>
      <c r="U684" s="574"/>
    </row>
    <row r="685">
      <c r="A685" s="574"/>
      <c r="B685" s="574"/>
      <c r="C685" s="574"/>
      <c r="D685" s="671"/>
      <c r="E685" s="574"/>
      <c r="F685" s="574"/>
      <c r="G685" s="574"/>
      <c r="H685" s="574"/>
      <c r="I685" s="672"/>
      <c r="J685" s="574"/>
      <c r="K685" s="574"/>
      <c r="L685" s="574"/>
      <c r="M685" s="673"/>
      <c r="N685" s="672"/>
      <c r="O685" s="574"/>
      <c r="P685" s="574"/>
      <c r="Q685" s="574"/>
      <c r="R685" s="574"/>
      <c r="S685" s="575"/>
      <c r="T685" s="574"/>
      <c r="U685" s="574"/>
    </row>
    <row r="686">
      <c r="A686" s="574"/>
      <c r="B686" s="574"/>
      <c r="C686" s="574"/>
      <c r="D686" s="671"/>
      <c r="E686" s="574"/>
      <c r="F686" s="574"/>
      <c r="G686" s="574"/>
      <c r="H686" s="574"/>
      <c r="I686" s="672"/>
      <c r="J686" s="574"/>
      <c r="K686" s="574"/>
      <c r="L686" s="574"/>
      <c r="M686" s="673"/>
      <c r="N686" s="672"/>
      <c r="O686" s="574"/>
      <c r="P686" s="574"/>
      <c r="Q686" s="574"/>
      <c r="R686" s="574"/>
      <c r="S686" s="575"/>
      <c r="T686" s="574"/>
      <c r="U686" s="574"/>
    </row>
    <row r="687">
      <c r="A687" s="574"/>
      <c r="B687" s="574"/>
      <c r="C687" s="574"/>
      <c r="D687" s="671"/>
      <c r="E687" s="574"/>
      <c r="F687" s="574"/>
      <c r="G687" s="574"/>
      <c r="H687" s="574"/>
      <c r="I687" s="672"/>
      <c r="J687" s="574"/>
      <c r="K687" s="574"/>
      <c r="L687" s="574"/>
      <c r="M687" s="673"/>
      <c r="N687" s="672"/>
      <c r="O687" s="574"/>
      <c r="P687" s="574"/>
      <c r="Q687" s="574"/>
      <c r="R687" s="574"/>
      <c r="S687" s="575"/>
      <c r="T687" s="574"/>
      <c r="U687" s="574"/>
    </row>
    <row r="688">
      <c r="A688" s="574"/>
      <c r="B688" s="574"/>
      <c r="C688" s="574"/>
      <c r="D688" s="671"/>
      <c r="E688" s="574"/>
      <c r="F688" s="574"/>
      <c r="G688" s="574"/>
      <c r="H688" s="574"/>
      <c r="I688" s="672"/>
      <c r="J688" s="574"/>
      <c r="K688" s="574"/>
      <c r="L688" s="574"/>
      <c r="M688" s="673"/>
      <c r="N688" s="672"/>
      <c r="O688" s="574"/>
      <c r="P688" s="574"/>
      <c r="Q688" s="574"/>
      <c r="R688" s="574"/>
      <c r="S688" s="575"/>
      <c r="T688" s="574"/>
      <c r="U688" s="574"/>
    </row>
    <row r="689">
      <c r="A689" s="574"/>
      <c r="B689" s="574"/>
      <c r="C689" s="574"/>
      <c r="D689" s="671"/>
      <c r="E689" s="574"/>
      <c r="F689" s="574"/>
      <c r="G689" s="574"/>
      <c r="H689" s="574"/>
      <c r="I689" s="672"/>
      <c r="J689" s="574"/>
      <c r="K689" s="574"/>
      <c r="L689" s="574"/>
      <c r="M689" s="673"/>
      <c r="N689" s="672"/>
      <c r="O689" s="574"/>
      <c r="P689" s="574"/>
      <c r="Q689" s="574"/>
      <c r="R689" s="574"/>
      <c r="S689" s="575"/>
      <c r="T689" s="574"/>
      <c r="U689" s="574"/>
    </row>
    <row r="690">
      <c r="A690" s="574"/>
      <c r="B690" s="574"/>
      <c r="C690" s="574"/>
      <c r="D690" s="671"/>
      <c r="E690" s="574"/>
      <c r="F690" s="574"/>
      <c r="G690" s="574"/>
      <c r="H690" s="574"/>
      <c r="I690" s="672"/>
      <c r="J690" s="574"/>
      <c r="K690" s="574"/>
      <c r="L690" s="574"/>
      <c r="M690" s="673"/>
      <c r="N690" s="672"/>
      <c r="O690" s="574"/>
      <c r="P690" s="574"/>
      <c r="Q690" s="574"/>
      <c r="R690" s="574"/>
      <c r="S690" s="575"/>
      <c r="T690" s="574"/>
      <c r="U690" s="574"/>
    </row>
    <row r="691">
      <c r="A691" s="574"/>
      <c r="B691" s="574"/>
      <c r="C691" s="574"/>
      <c r="D691" s="671"/>
      <c r="E691" s="574"/>
      <c r="F691" s="574"/>
      <c r="G691" s="574"/>
      <c r="H691" s="574"/>
      <c r="I691" s="672"/>
      <c r="J691" s="574"/>
      <c r="K691" s="574"/>
      <c r="L691" s="574"/>
      <c r="M691" s="673"/>
      <c r="N691" s="672"/>
      <c r="O691" s="574"/>
      <c r="P691" s="574"/>
      <c r="Q691" s="574"/>
      <c r="R691" s="574"/>
      <c r="S691" s="575"/>
      <c r="T691" s="574"/>
      <c r="U691" s="574"/>
    </row>
    <row r="692">
      <c r="A692" s="574"/>
      <c r="B692" s="574"/>
      <c r="C692" s="574"/>
      <c r="D692" s="671"/>
      <c r="E692" s="574"/>
      <c r="F692" s="574"/>
      <c r="G692" s="574"/>
      <c r="H692" s="574"/>
      <c r="I692" s="672"/>
      <c r="J692" s="574"/>
      <c r="K692" s="574"/>
      <c r="L692" s="574"/>
      <c r="M692" s="673"/>
      <c r="N692" s="672"/>
      <c r="O692" s="574"/>
      <c r="P692" s="574"/>
      <c r="Q692" s="574"/>
      <c r="R692" s="574"/>
      <c r="S692" s="575"/>
      <c r="T692" s="574"/>
      <c r="U692" s="574"/>
    </row>
    <row r="693">
      <c r="A693" s="574"/>
      <c r="B693" s="574"/>
      <c r="C693" s="574"/>
      <c r="D693" s="671"/>
      <c r="E693" s="574"/>
      <c r="F693" s="574"/>
      <c r="G693" s="574"/>
      <c r="H693" s="574"/>
      <c r="I693" s="672"/>
      <c r="J693" s="574"/>
      <c r="K693" s="574"/>
      <c r="L693" s="574"/>
      <c r="M693" s="673"/>
      <c r="N693" s="672"/>
      <c r="O693" s="574"/>
      <c r="P693" s="574"/>
      <c r="Q693" s="574"/>
      <c r="R693" s="574"/>
      <c r="S693" s="575"/>
      <c r="T693" s="574"/>
      <c r="U693" s="574"/>
    </row>
    <row r="694">
      <c r="A694" s="574"/>
      <c r="B694" s="574"/>
      <c r="C694" s="574"/>
      <c r="D694" s="671"/>
      <c r="E694" s="574"/>
      <c r="F694" s="574"/>
      <c r="G694" s="574"/>
      <c r="H694" s="574"/>
      <c r="I694" s="672"/>
      <c r="J694" s="574"/>
      <c r="K694" s="574"/>
      <c r="L694" s="574"/>
      <c r="M694" s="673"/>
      <c r="N694" s="672"/>
      <c r="O694" s="574"/>
      <c r="P694" s="574"/>
      <c r="Q694" s="574"/>
      <c r="R694" s="574"/>
      <c r="S694" s="575"/>
      <c r="T694" s="574"/>
      <c r="U694" s="574"/>
    </row>
    <row r="695">
      <c r="A695" s="574"/>
      <c r="B695" s="574"/>
      <c r="C695" s="574"/>
      <c r="D695" s="671"/>
      <c r="E695" s="574"/>
      <c r="F695" s="574"/>
      <c r="G695" s="574"/>
      <c r="H695" s="574"/>
      <c r="I695" s="672"/>
      <c r="J695" s="574"/>
      <c r="K695" s="574"/>
      <c r="L695" s="574"/>
      <c r="M695" s="673"/>
      <c r="N695" s="672"/>
      <c r="O695" s="574"/>
      <c r="P695" s="574"/>
      <c r="Q695" s="574"/>
      <c r="R695" s="574"/>
      <c r="S695" s="575"/>
      <c r="T695" s="574"/>
      <c r="U695" s="574"/>
    </row>
    <row r="696">
      <c r="A696" s="574"/>
      <c r="B696" s="574"/>
      <c r="C696" s="574"/>
      <c r="D696" s="671"/>
      <c r="E696" s="574"/>
      <c r="F696" s="574"/>
      <c r="G696" s="574"/>
      <c r="H696" s="574"/>
      <c r="I696" s="672"/>
      <c r="J696" s="574"/>
      <c r="K696" s="574"/>
      <c r="L696" s="574"/>
      <c r="M696" s="673"/>
      <c r="N696" s="672"/>
      <c r="O696" s="574"/>
      <c r="P696" s="574"/>
      <c r="Q696" s="574"/>
      <c r="R696" s="574"/>
      <c r="S696" s="575"/>
      <c r="T696" s="574"/>
      <c r="U696" s="574"/>
    </row>
    <row r="697">
      <c r="A697" s="574"/>
      <c r="B697" s="574"/>
      <c r="C697" s="574"/>
      <c r="D697" s="671"/>
      <c r="E697" s="574"/>
      <c r="F697" s="574"/>
      <c r="G697" s="574"/>
      <c r="H697" s="574"/>
      <c r="I697" s="672"/>
      <c r="J697" s="574"/>
      <c r="K697" s="574"/>
      <c r="L697" s="574"/>
      <c r="M697" s="673"/>
      <c r="N697" s="672"/>
      <c r="O697" s="574"/>
      <c r="P697" s="574"/>
      <c r="Q697" s="574"/>
      <c r="R697" s="574"/>
      <c r="S697" s="575"/>
      <c r="T697" s="574"/>
      <c r="U697" s="574"/>
    </row>
    <row r="698">
      <c r="A698" s="574"/>
      <c r="B698" s="574"/>
      <c r="C698" s="574"/>
      <c r="D698" s="671"/>
      <c r="E698" s="574"/>
      <c r="F698" s="574"/>
      <c r="G698" s="574"/>
      <c r="H698" s="574"/>
      <c r="I698" s="672"/>
      <c r="J698" s="574"/>
      <c r="K698" s="574"/>
      <c r="L698" s="574"/>
      <c r="M698" s="673"/>
      <c r="N698" s="672"/>
      <c r="O698" s="574"/>
      <c r="P698" s="574"/>
      <c r="Q698" s="574"/>
      <c r="R698" s="574"/>
      <c r="S698" s="575"/>
      <c r="T698" s="574"/>
      <c r="U698" s="574"/>
    </row>
    <row r="699">
      <c r="A699" s="574"/>
      <c r="B699" s="574"/>
      <c r="C699" s="574"/>
      <c r="D699" s="671"/>
      <c r="E699" s="574"/>
      <c r="F699" s="574"/>
      <c r="G699" s="574"/>
      <c r="H699" s="574"/>
      <c r="I699" s="672"/>
      <c r="J699" s="574"/>
      <c r="K699" s="574"/>
      <c r="L699" s="574"/>
      <c r="M699" s="673"/>
      <c r="N699" s="672"/>
      <c r="O699" s="574"/>
      <c r="P699" s="574"/>
      <c r="Q699" s="574"/>
      <c r="R699" s="574"/>
      <c r="S699" s="575"/>
      <c r="T699" s="574"/>
      <c r="U699" s="574"/>
    </row>
    <row r="700">
      <c r="A700" s="574"/>
      <c r="B700" s="574"/>
      <c r="C700" s="574"/>
      <c r="D700" s="671"/>
      <c r="E700" s="574"/>
      <c r="F700" s="574"/>
      <c r="G700" s="574"/>
      <c r="H700" s="574"/>
      <c r="I700" s="672"/>
      <c r="J700" s="574"/>
      <c r="K700" s="574"/>
      <c r="L700" s="574"/>
      <c r="M700" s="673"/>
      <c r="N700" s="672"/>
      <c r="O700" s="574"/>
      <c r="P700" s="574"/>
      <c r="Q700" s="574"/>
      <c r="R700" s="574"/>
      <c r="S700" s="575"/>
      <c r="T700" s="574"/>
      <c r="U700" s="574"/>
    </row>
    <row r="701">
      <c r="A701" s="574"/>
      <c r="B701" s="574"/>
      <c r="C701" s="574"/>
      <c r="D701" s="671"/>
      <c r="E701" s="574"/>
      <c r="F701" s="574"/>
      <c r="G701" s="574"/>
      <c r="H701" s="574"/>
      <c r="I701" s="672"/>
      <c r="J701" s="574"/>
      <c r="K701" s="574"/>
      <c r="L701" s="574"/>
      <c r="M701" s="673"/>
      <c r="N701" s="672"/>
      <c r="O701" s="574"/>
      <c r="P701" s="574"/>
      <c r="Q701" s="574"/>
      <c r="R701" s="574"/>
      <c r="S701" s="575"/>
      <c r="T701" s="574"/>
      <c r="U701" s="574"/>
    </row>
    <row r="702">
      <c r="A702" s="574"/>
      <c r="B702" s="574"/>
      <c r="C702" s="574"/>
      <c r="D702" s="671"/>
      <c r="E702" s="574"/>
      <c r="F702" s="574"/>
      <c r="G702" s="574"/>
      <c r="H702" s="574"/>
      <c r="I702" s="672"/>
      <c r="J702" s="574"/>
      <c r="K702" s="574"/>
      <c r="L702" s="574"/>
      <c r="M702" s="673"/>
      <c r="N702" s="672"/>
      <c r="O702" s="574"/>
      <c r="P702" s="574"/>
      <c r="Q702" s="574"/>
      <c r="R702" s="574"/>
      <c r="S702" s="575"/>
      <c r="T702" s="574"/>
      <c r="U702" s="574"/>
    </row>
    <row r="703">
      <c r="A703" s="574"/>
      <c r="B703" s="574"/>
      <c r="C703" s="574"/>
      <c r="D703" s="671"/>
      <c r="E703" s="574"/>
      <c r="F703" s="574"/>
      <c r="G703" s="574"/>
      <c r="H703" s="574"/>
      <c r="I703" s="672"/>
      <c r="J703" s="574"/>
      <c r="K703" s="574"/>
      <c r="L703" s="574"/>
      <c r="M703" s="673"/>
      <c r="N703" s="672"/>
      <c r="O703" s="574"/>
      <c r="P703" s="574"/>
      <c r="Q703" s="574"/>
      <c r="R703" s="574"/>
      <c r="S703" s="575"/>
      <c r="T703" s="574"/>
      <c r="U703" s="574"/>
    </row>
    <row r="704">
      <c r="A704" s="574"/>
      <c r="B704" s="574"/>
      <c r="C704" s="574"/>
      <c r="D704" s="671"/>
      <c r="E704" s="574"/>
      <c r="F704" s="574"/>
      <c r="G704" s="574"/>
      <c r="H704" s="574"/>
      <c r="I704" s="672"/>
      <c r="J704" s="574"/>
      <c r="K704" s="574"/>
      <c r="L704" s="574"/>
      <c r="M704" s="673"/>
      <c r="N704" s="672"/>
      <c r="O704" s="574"/>
      <c r="P704" s="574"/>
      <c r="Q704" s="574"/>
      <c r="R704" s="574"/>
      <c r="S704" s="575"/>
      <c r="T704" s="574"/>
      <c r="U704" s="574"/>
    </row>
    <row r="705">
      <c r="A705" s="574"/>
      <c r="B705" s="574"/>
      <c r="C705" s="574"/>
      <c r="D705" s="671"/>
      <c r="E705" s="574"/>
      <c r="F705" s="574"/>
      <c r="G705" s="574"/>
      <c r="H705" s="574"/>
      <c r="I705" s="672"/>
      <c r="J705" s="574"/>
      <c r="K705" s="574"/>
      <c r="L705" s="574"/>
      <c r="M705" s="673"/>
      <c r="N705" s="672"/>
      <c r="O705" s="574"/>
      <c r="P705" s="574"/>
      <c r="Q705" s="574"/>
      <c r="R705" s="574"/>
      <c r="S705" s="575"/>
      <c r="T705" s="574"/>
      <c r="U705" s="574"/>
    </row>
    <row r="706">
      <c r="A706" s="574"/>
      <c r="B706" s="574"/>
      <c r="C706" s="574"/>
      <c r="D706" s="671"/>
      <c r="E706" s="574"/>
      <c r="F706" s="574"/>
      <c r="G706" s="574"/>
      <c r="H706" s="574"/>
      <c r="I706" s="672"/>
      <c r="J706" s="574"/>
      <c r="K706" s="574"/>
      <c r="L706" s="574"/>
      <c r="M706" s="673"/>
      <c r="N706" s="672"/>
      <c r="O706" s="574"/>
      <c r="P706" s="574"/>
      <c r="Q706" s="574"/>
      <c r="R706" s="574"/>
      <c r="S706" s="575"/>
      <c r="T706" s="574"/>
      <c r="U706" s="574"/>
    </row>
    <row r="707">
      <c r="A707" s="574"/>
      <c r="B707" s="574"/>
      <c r="C707" s="574"/>
      <c r="D707" s="671"/>
      <c r="E707" s="574"/>
      <c r="F707" s="574"/>
      <c r="G707" s="574"/>
      <c r="H707" s="574"/>
      <c r="I707" s="672"/>
      <c r="J707" s="574"/>
      <c r="K707" s="574"/>
      <c r="L707" s="574"/>
      <c r="M707" s="673"/>
      <c r="N707" s="672"/>
      <c r="O707" s="574"/>
      <c r="P707" s="574"/>
      <c r="Q707" s="574"/>
      <c r="R707" s="574"/>
      <c r="S707" s="575"/>
      <c r="T707" s="574"/>
      <c r="U707" s="574"/>
    </row>
    <row r="708">
      <c r="A708" s="574"/>
      <c r="B708" s="574"/>
      <c r="C708" s="574"/>
      <c r="D708" s="671"/>
      <c r="E708" s="574"/>
      <c r="F708" s="574"/>
      <c r="G708" s="574"/>
      <c r="H708" s="574"/>
      <c r="I708" s="672"/>
      <c r="J708" s="574"/>
      <c r="K708" s="574"/>
      <c r="L708" s="574"/>
      <c r="M708" s="673"/>
      <c r="N708" s="672"/>
      <c r="O708" s="574"/>
      <c r="P708" s="574"/>
      <c r="Q708" s="574"/>
      <c r="R708" s="574"/>
      <c r="S708" s="575"/>
      <c r="T708" s="574"/>
      <c r="U708" s="574"/>
    </row>
    <row r="709">
      <c r="A709" s="574"/>
      <c r="B709" s="574"/>
      <c r="C709" s="574"/>
      <c r="D709" s="671"/>
      <c r="E709" s="574"/>
      <c r="F709" s="574"/>
      <c r="G709" s="574"/>
      <c r="H709" s="574"/>
      <c r="I709" s="672"/>
      <c r="J709" s="574"/>
      <c r="K709" s="574"/>
      <c r="L709" s="574"/>
      <c r="M709" s="673"/>
      <c r="N709" s="672"/>
      <c r="O709" s="574"/>
      <c r="P709" s="574"/>
      <c r="Q709" s="574"/>
      <c r="R709" s="574"/>
      <c r="S709" s="575"/>
      <c r="T709" s="574"/>
      <c r="U709" s="574"/>
    </row>
    <row r="710">
      <c r="A710" s="574"/>
      <c r="B710" s="574"/>
      <c r="C710" s="574"/>
      <c r="D710" s="671"/>
      <c r="E710" s="574"/>
      <c r="F710" s="574"/>
      <c r="G710" s="574"/>
      <c r="H710" s="574"/>
      <c r="I710" s="672"/>
      <c r="J710" s="574"/>
      <c r="K710" s="574"/>
      <c r="L710" s="574"/>
      <c r="M710" s="673"/>
      <c r="N710" s="672"/>
      <c r="O710" s="574"/>
      <c r="P710" s="574"/>
      <c r="Q710" s="574"/>
      <c r="R710" s="574"/>
      <c r="S710" s="575"/>
      <c r="T710" s="574"/>
      <c r="U710" s="574"/>
    </row>
    <row r="711">
      <c r="A711" s="574"/>
      <c r="B711" s="574"/>
      <c r="C711" s="574"/>
      <c r="D711" s="671"/>
      <c r="E711" s="574"/>
      <c r="F711" s="574"/>
      <c r="G711" s="574"/>
      <c r="H711" s="574"/>
      <c r="I711" s="672"/>
      <c r="J711" s="574"/>
      <c r="K711" s="574"/>
      <c r="L711" s="574"/>
      <c r="M711" s="673"/>
      <c r="N711" s="672"/>
      <c r="O711" s="574"/>
      <c r="P711" s="574"/>
      <c r="Q711" s="574"/>
      <c r="R711" s="574"/>
      <c r="S711" s="575"/>
      <c r="T711" s="574"/>
      <c r="U711" s="574"/>
    </row>
    <row r="712">
      <c r="A712" s="574"/>
      <c r="B712" s="574"/>
      <c r="C712" s="574"/>
      <c r="D712" s="671"/>
      <c r="E712" s="574"/>
      <c r="F712" s="574"/>
      <c r="G712" s="574"/>
      <c r="H712" s="574"/>
      <c r="I712" s="672"/>
      <c r="J712" s="574"/>
      <c r="K712" s="574"/>
      <c r="L712" s="574"/>
      <c r="M712" s="673"/>
      <c r="N712" s="672"/>
      <c r="O712" s="574"/>
      <c r="P712" s="574"/>
      <c r="Q712" s="574"/>
      <c r="R712" s="574"/>
      <c r="S712" s="575"/>
      <c r="T712" s="574"/>
      <c r="U712" s="574"/>
    </row>
    <row r="713">
      <c r="A713" s="574"/>
      <c r="B713" s="574"/>
      <c r="C713" s="574"/>
      <c r="D713" s="671"/>
      <c r="E713" s="574"/>
      <c r="F713" s="574"/>
      <c r="G713" s="574"/>
      <c r="H713" s="574"/>
      <c r="I713" s="672"/>
      <c r="J713" s="574"/>
      <c r="K713" s="574"/>
      <c r="L713" s="574"/>
      <c r="M713" s="673"/>
      <c r="N713" s="672"/>
      <c r="O713" s="574"/>
      <c r="P713" s="574"/>
      <c r="Q713" s="574"/>
      <c r="R713" s="574"/>
      <c r="S713" s="575"/>
      <c r="T713" s="574"/>
      <c r="U713" s="574"/>
    </row>
    <row r="714">
      <c r="A714" s="574"/>
      <c r="B714" s="574"/>
      <c r="C714" s="574"/>
      <c r="D714" s="671"/>
      <c r="E714" s="574"/>
      <c r="F714" s="574"/>
      <c r="G714" s="574"/>
      <c r="H714" s="574"/>
      <c r="I714" s="672"/>
      <c r="J714" s="574"/>
      <c r="K714" s="574"/>
      <c r="L714" s="574"/>
      <c r="M714" s="673"/>
      <c r="N714" s="672"/>
      <c r="O714" s="574"/>
      <c r="P714" s="574"/>
      <c r="Q714" s="574"/>
      <c r="R714" s="574"/>
      <c r="S714" s="575"/>
      <c r="T714" s="574"/>
      <c r="U714" s="574"/>
    </row>
    <row r="715">
      <c r="A715" s="574"/>
      <c r="B715" s="574"/>
      <c r="C715" s="574"/>
      <c r="D715" s="671"/>
      <c r="E715" s="574"/>
      <c r="F715" s="574"/>
      <c r="G715" s="574"/>
      <c r="H715" s="574"/>
      <c r="I715" s="672"/>
      <c r="J715" s="574"/>
      <c r="K715" s="574"/>
      <c r="L715" s="574"/>
      <c r="M715" s="673"/>
      <c r="N715" s="672"/>
      <c r="O715" s="574"/>
      <c r="P715" s="574"/>
      <c r="Q715" s="574"/>
      <c r="R715" s="574"/>
      <c r="S715" s="575"/>
      <c r="T715" s="574"/>
      <c r="U715" s="574"/>
    </row>
    <row r="716">
      <c r="A716" s="574"/>
      <c r="B716" s="574"/>
      <c r="C716" s="574"/>
      <c r="D716" s="671"/>
      <c r="E716" s="574"/>
      <c r="F716" s="574"/>
      <c r="G716" s="574"/>
      <c r="H716" s="574"/>
      <c r="I716" s="672"/>
      <c r="J716" s="574"/>
      <c r="K716" s="574"/>
      <c r="L716" s="574"/>
      <c r="M716" s="673"/>
      <c r="N716" s="672"/>
      <c r="O716" s="574"/>
      <c r="P716" s="574"/>
      <c r="Q716" s="574"/>
      <c r="R716" s="574"/>
      <c r="S716" s="575"/>
      <c r="T716" s="574"/>
      <c r="U716" s="574"/>
    </row>
    <row r="717">
      <c r="A717" s="574"/>
      <c r="B717" s="574"/>
      <c r="C717" s="574"/>
      <c r="D717" s="671"/>
      <c r="E717" s="574"/>
      <c r="F717" s="574"/>
      <c r="G717" s="574"/>
      <c r="H717" s="574"/>
      <c r="I717" s="672"/>
      <c r="J717" s="574"/>
      <c r="K717" s="574"/>
      <c r="L717" s="574"/>
      <c r="M717" s="673"/>
      <c r="N717" s="672"/>
      <c r="O717" s="574"/>
      <c r="P717" s="574"/>
      <c r="Q717" s="574"/>
      <c r="R717" s="574"/>
      <c r="S717" s="575"/>
      <c r="T717" s="574"/>
      <c r="U717" s="574"/>
    </row>
    <row r="718">
      <c r="A718" s="574"/>
      <c r="B718" s="574"/>
      <c r="C718" s="574"/>
      <c r="D718" s="671"/>
      <c r="E718" s="574"/>
      <c r="F718" s="574"/>
      <c r="G718" s="574"/>
      <c r="H718" s="574"/>
      <c r="I718" s="672"/>
      <c r="J718" s="574"/>
      <c r="K718" s="574"/>
      <c r="L718" s="574"/>
      <c r="M718" s="673"/>
      <c r="N718" s="672"/>
      <c r="O718" s="574"/>
      <c r="P718" s="574"/>
      <c r="Q718" s="574"/>
      <c r="R718" s="574"/>
      <c r="S718" s="575"/>
      <c r="T718" s="574"/>
      <c r="U718" s="574"/>
    </row>
    <row r="719">
      <c r="A719" s="574"/>
      <c r="B719" s="574"/>
      <c r="C719" s="574"/>
      <c r="D719" s="671"/>
      <c r="E719" s="574"/>
      <c r="F719" s="574"/>
      <c r="G719" s="574"/>
      <c r="H719" s="574"/>
      <c r="I719" s="672"/>
      <c r="J719" s="574"/>
      <c r="K719" s="574"/>
      <c r="L719" s="574"/>
      <c r="M719" s="673"/>
      <c r="N719" s="672"/>
      <c r="O719" s="574"/>
      <c r="P719" s="574"/>
      <c r="Q719" s="574"/>
      <c r="R719" s="574"/>
      <c r="S719" s="575"/>
      <c r="T719" s="574"/>
      <c r="U719" s="574"/>
    </row>
    <row r="720">
      <c r="A720" s="574"/>
      <c r="B720" s="574"/>
      <c r="C720" s="574"/>
      <c r="D720" s="671"/>
      <c r="E720" s="574"/>
      <c r="F720" s="574"/>
      <c r="G720" s="574"/>
      <c r="H720" s="574"/>
      <c r="I720" s="672"/>
      <c r="J720" s="574"/>
      <c r="K720" s="574"/>
      <c r="L720" s="574"/>
      <c r="M720" s="673"/>
      <c r="N720" s="672"/>
      <c r="O720" s="574"/>
      <c r="P720" s="574"/>
      <c r="Q720" s="574"/>
      <c r="R720" s="574"/>
      <c r="S720" s="575"/>
      <c r="T720" s="574"/>
      <c r="U720" s="574"/>
    </row>
    <row r="721">
      <c r="A721" s="574"/>
      <c r="B721" s="574"/>
      <c r="C721" s="574"/>
      <c r="D721" s="671"/>
      <c r="E721" s="574"/>
      <c r="F721" s="574"/>
      <c r="G721" s="574"/>
      <c r="H721" s="574"/>
      <c r="I721" s="672"/>
      <c r="J721" s="574"/>
      <c r="K721" s="574"/>
      <c r="L721" s="574"/>
      <c r="M721" s="673"/>
      <c r="N721" s="672"/>
      <c r="O721" s="574"/>
      <c r="P721" s="574"/>
      <c r="Q721" s="574"/>
      <c r="R721" s="574"/>
      <c r="S721" s="575"/>
      <c r="T721" s="574"/>
      <c r="U721" s="574"/>
    </row>
    <row r="722">
      <c r="A722" s="574"/>
      <c r="B722" s="574"/>
      <c r="C722" s="574"/>
      <c r="D722" s="671"/>
      <c r="E722" s="574"/>
      <c r="F722" s="574"/>
      <c r="G722" s="574"/>
      <c r="H722" s="574"/>
      <c r="I722" s="672"/>
      <c r="J722" s="574"/>
      <c r="K722" s="574"/>
      <c r="L722" s="574"/>
      <c r="M722" s="673"/>
      <c r="N722" s="672"/>
      <c r="O722" s="574"/>
      <c r="P722" s="574"/>
      <c r="Q722" s="574"/>
      <c r="R722" s="574"/>
      <c r="S722" s="575"/>
      <c r="T722" s="574"/>
      <c r="U722" s="574"/>
    </row>
    <row r="723">
      <c r="A723" s="574"/>
      <c r="B723" s="574"/>
      <c r="C723" s="574"/>
      <c r="D723" s="671"/>
      <c r="E723" s="574"/>
      <c r="F723" s="574"/>
      <c r="G723" s="574"/>
      <c r="H723" s="574"/>
      <c r="I723" s="672"/>
      <c r="J723" s="574"/>
      <c r="K723" s="574"/>
      <c r="L723" s="574"/>
      <c r="M723" s="673"/>
      <c r="N723" s="672"/>
      <c r="O723" s="574"/>
      <c r="P723" s="574"/>
      <c r="Q723" s="574"/>
      <c r="R723" s="574"/>
      <c r="S723" s="575"/>
      <c r="T723" s="574"/>
      <c r="U723" s="574"/>
    </row>
    <row r="724">
      <c r="A724" s="574"/>
      <c r="B724" s="574"/>
      <c r="C724" s="574"/>
      <c r="D724" s="671"/>
      <c r="E724" s="574"/>
      <c r="F724" s="574"/>
      <c r="G724" s="574"/>
      <c r="H724" s="574"/>
      <c r="I724" s="672"/>
      <c r="J724" s="574"/>
      <c r="K724" s="574"/>
      <c r="L724" s="574"/>
      <c r="M724" s="673"/>
      <c r="N724" s="672"/>
      <c r="O724" s="574"/>
      <c r="P724" s="574"/>
      <c r="Q724" s="574"/>
      <c r="R724" s="574"/>
      <c r="S724" s="575"/>
      <c r="T724" s="574"/>
      <c r="U724" s="574"/>
    </row>
    <row r="725">
      <c r="A725" s="574"/>
      <c r="B725" s="574"/>
      <c r="C725" s="574"/>
      <c r="D725" s="671"/>
      <c r="E725" s="574"/>
      <c r="F725" s="574"/>
      <c r="G725" s="574"/>
      <c r="H725" s="574"/>
      <c r="I725" s="672"/>
      <c r="J725" s="574"/>
      <c r="K725" s="574"/>
      <c r="L725" s="574"/>
      <c r="M725" s="673"/>
      <c r="N725" s="672"/>
      <c r="O725" s="574"/>
      <c r="P725" s="574"/>
      <c r="Q725" s="574"/>
      <c r="R725" s="574"/>
      <c r="S725" s="575"/>
      <c r="T725" s="574"/>
      <c r="U725" s="574"/>
    </row>
    <row r="726">
      <c r="A726" s="574"/>
      <c r="B726" s="574"/>
      <c r="C726" s="574"/>
      <c r="D726" s="671"/>
      <c r="E726" s="574"/>
      <c r="F726" s="574"/>
      <c r="G726" s="574"/>
      <c r="H726" s="574"/>
      <c r="I726" s="672"/>
      <c r="J726" s="574"/>
      <c r="K726" s="574"/>
      <c r="L726" s="574"/>
      <c r="M726" s="673"/>
      <c r="N726" s="672"/>
      <c r="O726" s="574"/>
      <c r="P726" s="574"/>
      <c r="Q726" s="574"/>
      <c r="R726" s="574"/>
      <c r="S726" s="575"/>
      <c r="T726" s="574"/>
      <c r="U726" s="574"/>
    </row>
    <row r="727">
      <c r="A727" s="574"/>
      <c r="B727" s="574"/>
      <c r="C727" s="574"/>
      <c r="D727" s="671"/>
      <c r="E727" s="574"/>
      <c r="F727" s="574"/>
      <c r="G727" s="574"/>
      <c r="H727" s="574"/>
      <c r="I727" s="672"/>
      <c r="J727" s="574"/>
      <c r="K727" s="574"/>
      <c r="L727" s="574"/>
      <c r="M727" s="673"/>
      <c r="N727" s="672"/>
      <c r="O727" s="574"/>
      <c r="P727" s="574"/>
      <c r="Q727" s="574"/>
      <c r="R727" s="574"/>
      <c r="S727" s="575"/>
      <c r="T727" s="574"/>
      <c r="U727" s="574"/>
    </row>
    <row r="728">
      <c r="A728" s="574"/>
      <c r="B728" s="574"/>
      <c r="C728" s="574"/>
      <c r="D728" s="671"/>
      <c r="E728" s="574"/>
      <c r="F728" s="574"/>
      <c r="G728" s="574"/>
      <c r="H728" s="574"/>
      <c r="I728" s="672"/>
      <c r="J728" s="574"/>
      <c r="K728" s="574"/>
      <c r="L728" s="574"/>
      <c r="M728" s="673"/>
      <c r="N728" s="672"/>
      <c r="O728" s="574"/>
      <c r="P728" s="574"/>
      <c r="Q728" s="574"/>
      <c r="R728" s="574"/>
      <c r="S728" s="575"/>
      <c r="T728" s="574"/>
      <c r="U728" s="574"/>
    </row>
    <row r="729">
      <c r="A729" s="574"/>
      <c r="B729" s="574"/>
      <c r="C729" s="574"/>
      <c r="D729" s="671"/>
      <c r="E729" s="574"/>
      <c r="F729" s="574"/>
      <c r="G729" s="574"/>
      <c r="H729" s="574"/>
      <c r="I729" s="672"/>
      <c r="J729" s="574"/>
      <c r="K729" s="574"/>
      <c r="L729" s="574"/>
      <c r="M729" s="673"/>
      <c r="N729" s="672"/>
      <c r="O729" s="574"/>
      <c r="P729" s="574"/>
      <c r="Q729" s="574"/>
      <c r="R729" s="574"/>
      <c r="S729" s="575"/>
      <c r="T729" s="574"/>
      <c r="U729" s="574"/>
    </row>
    <row r="730">
      <c r="A730" s="574"/>
      <c r="B730" s="574"/>
      <c r="C730" s="574"/>
      <c r="D730" s="671"/>
      <c r="E730" s="574"/>
      <c r="F730" s="574"/>
      <c r="G730" s="574"/>
      <c r="H730" s="574"/>
      <c r="I730" s="672"/>
      <c r="J730" s="574"/>
      <c r="K730" s="574"/>
      <c r="L730" s="574"/>
      <c r="M730" s="673"/>
      <c r="N730" s="672"/>
      <c r="O730" s="574"/>
      <c r="P730" s="574"/>
      <c r="Q730" s="574"/>
      <c r="R730" s="574"/>
      <c r="S730" s="575"/>
      <c r="T730" s="574"/>
      <c r="U730" s="574"/>
    </row>
    <row r="731">
      <c r="A731" s="574"/>
      <c r="B731" s="574"/>
      <c r="C731" s="574"/>
      <c r="D731" s="671"/>
      <c r="E731" s="574"/>
      <c r="F731" s="574"/>
      <c r="G731" s="574"/>
      <c r="H731" s="574"/>
      <c r="I731" s="672"/>
      <c r="J731" s="574"/>
      <c r="K731" s="574"/>
      <c r="L731" s="574"/>
      <c r="M731" s="673"/>
      <c r="N731" s="672"/>
      <c r="O731" s="574"/>
      <c r="P731" s="574"/>
      <c r="Q731" s="574"/>
      <c r="R731" s="574"/>
      <c r="S731" s="575"/>
      <c r="T731" s="574"/>
      <c r="U731" s="574"/>
    </row>
    <row r="732">
      <c r="A732" s="574"/>
      <c r="B732" s="574"/>
      <c r="C732" s="574"/>
      <c r="D732" s="671"/>
      <c r="E732" s="574"/>
      <c r="F732" s="574"/>
      <c r="G732" s="574"/>
      <c r="H732" s="574"/>
      <c r="I732" s="672"/>
      <c r="J732" s="574"/>
      <c r="K732" s="574"/>
      <c r="L732" s="574"/>
      <c r="M732" s="673"/>
      <c r="N732" s="672"/>
      <c r="O732" s="574"/>
      <c r="P732" s="574"/>
      <c r="Q732" s="574"/>
      <c r="R732" s="574"/>
      <c r="S732" s="575"/>
      <c r="T732" s="574"/>
      <c r="U732" s="574"/>
    </row>
    <row r="733">
      <c r="A733" s="574"/>
      <c r="B733" s="574"/>
      <c r="C733" s="574"/>
      <c r="D733" s="671"/>
      <c r="E733" s="574"/>
      <c r="F733" s="574"/>
      <c r="G733" s="574"/>
      <c r="H733" s="574"/>
      <c r="I733" s="672"/>
      <c r="J733" s="574"/>
      <c r="K733" s="574"/>
      <c r="L733" s="574"/>
      <c r="M733" s="673"/>
      <c r="N733" s="672"/>
      <c r="O733" s="574"/>
      <c r="P733" s="574"/>
      <c r="Q733" s="574"/>
      <c r="R733" s="574"/>
      <c r="S733" s="575"/>
      <c r="T733" s="574"/>
      <c r="U733" s="574"/>
    </row>
    <row r="734">
      <c r="A734" s="574"/>
      <c r="B734" s="574"/>
      <c r="C734" s="574"/>
      <c r="D734" s="671"/>
      <c r="E734" s="574"/>
      <c r="F734" s="574"/>
      <c r="G734" s="574"/>
      <c r="H734" s="574"/>
      <c r="I734" s="672"/>
      <c r="J734" s="574"/>
      <c r="K734" s="574"/>
      <c r="L734" s="574"/>
      <c r="M734" s="673"/>
      <c r="N734" s="672"/>
      <c r="O734" s="574"/>
      <c r="P734" s="574"/>
      <c r="Q734" s="574"/>
      <c r="R734" s="574"/>
      <c r="S734" s="575"/>
      <c r="T734" s="574"/>
      <c r="U734" s="574"/>
    </row>
    <row r="735">
      <c r="A735" s="574"/>
      <c r="B735" s="574"/>
      <c r="C735" s="574"/>
      <c r="D735" s="671"/>
      <c r="E735" s="574"/>
      <c r="F735" s="574"/>
      <c r="G735" s="574"/>
      <c r="H735" s="574"/>
      <c r="I735" s="672"/>
      <c r="J735" s="574"/>
      <c r="K735" s="574"/>
      <c r="L735" s="574"/>
      <c r="M735" s="673"/>
      <c r="N735" s="672"/>
      <c r="O735" s="574"/>
      <c r="P735" s="574"/>
      <c r="Q735" s="574"/>
      <c r="R735" s="574"/>
      <c r="S735" s="575"/>
      <c r="T735" s="574"/>
      <c r="U735" s="574"/>
    </row>
    <row r="736">
      <c r="A736" s="574"/>
      <c r="B736" s="574"/>
      <c r="C736" s="574"/>
      <c r="D736" s="671"/>
      <c r="E736" s="574"/>
      <c r="F736" s="574"/>
      <c r="G736" s="574"/>
      <c r="H736" s="574"/>
      <c r="I736" s="672"/>
      <c r="J736" s="574"/>
      <c r="K736" s="574"/>
      <c r="L736" s="574"/>
      <c r="M736" s="673"/>
      <c r="N736" s="672"/>
      <c r="O736" s="574"/>
      <c r="P736" s="574"/>
      <c r="Q736" s="574"/>
      <c r="R736" s="574"/>
      <c r="S736" s="575"/>
      <c r="T736" s="574"/>
      <c r="U736" s="574"/>
    </row>
    <row r="737">
      <c r="A737" s="574"/>
      <c r="B737" s="574"/>
      <c r="C737" s="574"/>
      <c r="D737" s="671"/>
      <c r="E737" s="574"/>
      <c r="F737" s="574"/>
      <c r="G737" s="574"/>
      <c r="H737" s="574"/>
      <c r="I737" s="672"/>
      <c r="J737" s="574"/>
      <c r="K737" s="574"/>
      <c r="L737" s="574"/>
      <c r="M737" s="673"/>
      <c r="N737" s="672"/>
      <c r="O737" s="574"/>
      <c r="P737" s="574"/>
      <c r="Q737" s="574"/>
      <c r="R737" s="574"/>
      <c r="S737" s="575"/>
      <c r="T737" s="574"/>
      <c r="U737" s="574"/>
    </row>
    <row r="738">
      <c r="A738" s="574"/>
      <c r="B738" s="574"/>
      <c r="C738" s="574"/>
      <c r="D738" s="671"/>
      <c r="E738" s="574"/>
      <c r="F738" s="574"/>
      <c r="G738" s="574"/>
      <c r="H738" s="574"/>
      <c r="I738" s="672"/>
      <c r="J738" s="574"/>
      <c r="K738" s="574"/>
      <c r="L738" s="574"/>
      <c r="M738" s="673"/>
      <c r="N738" s="672"/>
      <c r="O738" s="574"/>
      <c r="P738" s="574"/>
      <c r="Q738" s="574"/>
      <c r="R738" s="574"/>
      <c r="S738" s="575"/>
      <c r="T738" s="574"/>
      <c r="U738" s="574"/>
    </row>
    <row r="739">
      <c r="A739" s="574"/>
      <c r="B739" s="574"/>
      <c r="C739" s="574"/>
      <c r="D739" s="671"/>
      <c r="E739" s="574"/>
      <c r="F739" s="574"/>
      <c r="G739" s="574"/>
      <c r="H739" s="574"/>
      <c r="I739" s="672"/>
      <c r="J739" s="574"/>
      <c r="K739" s="574"/>
      <c r="L739" s="574"/>
      <c r="M739" s="673"/>
      <c r="N739" s="672"/>
      <c r="O739" s="574"/>
      <c r="P739" s="574"/>
      <c r="Q739" s="574"/>
      <c r="R739" s="574"/>
      <c r="S739" s="575"/>
      <c r="T739" s="574"/>
      <c r="U739" s="574"/>
    </row>
    <row r="740">
      <c r="A740" s="574"/>
      <c r="B740" s="574"/>
      <c r="C740" s="574"/>
      <c r="D740" s="671"/>
      <c r="E740" s="574"/>
      <c r="F740" s="574"/>
      <c r="G740" s="574"/>
      <c r="H740" s="574"/>
      <c r="I740" s="672"/>
      <c r="J740" s="574"/>
      <c r="K740" s="574"/>
      <c r="L740" s="574"/>
      <c r="M740" s="673"/>
      <c r="N740" s="672"/>
      <c r="O740" s="574"/>
      <c r="P740" s="574"/>
      <c r="Q740" s="574"/>
      <c r="R740" s="574"/>
      <c r="S740" s="575"/>
      <c r="T740" s="574"/>
      <c r="U740" s="574"/>
    </row>
    <row r="741">
      <c r="A741" s="574"/>
      <c r="B741" s="574"/>
      <c r="C741" s="574"/>
      <c r="D741" s="671"/>
      <c r="E741" s="574"/>
      <c r="F741" s="574"/>
      <c r="G741" s="574"/>
      <c r="H741" s="574"/>
      <c r="I741" s="672"/>
      <c r="J741" s="574"/>
      <c r="K741" s="574"/>
      <c r="L741" s="574"/>
      <c r="M741" s="673"/>
      <c r="N741" s="672"/>
      <c r="O741" s="574"/>
      <c r="P741" s="574"/>
      <c r="Q741" s="574"/>
      <c r="R741" s="574"/>
      <c r="S741" s="575"/>
      <c r="T741" s="574"/>
      <c r="U741" s="574"/>
    </row>
    <row r="742">
      <c r="A742" s="574"/>
      <c r="B742" s="574"/>
      <c r="C742" s="574"/>
      <c r="D742" s="671"/>
      <c r="E742" s="574"/>
      <c r="F742" s="574"/>
      <c r="G742" s="574"/>
      <c r="H742" s="574"/>
      <c r="I742" s="672"/>
      <c r="J742" s="574"/>
      <c r="K742" s="574"/>
      <c r="L742" s="574"/>
      <c r="M742" s="673"/>
      <c r="N742" s="672"/>
      <c r="O742" s="574"/>
      <c r="P742" s="574"/>
      <c r="Q742" s="574"/>
      <c r="R742" s="574"/>
      <c r="S742" s="575"/>
      <c r="T742" s="574"/>
      <c r="U742" s="574"/>
    </row>
    <row r="743">
      <c r="A743" s="574"/>
      <c r="B743" s="574"/>
      <c r="C743" s="574"/>
      <c r="D743" s="671"/>
      <c r="E743" s="574"/>
      <c r="F743" s="574"/>
      <c r="G743" s="574"/>
      <c r="H743" s="574"/>
      <c r="I743" s="672"/>
      <c r="J743" s="574"/>
      <c r="K743" s="574"/>
      <c r="L743" s="574"/>
      <c r="M743" s="673"/>
      <c r="N743" s="672"/>
      <c r="O743" s="574"/>
      <c r="P743" s="574"/>
      <c r="Q743" s="574"/>
      <c r="R743" s="574"/>
      <c r="S743" s="575"/>
      <c r="T743" s="574"/>
      <c r="U743" s="574"/>
    </row>
    <row r="744">
      <c r="A744" s="574"/>
      <c r="B744" s="574"/>
      <c r="C744" s="574"/>
      <c r="D744" s="671"/>
      <c r="E744" s="574"/>
      <c r="F744" s="574"/>
      <c r="G744" s="574"/>
      <c r="H744" s="574"/>
      <c r="I744" s="672"/>
      <c r="J744" s="574"/>
      <c r="K744" s="574"/>
      <c r="L744" s="574"/>
      <c r="M744" s="673"/>
      <c r="N744" s="672"/>
      <c r="O744" s="574"/>
      <c r="P744" s="574"/>
      <c r="Q744" s="574"/>
      <c r="R744" s="574"/>
      <c r="S744" s="575"/>
      <c r="T744" s="574"/>
      <c r="U744" s="574"/>
    </row>
    <row r="745">
      <c r="A745" s="574"/>
      <c r="B745" s="574"/>
      <c r="C745" s="574"/>
      <c r="D745" s="671"/>
      <c r="E745" s="574"/>
      <c r="F745" s="574"/>
      <c r="G745" s="574"/>
      <c r="H745" s="574"/>
      <c r="I745" s="672"/>
      <c r="J745" s="574"/>
      <c r="K745" s="574"/>
      <c r="L745" s="574"/>
      <c r="M745" s="673"/>
      <c r="N745" s="672"/>
      <c r="O745" s="574"/>
      <c r="P745" s="574"/>
      <c r="Q745" s="574"/>
      <c r="R745" s="574"/>
      <c r="S745" s="575"/>
      <c r="T745" s="574"/>
      <c r="U745" s="574"/>
    </row>
    <row r="746">
      <c r="A746" s="574"/>
      <c r="B746" s="574"/>
      <c r="C746" s="574"/>
      <c r="D746" s="671"/>
      <c r="E746" s="574"/>
      <c r="F746" s="574"/>
      <c r="G746" s="574"/>
      <c r="H746" s="574"/>
      <c r="I746" s="672"/>
      <c r="J746" s="574"/>
      <c r="K746" s="574"/>
      <c r="L746" s="574"/>
      <c r="M746" s="673"/>
      <c r="N746" s="672"/>
      <c r="O746" s="574"/>
      <c r="P746" s="574"/>
      <c r="Q746" s="574"/>
      <c r="R746" s="574"/>
      <c r="S746" s="575"/>
      <c r="T746" s="574"/>
      <c r="U746" s="574"/>
    </row>
    <row r="747">
      <c r="A747" s="574"/>
      <c r="B747" s="574"/>
      <c r="C747" s="574"/>
      <c r="D747" s="671"/>
      <c r="E747" s="574"/>
      <c r="F747" s="574"/>
      <c r="G747" s="574"/>
      <c r="H747" s="574"/>
      <c r="I747" s="672"/>
      <c r="J747" s="574"/>
      <c r="K747" s="574"/>
      <c r="L747" s="574"/>
      <c r="M747" s="673"/>
      <c r="N747" s="672"/>
      <c r="O747" s="574"/>
      <c r="P747" s="574"/>
      <c r="Q747" s="574"/>
      <c r="R747" s="574"/>
      <c r="S747" s="575"/>
      <c r="T747" s="574"/>
      <c r="U747" s="574"/>
    </row>
    <row r="748">
      <c r="A748" s="574"/>
      <c r="B748" s="574"/>
      <c r="C748" s="574"/>
      <c r="D748" s="671"/>
      <c r="E748" s="574"/>
      <c r="F748" s="574"/>
      <c r="G748" s="574"/>
      <c r="H748" s="574"/>
      <c r="I748" s="672"/>
      <c r="J748" s="574"/>
      <c r="K748" s="574"/>
      <c r="L748" s="574"/>
      <c r="M748" s="673"/>
      <c r="N748" s="672"/>
      <c r="O748" s="574"/>
      <c r="P748" s="574"/>
      <c r="Q748" s="574"/>
      <c r="R748" s="574"/>
      <c r="S748" s="575"/>
      <c r="T748" s="574"/>
      <c r="U748" s="574"/>
    </row>
    <row r="749">
      <c r="A749" s="574"/>
      <c r="B749" s="574"/>
      <c r="C749" s="574"/>
      <c r="D749" s="671"/>
      <c r="E749" s="574"/>
      <c r="F749" s="574"/>
      <c r="G749" s="574"/>
      <c r="H749" s="574"/>
      <c r="I749" s="672"/>
      <c r="J749" s="574"/>
      <c r="K749" s="574"/>
      <c r="L749" s="574"/>
      <c r="M749" s="673"/>
      <c r="N749" s="672"/>
      <c r="O749" s="574"/>
      <c r="P749" s="574"/>
      <c r="Q749" s="574"/>
      <c r="R749" s="574"/>
      <c r="S749" s="575"/>
      <c r="T749" s="574"/>
      <c r="U749" s="574"/>
    </row>
    <row r="750">
      <c r="A750" s="574"/>
      <c r="B750" s="574"/>
      <c r="C750" s="574"/>
      <c r="D750" s="671"/>
      <c r="E750" s="574"/>
      <c r="F750" s="574"/>
      <c r="G750" s="574"/>
      <c r="H750" s="574"/>
      <c r="I750" s="672"/>
      <c r="J750" s="574"/>
      <c r="K750" s="574"/>
      <c r="L750" s="574"/>
      <c r="M750" s="673"/>
      <c r="N750" s="672"/>
      <c r="O750" s="574"/>
      <c r="P750" s="574"/>
      <c r="Q750" s="574"/>
      <c r="R750" s="574"/>
      <c r="S750" s="575"/>
      <c r="T750" s="574"/>
      <c r="U750" s="574"/>
    </row>
    <row r="751">
      <c r="A751" s="574"/>
      <c r="B751" s="574"/>
      <c r="C751" s="574"/>
      <c r="D751" s="671"/>
      <c r="E751" s="574"/>
      <c r="F751" s="574"/>
      <c r="G751" s="574"/>
      <c r="H751" s="574"/>
      <c r="I751" s="672"/>
      <c r="J751" s="574"/>
      <c r="K751" s="574"/>
      <c r="L751" s="574"/>
      <c r="M751" s="673"/>
      <c r="N751" s="672"/>
      <c r="O751" s="574"/>
      <c r="P751" s="574"/>
      <c r="Q751" s="574"/>
      <c r="R751" s="574"/>
      <c r="S751" s="575"/>
      <c r="T751" s="574"/>
      <c r="U751" s="574"/>
    </row>
    <row r="752">
      <c r="A752" s="574"/>
      <c r="B752" s="574"/>
      <c r="C752" s="574"/>
      <c r="D752" s="671"/>
      <c r="E752" s="574"/>
      <c r="F752" s="574"/>
      <c r="G752" s="574"/>
      <c r="H752" s="574"/>
      <c r="I752" s="672"/>
      <c r="J752" s="574"/>
      <c r="K752" s="574"/>
      <c r="L752" s="574"/>
      <c r="M752" s="673"/>
      <c r="N752" s="672"/>
      <c r="O752" s="574"/>
      <c r="P752" s="574"/>
      <c r="Q752" s="574"/>
      <c r="R752" s="574"/>
      <c r="S752" s="575"/>
      <c r="T752" s="574"/>
      <c r="U752" s="574"/>
    </row>
    <row r="753">
      <c r="A753" s="574"/>
      <c r="B753" s="574"/>
      <c r="C753" s="574"/>
      <c r="D753" s="671"/>
      <c r="E753" s="574"/>
      <c r="F753" s="574"/>
      <c r="G753" s="574"/>
      <c r="H753" s="574"/>
      <c r="I753" s="672"/>
      <c r="J753" s="574"/>
      <c r="K753" s="574"/>
      <c r="L753" s="574"/>
      <c r="M753" s="673"/>
      <c r="N753" s="672"/>
      <c r="O753" s="574"/>
      <c r="P753" s="574"/>
      <c r="Q753" s="574"/>
      <c r="R753" s="574"/>
      <c r="S753" s="575"/>
      <c r="T753" s="574"/>
      <c r="U753" s="574"/>
    </row>
    <row r="754">
      <c r="A754" s="574"/>
      <c r="B754" s="574"/>
      <c r="C754" s="574"/>
      <c r="D754" s="671"/>
      <c r="E754" s="574"/>
      <c r="F754" s="574"/>
      <c r="G754" s="574"/>
      <c r="H754" s="574"/>
      <c r="I754" s="672"/>
      <c r="J754" s="574"/>
      <c r="K754" s="574"/>
      <c r="L754" s="574"/>
      <c r="M754" s="673"/>
      <c r="N754" s="672"/>
      <c r="O754" s="574"/>
      <c r="P754" s="574"/>
      <c r="Q754" s="574"/>
      <c r="R754" s="574"/>
      <c r="S754" s="575"/>
      <c r="T754" s="574"/>
      <c r="U754" s="574"/>
    </row>
    <row r="755">
      <c r="A755" s="574"/>
      <c r="B755" s="574"/>
      <c r="C755" s="574"/>
      <c r="D755" s="671"/>
      <c r="E755" s="574"/>
      <c r="F755" s="574"/>
      <c r="G755" s="574"/>
      <c r="H755" s="574"/>
      <c r="I755" s="672"/>
      <c r="J755" s="574"/>
      <c r="K755" s="574"/>
      <c r="L755" s="574"/>
      <c r="M755" s="673"/>
      <c r="N755" s="672"/>
      <c r="O755" s="574"/>
      <c r="P755" s="574"/>
      <c r="Q755" s="574"/>
      <c r="R755" s="574"/>
      <c r="S755" s="575"/>
      <c r="T755" s="574"/>
      <c r="U755" s="574"/>
    </row>
    <row r="756">
      <c r="A756" s="574"/>
      <c r="B756" s="574"/>
      <c r="C756" s="574"/>
      <c r="D756" s="671"/>
      <c r="E756" s="574"/>
      <c r="F756" s="574"/>
      <c r="G756" s="574"/>
      <c r="H756" s="574"/>
      <c r="I756" s="672"/>
      <c r="J756" s="574"/>
      <c r="K756" s="574"/>
      <c r="L756" s="574"/>
      <c r="M756" s="673"/>
      <c r="N756" s="672"/>
      <c r="O756" s="574"/>
      <c r="P756" s="574"/>
      <c r="Q756" s="574"/>
      <c r="R756" s="574"/>
      <c r="S756" s="575"/>
      <c r="T756" s="574"/>
      <c r="U756" s="574"/>
    </row>
    <row r="757">
      <c r="A757" s="574"/>
      <c r="B757" s="574"/>
      <c r="C757" s="574"/>
      <c r="D757" s="671"/>
      <c r="E757" s="574"/>
      <c r="F757" s="574"/>
      <c r="G757" s="574"/>
      <c r="H757" s="574"/>
      <c r="I757" s="672"/>
      <c r="J757" s="574"/>
      <c r="K757" s="574"/>
      <c r="L757" s="574"/>
      <c r="M757" s="673"/>
      <c r="N757" s="672"/>
      <c r="O757" s="574"/>
      <c r="P757" s="574"/>
      <c r="Q757" s="574"/>
      <c r="R757" s="574"/>
      <c r="S757" s="575"/>
      <c r="T757" s="574"/>
      <c r="U757" s="574"/>
    </row>
    <row r="758">
      <c r="A758" s="574"/>
      <c r="B758" s="574"/>
      <c r="C758" s="574"/>
      <c r="D758" s="671"/>
      <c r="E758" s="574"/>
      <c r="F758" s="574"/>
      <c r="G758" s="574"/>
      <c r="H758" s="574"/>
      <c r="I758" s="672"/>
      <c r="J758" s="574"/>
      <c r="K758" s="574"/>
      <c r="L758" s="574"/>
      <c r="M758" s="673"/>
      <c r="N758" s="672"/>
      <c r="O758" s="574"/>
      <c r="P758" s="574"/>
      <c r="Q758" s="574"/>
      <c r="R758" s="574"/>
      <c r="S758" s="575"/>
      <c r="T758" s="574"/>
      <c r="U758" s="574"/>
    </row>
    <row r="759">
      <c r="A759" s="574"/>
      <c r="B759" s="574"/>
      <c r="C759" s="574"/>
      <c r="D759" s="671"/>
      <c r="E759" s="574"/>
      <c r="F759" s="574"/>
      <c r="G759" s="574"/>
      <c r="H759" s="574"/>
      <c r="I759" s="672"/>
      <c r="J759" s="574"/>
      <c r="K759" s="574"/>
      <c r="L759" s="574"/>
      <c r="M759" s="673"/>
      <c r="N759" s="672"/>
      <c r="O759" s="574"/>
      <c r="P759" s="574"/>
      <c r="Q759" s="574"/>
      <c r="R759" s="574"/>
      <c r="S759" s="575"/>
      <c r="T759" s="574"/>
      <c r="U759" s="574"/>
    </row>
    <row r="760">
      <c r="A760" s="574"/>
      <c r="B760" s="574"/>
      <c r="C760" s="574"/>
      <c r="D760" s="671"/>
      <c r="E760" s="574"/>
      <c r="F760" s="574"/>
      <c r="G760" s="574"/>
      <c r="H760" s="574"/>
      <c r="I760" s="672"/>
      <c r="J760" s="574"/>
      <c r="K760" s="574"/>
      <c r="L760" s="574"/>
      <c r="M760" s="673"/>
      <c r="N760" s="672"/>
      <c r="O760" s="574"/>
      <c r="P760" s="574"/>
      <c r="Q760" s="574"/>
      <c r="R760" s="574"/>
      <c r="S760" s="575"/>
      <c r="T760" s="574"/>
      <c r="U760" s="574"/>
    </row>
    <row r="761">
      <c r="A761" s="574"/>
      <c r="B761" s="574"/>
      <c r="C761" s="574"/>
      <c r="D761" s="671"/>
      <c r="E761" s="574"/>
      <c r="F761" s="574"/>
      <c r="G761" s="574"/>
      <c r="H761" s="574"/>
      <c r="I761" s="672"/>
      <c r="J761" s="574"/>
      <c r="K761" s="574"/>
      <c r="L761" s="574"/>
      <c r="M761" s="673"/>
      <c r="N761" s="672"/>
      <c r="O761" s="574"/>
      <c r="P761" s="574"/>
      <c r="Q761" s="574"/>
      <c r="R761" s="574"/>
      <c r="S761" s="575"/>
      <c r="T761" s="574"/>
      <c r="U761" s="574"/>
    </row>
    <row r="762">
      <c r="A762" s="574"/>
      <c r="B762" s="574"/>
      <c r="C762" s="574"/>
      <c r="D762" s="671"/>
      <c r="E762" s="574"/>
      <c r="F762" s="574"/>
      <c r="G762" s="574"/>
      <c r="H762" s="574"/>
      <c r="I762" s="672"/>
      <c r="J762" s="574"/>
      <c r="K762" s="574"/>
      <c r="L762" s="574"/>
      <c r="M762" s="673"/>
      <c r="N762" s="672"/>
      <c r="O762" s="574"/>
      <c r="P762" s="574"/>
      <c r="Q762" s="574"/>
      <c r="R762" s="574"/>
      <c r="S762" s="575"/>
      <c r="T762" s="574"/>
      <c r="U762" s="574"/>
    </row>
    <row r="763">
      <c r="A763" s="574"/>
      <c r="B763" s="574"/>
      <c r="C763" s="574"/>
      <c r="D763" s="671"/>
      <c r="E763" s="574"/>
      <c r="F763" s="574"/>
      <c r="G763" s="574"/>
      <c r="H763" s="574"/>
      <c r="I763" s="672"/>
      <c r="J763" s="574"/>
      <c r="K763" s="574"/>
      <c r="L763" s="574"/>
      <c r="M763" s="673"/>
      <c r="N763" s="672"/>
      <c r="O763" s="574"/>
      <c r="P763" s="574"/>
      <c r="Q763" s="574"/>
      <c r="R763" s="574"/>
      <c r="S763" s="575"/>
      <c r="T763" s="574"/>
      <c r="U763" s="574"/>
    </row>
    <row r="764">
      <c r="A764" s="574"/>
      <c r="B764" s="574"/>
      <c r="C764" s="574"/>
      <c r="D764" s="671"/>
      <c r="E764" s="574"/>
      <c r="F764" s="574"/>
      <c r="G764" s="574"/>
      <c r="H764" s="574"/>
      <c r="I764" s="672"/>
      <c r="J764" s="574"/>
      <c r="K764" s="574"/>
      <c r="L764" s="574"/>
      <c r="M764" s="673"/>
      <c r="N764" s="672"/>
      <c r="O764" s="574"/>
      <c r="P764" s="574"/>
      <c r="Q764" s="574"/>
      <c r="R764" s="574"/>
      <c r="S764" s="575"/>
      <c r="T764" s="574"/>
      <c r="U764" s="574"/>
    </row>
    <row r="765">
      <c r="A765" s="574"/>
      <c r="B765" s="574"/>
      <c r="C765" s="574"/>
      <c r="D765" s="671"/>
      <c r="E765" s="574"/>
      <c r="F765" s="574"/>
      <c r="G765" s="574"/>
      <c r="H765" s="574"/>
      <c r="I765" s="672"/>
      <c r="J765" s="574"/>
      <c r="K765" s="574"/>
      <c r="L765" s="574"/>
      <c r="M765" s="673"/>
      <c r="N765" s="672"/>
      <c r="O765" s="574"/>
      <c r="P765" s="574"/>
      <c r="Q765" s="574"/>
      <c r="R765" s="574"/>
      <c r="S765" s="575"/>
      <c r="T765" s="574"/>
      <c r="U765" s="574"/>
    </row>
    <row r="766">
      <c r="A766" s="574"/>
      <c r="B766" s="574"/>
      <c r="C766" s="574"/>
      <c r="D766" s="671"/>
      <c r="E766" s="574"/>
      <c r="F766" s="574"/>
      <c r="G766" s="574"/>
      <c r="H766" s="574"/>
      <c r="I766" s="672"/>
      <c r="J766" s="574"/>
      <c r="K766" s="574"/>
      <c r="L766" s="574"/>
      <c r="M766" s="673"/>
      <c r="N766" s="672"/>
      <c r="O766" s="574"/>
      <c r="P766" s="574"/>
      <c r="Q766" s="574"/>
      <c r="R766" s="574"/>
      <c r="S766" s="575"/>
      <c r="T766" s="574"/>
      <c r="U766" s="574"/>
    </row>
    <row r="767">
      <c r="A767" s="574"/>
      <c r="B767" s="574"/>
      <c r="C767" s="574"/>
      <c r="D767" s="671"/>
      <c r="E767" s="574"/>
      <c r="F767" s="574"/>
      <c r="G767" s="574"/>
      <c r="H767" s="574"/>
      <c r="I767" s="672"/>
      <c r="J767" s="574"/>
      <c r="K767" s="574"/>
      <c r="L767" s="574"/>
      <c r="M767" s="673"/>
      <c r="N767" s="672"/>
      <c r="O767" s="574"/>
      <c r="P767" s="574"/>
      <c r="Q767" s="574"/>
      <c r="R767" s="574"/>
      <c r="S767" s="575"/>
      <c r="T767" s="574"/>
      <c r="U767" s="574"/>
    </row>
    <row r="768">
      <c r="A768" s="574"/>
      <c r="B768" s="574"/>
      <c r="C768" s="574"/>
      <c r="D768" s="671"/>
      <c r="E768" s="574"/>
      <c r="F768" s="574"/>
      <c r="G768" s="574"/>
      <c r="H768" s="574"/>
      <c r="I768" s="672"/>
      <c r="J768" s="574"/>
      <c r="K768" s="574"/>
      <c r="L768" s="574"/>
      <c r="M768" s="673"/>
      <c r="N768" s="672"/>
      <c r="O768" s="574"/>
      <c r="P768" s="574"/>
      <c r="Q768" s="574"/>
      <c r="R768" s="574"/>
      <c r="S768" s="575"/>
      <c r="T768" s="574"/>
      <c r="U768" s="574"/>
    </row>
    <row r="769">
      <c r="A769" s="574"/>
      <c r="B769" s="574"/>
      <c r="C769" s="574"/>
      <c r="D769" s="671"/>
      <c r="E769" s="574"/>
      <c r="F769" s="574"/>
      <c r="G769" s="574"/>
      <c r="H769" s="574"/>
      <c r="I769" s="672"/>
      <c r="J769" s="574"/>
      <c r="K769" s="574"/>
      <c r="L769" s="574"/>
      <c r="M769" s="673"/>
      <c r="N769" s="672"/>
      <c r="O769" s="574"/>
      <c r="P769" s="574"/>
      <c r="Q769" s="574"/>
      <c r="R769" s="574"/>
      <c r="S769" s="575"/>
      <c r="T769" s="574"/>
      <c r="U769" s="574"/>
    </row>
    <row r="770">
      <c r="A770" s="574"/>
      <c r="B770" s="574"/>
      <c r="C770" s="574"/>
      <c r="D770" s="671"/>
      <c r="E770" s="574"/>
      <c r="F770" s="574"/>
      <c r="G770" s="574"/>
      <c r="H770" s="574"/>
      <c r="I770" s="672"/>
      <c r="J770" s="574"/>
      <c r="K770" s="574"/>
      <c r="L770" s="574"/>
      <c r="M770" s="673"/>
      <c r="N770" s="672"/>
      <c r="O770" s="574"/>
      <c r="P770" s="574"/>
      <c r="Q770" s="574"/>
      <c r="R770" s="574"/>
      <c r="S770" s="575"/>
      <c r="T770" s="574"/>
      <c r="U770" s="574"/>
    </row>
    <row r="771">
      <c r="A771" s="574"/>
      <c r="B771" s="574"/>
      <c r="C771" s="574"/>
      <c r="D771" s="671"/>
      <c r="E771" s="574"/>
      <c r="F771" s="574"/>
      <c r="G771" s="574"/>
      <c r="H771" s="574"/>
      <c r="I771" s="672"/>
      <c r="J771" s="574"/>
      <c r="K771" s="574"/>
      <c r="L771" s="574"/>
      <c r="M771" s="673"/>
      <c r="N771" s="672"/>
      <c r="O771" s="574"/>
      <c r="P771" s="574"/>
      <c r="Q771" s="574"/>
      <c r="R771" s="574"/>
      <c r="S771" s="575"/>
      <c r="T771" s="574"/>
      <c r="U771" s="574"/>
    </row>
    <row r="772">
      <c r="A772" s="574"/>
      <c r="B772" s="574"/>
      <c r="C772" s="574"/>
      <c r="D772" s="671"/>
      <c r="E772" s="574"/>
      <c r="F772" s="574"/>
      <c r="G772" s="574"/>
      <c r="H772" s="574"/>
      <c r="I772" s="672"/>
      <c r="J772" s="574"/>
      <c r="K772" s="574"/>
      <c r="L772" s="574"/>
      <c r="M772" s="673"/>
      <c r="N772" s="672"/>
      <c r="O772" s="574"/>
      <c r="P772" s="574"/>
      <c r="Q772" s="574"/>
      <c r="R772" s="574"/>
      <c r="S772" s="575"/>
      <c r="T772" s="574"/>
      <c r="U772" s="574"/>
    </row>
    <row r="773">
      <c r="A773" s="574"/>
      <c r="B773" s="574"/>
      <c r="C773" s="574"/>
      <c r="D773" s="671"/>
      <c r="E773" s="574"/>
      <c r="F773" s="574"/>
      <c r="G773" s="574"/>
      <c r="H773" s="574"/>
      <c r="I773" s="672"/>
      <c r="J773" s="574"/>
      <c r="K773" s="574"/>
      <c r="L773" s="574"/>
      <c r="M773" s="673"/>
      <c r="N773" s="672"/>
      <c r="O773" s="574"/>
      <c r="P773" s="574"/>
      <c r="Q773" s="574"/>
      <c r="R773" s="574"/>
      <c r="S773" s="575"/>
      <c r="T773" s="574"/>
      <c r="U773" s="574"/>
    </row>
    <row r="774">
      <c r="A774" s="574"/>
      <c r="B774" s="574"/>
      <c r="C774" s="574"/>
      <c r="D774" s="671"/>
      <c r="E774" s="574"/>
      <c r="F774" s="574"/>
      <c r="G774" s="574"/>
      <c r="H774" s="574"/>
      <c r="I774" s="672"/>
      <c r="J774" s="574"/>
      <c r="K774" s="574"/>
      <c r="L774" s="574"/>
      <c r="M774" s="673"/>
      <c r="N774" s="672"/>
      <c r="O774" s="574"/>
      <c r="P774" s="574"/>
      <c r="Q774" s="574"/>
      <c r="R774" s="574"/>
      <c r="S774" s="575"/>
      <c r="T774" s="574"/>
      <c r="U774" s="574"/>
    </row>
    <row r="775">
      <c r="A775" s="574"/>
      <c r="B775" s="574"/>
      <c r="C775" s="574"/>
      <c r="D775" s="671"/>
      <c r="E775" s="574"/>
      <c r="F775" s="574"/>
      <c r="G775" s="574"/>
      <c r="H775" s="574"/>
      <c r="I775" s="672"/>
      <c r="J775" s="574"/>
      <c r="K775" s="574"/>
      <c r="L775" s="574"/>
      <c r="M775" s="673"/>
      <c r="N775" s="672"/>
      <c r="O775" s="574"/>
      <c r="P775" s="574"/>
      <c r="Q775" s="574"/>
      <c r="R775" s="574"/>
      <c r="S775" s="575"/>
      <c r="T775" s="574"/>
      <c r="U775" s="574"/>
    </row>
    <row r="776">
      <c r="A776" s="574"/>
      <c r="B776" s="574"/>
      <c r="C776" s="574"/>
      <c r="D776" s="671"/>
      <c r="E776" s="574"/>
      <c r="F776" s="574"/>
      <c r="G776" s="574"/>
      <c r="H776" s="574"/>
      <c r="I776" s="672"/>
      <c r="J776" s="574"/>
      <c r="K776" s="574"/>
      <c r="L776" s="574"/>
      <c r="M776" s="673"/>
      <c r="N776" s="672"/>
      <c r="O776" s="574"/>
      <c r="P776" s="574"/>
      <c r="Q776" s="574"/>
      <c r="R776" s="574"/>
      <c r="S776" s="575"/>
      <c r="T776" s="574"/>
      <c r="U776" s="574"/>
    </row>
    <row r="777">
      <c r="A777" s="574"/>
      <c r="B777" s="574"/>
      <c r="C777" s="574"/>
      <c r="D777" s="671"/>
      <c r="E777" s="574"/>
      <c r="F777" s="574"/>
      <c r="G777" s="574"/>
      <c r="H777" s="574"/>
      <c r="I777" s="672"/>
      <c r="J777" s="574"/>
      <c r="K777" s="574"/>
      <c r="L777" s="574"/>
      <c r="M777" s="673"/>
      <c r="N777" s="672"/>
      <c r="O777" s="574"/>
      <c r="P777" s="574"/>
      <c r="Q777" s="574"/>
      <c r="R777" s="574"/>
      <c r="S777" s="575"/>
      <c r="T777" s="574"/>
      <c r="U777" s="574"/>
    </row>
    <row r="778">
      <c r="A778" s="574"/>
      <c r="B778" s="574"/>
      <c r="C778" s="574"/>
      <c r="D778" s="671"/>
      <c r="E778" s="574"/>
      <c r="F778" s="574"/>
      <c r="G778" s="574"/>
      <c r="H778" s="574"/>
      <c r="I778" s="672"/>
      <c r="J778" s="574"/>
      <c r="K778" s="574"/>
      <c r="L778" s="574"/>
      <c r="M778" s="673"/>
      <c r="N778" s="672"/>
      <c r="O778" s="574"/>
      <c r="P778" s="574"/>
      <c r="Q778" s="574"/>
      <c r="R778" s="574"/>
      <c r="S778" s="575"/>
      <c r="T778" s="574"/>
      <c r="U778" s="574"/>
    </row>
    <row r="779">
      <c r="A779" s="574"/>
      <c r="B779" s="574"/>
      <c r="C779" s="574"/>
      <c r="D779" s="671"/>
      <c r="E779" s="574"/>
      <c r="F779" s="574"/>
      <c r="G779" s="574"/>
      <c r="H779" s="574"/>
      <c r="I779" s="672"/>
      <c r="J779" s="574"/>
      <c r="K779" s="574"/>
      <c r="L779" s="574"/>
      <c r="M779" s="673"/>
      <c r="N779" s="672"/>
      <c r="O779" s="574"/>
      <c r="P779" s="574"/>
      <c r="Q779" s="574"/>
      <c r="R779" s="574"/>
      <c r="S779" s="575"/>
      <c r="T779" s="574"/>
      <c r="U779" s="574"/>
    </row>
    <row r="780">
      <c r="A780" s="574"/>
      <c r="B780" s="574"/>
      <c r="C780" s="574"/>
      <c r="D780" s="671"/>
      <c r="E780" s="574"/>
      <c r="F780" s="574"/>
      <c r="G780" s="574"/>
      <c r="H780" s="574"/>
      <c r="I780" s="672"/>
      <c r="J780" s="574"/>
      <c r="K780" s="574"/>
      <c r="L780" s="574"/>
      <c r="M780" s="673"/>
      <c r="N780" s="672"/>
      <c r="O780" s="574"/>
      <c r="P780" s="574"/>
      <c r="Q780" s="574"/>
      <c r="R780" s="574"/>
      <c r="S780" s="575"/>
      <c r="T780" s="574"/>
      <c r="U780" s="574"/>
    </row>
    <row r="781">
      <c r="A781" s="574"/>
      <c r="B781" s="574"/>
      <c r="C781" s="574"/>
      <c r="D781" s="671"/>
      <c r="E781" s="574"/>
      <c r="F781" s="574"/>
      <c r="G781" s="574"/>
      <c r="H781" s="574"/>
      <c r="I781" s="672"/>
      <c r="J781" s="574"/>
      <c r="K781" s="574"/>
      <c r="L781" s="574"/>
      <c r="M781" s="673"/>
      <c r="N781" s="672"/>
      <c r="O781" s="574"/>
      <c r="P781" s="574"/>
      <c r="Q781" s="574"/>
      <c r="R781" s="574"/>
      <c r="S781" s="575"/>
      <c r="T781" s="574"/>
      <c r="U781" s="574"/>
    </row>
    <row r="782">
      <c r="A782" s="574"/>
      <c r="B782" s="574"/>
      <c r="C782" s="574"/>
      <c r="D782" s="671"/>
      <c r="E782" s="574"/>
      <c r="F782" s="574"/>
      <c r="G782" s="574"/>
      <c r="H782" s="574"/>
      <c r="I782" s="672"/>
      <c r="J782" s="574"/>
      <c r="K782" s="574"/>
      <c r="L782" s="574"/>
      <c r="M782" s="673"/>
      <c r="N782" s="672"/>
      <c r="O782" s="574"/>
      <c r="P782" s="574"/>
      <c r="Q782" s="574"/>
      <c r="R782" s="574"/>
      <c r="S782" s="575"/>
      <c r="T782" s="574"/>
      <c r="U782" s="574"/>
    </row>
    <row r="783">
      <c r="A783" s="574"/>
      <c r="B783" s="574"/>
      <c r="C783" s="574"/>
      <c r="D783" s="671"/>
      <c r="E783" s="574"/>
      <c r="F783" s="574"/>
      <c r="G783" s="574"/>
      <c r="H783" s="574"/>
      <c r="I783" s="672"/>
      <c r="J783" s="574"/>
      <c r="K783" s="574"/>
      <c r="L783" s="574"/>
      <c r="M783" s="673"/>
      <c r="N783" s="672"/>
      <c r="O783" s="574"/>
      <c r="P783" s="574"/>
      <c r="Q783" s="574"/>
      <c r="R783" s="574"/>
      <c r="S783" s="575"/>
      <c r="T783" s="574"/>
      <c r="U783" s="574"/>
    </row>
    <row r="784">
      <c r="A784" s="574"/>
      <c r="B784" s="574"/>
      <c r="C784" s="574"/>
      <c r="D784" s="671"/>
      <c r="E784" s="574"/>
      <c r="F784" s="574"/>
      <c r="G784" s="574"/>
      <c r="H784" s="574"/>
      <c r="I784" s="672"/>
      <c r="J784" s="574"/>
      <c r="K784" s="574"/>
      <c r="L784" s="574"/>
      <c r="M784" s="673"/>
      <c r="N784" s="672"/>
      <c r="O784" s="574"/>
      <c r="P784" s="574"/>
      <c r="Q784" s="574"/>
      <c r="R784" s="574"/>
      <c r="S784" s="575"/>
      <c r="T784" s="574"/>
      <c r="U784" s="574"/>
    </row>
    <row r="785">
      <c r="A785" s="574"/>
      <c r="B785" s="574"/>
      <c r="C785" s="574"/>
      <c r="D785" s="671"/>
      <c r="E785" s="574"/>
      <c r="F785" s="574"/>
      <c r="G785" s="574"/>
      <c r="H785" s="574"/>
      <c r="I785" s="672"/>
      <c r="J785" s="574"/>
      <c r="K785" s="574"/>
      <c r="L785" s="574"/>
      <c r="M785" s="673"/>
      <c r="N785" s="672"/>
      <c r="O785" s="574"/>
      <c r="P785" s="574"/>
      <c r="Q785" s="574"/>
      <c r="R785" s="574"/>
      <c r="S785" s="575"/>
      <c r="T785" s="574"/>
      <c r="U785" s="574"/>
    </row>
    <row r="786">
      <c r="A786" s="574"/>
      <c r="B786" s="574"/>
      <c r="C786" s="574"/>
      <c r="D786" s="671"/>
      <c r="E786" s="574"/>
      <c r="F786" s="574"/>
      <c r="G786" s="574"/>
      <c r="H786" s="574"/>
      <c r="I786" s="672"/>
      <c r="J786" s="574"/>
      <c r="K786" s="574"/>
      <c r="L786" s="574"/>
      <c r="M786" s="673"/>
      <c r="N786" s="672"/>
      <c r="O786" s="574"/>
      <c r="P786" s="574"/>
      <c r="Q786" s="574"/>
      <c r="R786" s="574"/>
      <c r="S786" s="575"/>
      <c r="T786" s="574"/>
      <c r="U786" s="574"/>
    </row>
    <row r="787">
      <c r="A787" s="574"/>
      <c r="B787" s="574"/>
      <c r="C787" s="574"/>
      <c r="D787" s="671"/>
      <c r="E787" s="574"/>
      <c r="F787" s="574"/>
      <c r="G787" s="574"/>
      <c r="H787" s="574"/>
      <c r="I787" s="672"/>
      <c r="J787" s="574"/>
      <c r="K787" s="574"/>
      <c r="L787" s="574"/>
      <c r="M787" s="673"/>
      <c r="N787" s="672"/>
      <c r="O787" s="574"/>
      <c r="P787" s="574"/>
      <c r="Q787" s="574"/>
      <c r="R787" s="574"/>
      <c r="S787" s="575"/>
      <c r="T787" s="574"/>
      <c r="U787" s="574"/>
    </row>
    <row r="788">
      <c r="A788" s="574"/>
      <c r="B788" s="574"/>
      <c r="C788" s="574"/>
      <c r="D788" s="671"/>
      <c r="E788" s="574"/>
      <c r="F788" s="574"/>
      <c r="G788" s="574"/>
      <c r="H788" s="574"/>
      <c r="I788" s="672"/>
      <c r="J788" s="574"/>
      <c r="K788" s="574"/>
      <c r="L788" s="574"/>
      <c r="M788" s="673"/>
      <c r="N788" s="672"/>
      <c r="O788" s="574"/>
      <c r="P788" s="574"/>
      <c r="Q788" s="574"/>
      <c r="R788" s="574"/>
      <c r="S788" s="575"/>
      <c r="T788" s="574"/>
      <c r="U788" s="574"/>
    </row>
    <row r="789">
      <c r="A789" s="574"/>
      <c r="B789" s="574"/>
      <c r="C789" s="574"/>
      <c r="D789" s="671"/>
      <c r="E789" s="574"/>
      <c r="F789" s="574"/>
      <c r="G789" s="574"/>
      <c r="H789" s="574"/>
      <c r="I789" s="672"/>
      <c r="J789" s="574"/>
      <c r="K789" s="574"/>
      <c r="L789" s="574"/>
      <c r="M789" s="673"/>
      <c r="N789" s="672"/>
      <c r="O789" s="574"/>
      <c r="P789" s="574"/>
      <c r="Q789" s="574"/>
      <c r="R789" s="574"/>
      <c r="S789" s="575"/>
      <c r="T789" s="574"/>
      <c r="U789" s="574"/>
    </row>
    <row r="790">
      <c r="A790" s="574"/>
      <c r="B790" s="574"/>
      <c r="C790" s="574"/>
      <c r="D790" s="671"/>
      <c r="E790" s="574"/>
      <c r="F790" s="574"/>
      <c r="G790" s="574"/>
      <c r="H790" s="574"/>
      <c r="I790" s="672"/>
      <c r="J790" s="574"/>
      <c r="K790" s="574"/>
      <c r="L790" s="574"/>
      <c r="M790" s="673"/>
      <c r="N790" s="672"/>
      <c r="O790" s="574"/>
      <c r="P790" s="574"/>
      <c r="Q790" s="574"/>
      <c r="R790" s="574"/>
      <c r="S790" s="575"/>
      <c r="T790" s="574"/>
      <c r="U790" s="574"/>
    </row>
    <row r="791">
      <c r="A791" s="574"/>
      <c r="B791" s="574"/>
      <c r="C791" s="574"/>
      <c r="D791" s="671"/>
      <c r="E791" s="574"/>
      <c r="F791" s="574"/>
      <c r="G791" s="574"/>
      <c r="H791" s="574"/>
      <c r="I791" s="672"/>
      <c r="J791" s="574"/>
      <c r="K791" s="574"/>
      <c r="L791" s="574"/>
      <c r="M791" s="673"/>
      <c r="N791" s="672"/>
      <c r="O791" s="574"/>
      <c r="P791" s="574"/>
      <c r="Q791" s="574"/>
      <c r="R791" s="574"/>
      <c r="S791" s="575"/>
      <c r="T791" s="574"/>
      <c r="U791" s="574"/>
    </row>
    <row r="792">
      <c r="A792" s="574"/>
      <c r="B792" s="574"/>
      <c r="C792" s="574"/>
      <c r="D792" s="671"/>
      <c r="E792" s="574"/>
      <c r="F792" s="574"/>
      <c r="G792" s="574"/>
      <c r="H792" s="574"/>
      <c r="I792" s="672"/>
      <c r="J792" s="574"/>
      <c r="K792" s="574"/>
      <c r="L792" s="574"/>
      <c r="M792" s="673"/>
      <c r="N792" s="672"/>
      <c r="O792" s="574"/>
      <c r="P792" s="574"/>
      <c r="Q792" s="574"/>
      <c r="R792" s="574"/>
      <c r="S792" s="575"/>
      <c r="T792" s="574"/>
      <c r="U792" s="574"/>
    </row>
    <row r="793">
      <c r="A793" s="574"/>
      <c r="B793" s="574"/>
      <c r="C793" s="574"/>
      <c r="D793" s="671"/>
      <c r="E793" s="574"/>
      <c r="F793" s="574"/>
      <c r="G793" s="574"/>
      <c r="H793" s="574"/>
      <c r="I793" s="672"/>
      <c r="J793" s="574"/>
      <c r="K793" s="574"/>
      <c r="L793" s="574"/>
      <c r="M793" s="673"/>
      <c r="N793" s="672"/>
      <c r="O793" s="574"/>
      <c r="P793" s="574"/>
      <c r="Q793" s="574"/>
      <c r="R793" s="574"/>
      <c r="S793" s="575"/>
      <c r="T793" s="574"/>
      <c r="U793" s="574"/>
    </row>
    <row r="794">
      <c r="A794" s="574"/>
      <c r="B794" s="574"/>
      <c r="C794" s="574"/>
      <c r="D794" s="671"/>
      <c r="E794" s="574"/>
      <c r="F794" s="574"/>
      <c r="G794" s="574"/>
      <c r="H794" s="574"/>
      <c r="I794" s="672"/>
      <c r="J794" s="574"/>
      <c r="K794" s="574"/>
      <c r="L794" s="574"/>
      <c r="M794" s="673"/>
      <c r="N794" s="672"/>
      <c r="O794" s="574"/>
      <c r="P794" s="574"/>
      <c r="Q794" s="574"/>
      <c r="R794" s="574"/>
      <c r="S794" s="575"/>
      <c r="T794" s="574"/>
      <c r="U794" s="574"/>
    </row>
    <row r="795">
      <c r="A795" s="574"/>
      <c r="B795" s="574"/>
      <c r="C795" s="574"/>
      <c r="D795" s="671"/>
      <c r="E795" s="574"/>
      <c r="F795" s="574"/>
      <c r="G795" s="574"/>
      <c r="H795" s="574"/>
      <c r="I795" s="672"/>
      <c r="J795" s="574"/>
      <c r="K795" s="574"/>
      <c r="L795" s="574"/>
      <c r="M795" s="673"/>
      <c r="N795" s="672"/>
      <c r="O795" s="574"/>
      <c r="P795" s="574"/>
      <c r="Q795" s="574"/>
      <c r="R795" s="574"/>
      <c r="S795" s="575"/>
      <c r="T795" s="574"/>
      <c r="U795" s="574"/>
    </row>
    <row r="796">
      <c r="A796" s="574"/>
      <c r="B796" s="574"/>
      <c r="C796" s="574"/>
      <c r="D796" s="671"/>
      <c r="E796" s="574"/>
      <c r="F796" s="574"/>
      <c r="G796" s="574"/>
      <c r="H796" s="574"/>
      <c r="I796" s="672"/>
      <c r="J796" s="574"/>
      <c r="K796" s="574"/>
      <c r="L796" s="574"/>
      <c r="M796" s="673"/>
      <c r="N796" s="672"/>
      <c r="O796" s="574"/>
      <c r="P796" s="574"/>
      <c r="Q796" s="574"/>
      <c r="R796" s="574"/>
      <c r="S796" s="575"/>
      <c r="T796" s="574"/>
      <c r="U796" s="574"/>
    </row>
    <row r="797">
      <c r="A797" s="574"/>
      <c r="B797" s="574"/>
      <c r="C797" s="574"/>
      <c r="D797" s="671"/>
      <c r="E797" s="574"/>
      <c r="F797" s="574"/>
      <c r="G797" s="574"/>
      <c r="H797" s="574"/>
      <c r="I797" s="672"/>
      <c r="J797" s="574"/>
      <c r="K797" s="574"/>
      <c r="L797" s="574"/>
      <c r="M797" s="673"/>
      <c r="N797" s="672"/>
      <c r="O797" s="574"/>
      <c r="P797" s="574"/>
      <c r="Q797" s="574"/>
      <c r="R797" s="574"/>
      <c r="S797" s="575"/>
      <c r="T797" s="574"/>
      <c r="U797" s="574"/>
    </row>
    <row r="798">
      <c r="A798" s="574"/>
      <c r="B798" s="574"/>
      <c r="C798" s="574"/>
      <c r="D798" s="671"/>
      <c r="E798" s="574"/>
      <c r="F798" s="574"/>
      <c r="G798" s="574"/>
      <c r="H798" s="574"/>
      <c r="I798" s="672"/>
      <c r="J798" s="574"/>
      <c r="K798" s="574"/>
      <c r="L798" s="574"/>
      <c r="M798" s="673"/>
      <c r="N798" s="672"/>
      <c r="O798" s="574"/>
      <c r="P798" s="574"/>
      <c r="Q798" s="574"/>
      <c r="R798" s="574"/>
      <c r="S798" s="575"/>
      <c r="T798" s="574"/>
      <c r="U798" s="574"/>
    </row>
    <row r="799">
      <c r="A799" s="574"/>
      <c r="B799" s="574"/>
      <c r="C799" s="574"/>
      <c r="D799" s="671"/>
      <c r="E799" s="574"/>
      <c r="F799" s="574"/>
      <c r="G799" s="574"/>
      <c r="H799" s="574"/>
      <c r="I799" s="672"/>
      <c r="J799" s="574"/>
      <c r="K799" s="574"/>
      <c r="L799" s="574"/>
      <c r="M799" s="673"/>
      <c r="N799" s="672"/>
      <c r="O799" s="574"/>
      <c r="P799" s="574"/>
      <c r="Q799" s="574"/>
      <c r="R799" s="574"/>
      <c r="S799" s="575"/>
      <c r="T799" s="574"/>
      <c r="U799" s="574"/>
    </row>
    <row r="800">
      <c r="A800" s="574"/>
      <c r="B800" s="574"/>
      <c r="C800" s="574"/>
      <c r="D800" s="671"/>
      <c r="E800" s="574"/>
      <c r="F800" s="574"/>
      <c r="G800" s="574"/>
      <c r="H800" s="574"/>
      <c r="I800" s="672"/>
      <c r="J800" s="574"/>
      <c r="K800" s="574"/>
      <c r="L800" s="574"/>
      <c r="M800" s="673"/>
      <c r="N800" s="672"/>
      <c r="O800" s="574"/>
      <c r="P800" s="574"/>
      <c r="Q800" s="574"/>
      <c r="R800" s="574"/>
      <c r="S800" s="575"/>
      <c r="T800" s="574"/>
      <c r="U800" s="574"/>
    </row>
    <row r="801">
      <c r="A801" s="574"/>
      <c r="B801" s="574"/>
      <c r="C801" s="574"/>
      <c r="D801" s="671"/>
      <c r="E801" s="574"/>
      <c r="F801" s="574"/>
      <c r="G801" s="574"/>
      <c r="H801" s="574"/>
      <c r="I801" s="672"/>
      <c r="J801" s="574"/>
      <c r="K801" s="574"/>
      <c r="L801" s="574"/>
      <c r="M801" s="673"/>
      <c r="N801" s="672"/>
      <c r="O801" s="574"/>
      <c r="P801" s="574"/>
      <c r="Q801" s="574"/>
      <c r="R801" s="574"/>
      <c r="S801" s="575"/>
      <c r="T801" s="574"/>
      <c r="U801" s="574"/>
    </row>
    <row r="802">
      <c r="A802" s="574"/>
      <c r="B802" s="574"/>
      <c r="C802" s="574"/>
      <c r="D802" s="671"/>
      <c r="E802" s="574"/>
      <c r="F802" s="574"/>
      <c r="G802" s="574"/>
      <c r="H802" s="574"/>
      <c r="I802" s="672"/>
      <c r="J802" s="574"/>
      <c r="K802" s="574"/>
      <c r="L802" s="574"/>
      <c r="M802" s="673"/>
      <c r="N802" s="672"/>
      <c r="O802" s="574"/>
      <c r="P802" s="574"/>
      <c r="Q802" s="574"/>
      <c r="R802" s="574"/>
      <c r="S802" s="575"/>
      <c r="T802" s="574"/>
      <c r="U802" s="574"/>
    </row>
    <row r="803">
      <c r="A803" s="574"/>
      <c r="B803" s="574"/>
      <c r="C803" s="574"/>
      <c r="D803" s="671"/>
      <c r="E803" s="574"/>
      <c r="F803" s="574"/>
      <c r="G803" s="574"/>
      <c r="H803" s="574"/>
      <c r="I803" s="672"/>
      <c r="J803" s="574"/>
      <c r="K803" s="574"/>
      <c r="L803" s="574"/>
      <c r="M803" s="673"/>
      <c r="N803" s="672"/>
      <c r="O803" s="574"/>
      <c r="P803" s="574"/>
      <c r="Q803" s="574"/>
      <c r="R803" s="574"/>
      <c r="S803" s="575"/>
      <c r="T803" s="574"/>
      <c r="U803" s="574"/>
    </row>
    <row r="804">
      <c r="A804" s="574"/>
      <c r="B804" s="574"/>
      <c r="C804" s="574"/>
      <c r="D804" s="671"/>
      <c r="E804" s="574"/>
      <c r="F804" s="574"/>
      <c r="G804" s="574"/>
      <c r="H804" s="574"/>
      <c r="I804" s="672"/>
      <c r="J804" s="574"/>
      <c r="K804" s="574"/>
      <c r="L804" s="574"/>
      <c r="M804" s="673"/>
      <c r="N804" s="672"/>
      <c r="O804" s="574"/>
      <c r="P804" s="574"/>
      <c r="Q804" s="574"/>
      <c r="R804" s="574"/>
      <c r="S804" s="575"/>
      <c r="T804" s="574"/>
      <c r="U804" s="574"/>
    </row>
    <row r="805">
      <c r="A805" s="574"/>
      <c r="B805" s="574"/>
      <c r="C805" s="574"/>
      <c r="D805" s="671"/>
      <c r="E805" s="574"/>
      <c r="F805" s="574"/>
      <c r="G805" s="574"/>
      <c r="H805" s="574"/>
      <c r="I805" s="672"/>
      <c r="J805" s="574"/>
      <c r="K805" s="574"/>
      <c r="L805" s="574"/>
      <c r="M805" s="673"/>
      <c r="N805" s="672"/>
      <c r="O805" s="574"/>
      <c r="P805" s="574"/>
      <c r="Q805" s="574"/>
      <c r="R805" s="574"/>
      <c r="S805" s="575"/>
      <c r="T805" s="574"/>
      <c r="U805" s="574"/>
    </row>
    <row r="806">
      <c r="A806" s="574"/>
      <c r="B806" s="574"/>
      <c r="C806" s="574"/>
      <c r="D806" s="671"/>
      <c r="E806" s="574"/>
      <c r="F806" s="574"/>
      <c r="G806" s="574"/>
      <c r="H806" s="574"/>
      <c r="I806" s="672"/>
      <c r="J806" s="574"/>
      <c r="K806" s="574"/>
      <c r="L806" s="574"/>
      <c r="M806" s="673"/>
      <c r="N806" s="672"/>
      <c r="O806" s="574"/>
      <c r="P806" s="574"/>
      <c r="Q806" s="574"/>
      <c r="R806" s="574"/>
      <c r="S806" s="575"/>
      <c r="T806" s="574"/>
      <c r="U806" s="574"/>
    </row>
    <row r="807">
      <c r="A807" s="574"/>
      <c r="B807" s="574"/>
      <c r="C807" s="574"/>
      <c r="D807" s="671"/>
      <c r="E807" s="574"/>
      <c r="F807" s="574"/>
      <c r="G807" s="574"/>
      <c r="H807" s="574"/>
      <c r="I807" s="672"/>
      <c r="J807" s="574"/>
      <c r="K807" s="574"/>
      <c r="L807" s="574"/>
      <c r="M807" s="673"/>
      <c r="N807" s="672"/>
      <c r="O807" s="574"/>
      <c r="P807" s="574"/>
      <c r="Q807" s="574"/>
      <c r="R807" s="574"/>
      <c r="S807" s="575"/>
      <c r="T807" s="574"/>
      <c r="U807" s="574"/>
    </row>
    <row r="808">
      <c r="A808" s="574"/>
      <c r="B808" s="574"/>
      <c r="C808" s="574"/>
      <c r="D808" s="671"/>
      <c r="E808" s="574"/>
      <c r="F808" s="574"/>
      <c r="G808" s="574"/>
      <c r="H808" s="574"/>
      <c r="I808" s="672"/>
      <c r="J808" s="574"/>
      <c r="K808" s="574"/>
      <c r="L808" s="574"/>
      <c r="M808" s="673"/>
      <c r="N808" s="672"/>
      <c r="O808" s="574"/>
      <c r="P808" s="574"/>
      <c r="Q808" s="574"/>
      <c r="R808" s="574"/>
      <c r="S808" s="575"/>
      <c r="T808" s="574"/>
      <c r="U808" s="574"/>
    </row>
    <row r="809">
      <c r="A809" s="574"/>
      <c r="B809" s="574"/>
      <c r="C809" s="574"/>
      <c r="D809" s="671"/>
      <c r="E809" s="574"/>
      <c r="F809" s="574"/>
      <c r="G809" s="574"/>
      <c r="H809" s="574"/>
      <c r="I809" s="672"/>
      <c r="J809" s="574"/>
      <c r="K809" s="574"/>
      <c r="L809" s="574"/>
      <c r="M809" s="673"/>
      <c r="N809" s="672"/>
      <c r="O809" s="574"/>
      <c r="P809" s="574"/>
      <c r="Q809" s="574"/>
      <c r="R809" s="574"/>
      <c r="S809" s="575"/>
      <c r="T809" s="574"/>
      <c r="U809" s="574"/>
    </row>
    <row r="810">
      <c r="A810" s="574"/>
      <c r="B810" s="574"/>
      <c r="C810" s="574"/>
      <c r="D810" s="671"/>
      <c r="E810" s="574"/>
      <c r="F810" s="574"/>
      <c r="G810" s="574"/>
      <c r="H810" s="574"/>
      <c r="I810" s="672"/>
      <c r="J810" s="574"/>
      <c r="K810" s="574"/>
      <c r="L810" s="574"/>
      <c r="M810" s="673"/>
      <c r="N810" s="672"/>
      <c r="O810" s="574"/>
      <c r="P810" s="574"/>
      <c r="Q810" s="574"/>
      <c r="R810" s="574"/>
      <c r="S810" s="575"/>
      <c r="T810" s="574"/>
      <c r="U810" s="574"/>
    </row>
    <row r="811">
      <c r="A811" s="574"/>
      <c r="B811" s="574"/>
      <c r="C811" s="574"/>
      <c r="D811" s="671"/>
      <c r="E811" s="574"/>
      <c r="F811" s="574"/>
      <c r="G811" s="574"/>
      <c r="H811" s="574"/>
      <c r="I811" s="672"/>
      <c r="J811" s="574"/>
      <c r="K811" s="574"/>
      <c r="L811" s="574"/>
      <c r="M811" s="673"/>
      <c r="N811" s="672"/>
      <c r="O811" s="574"/>
      <c r="P811" s="574"/>
      <c r="Q811" s="574"/>
      <c r="R811" s="574"/>
      <c r="S811" s="575"/>
      <c r="T811" s="574"/>
      <c r="U811" s="574"/>
    </row>
    <row r="812">
      <c r="A812" s="574"/>
      <c r="B812" s="574"/>
      <c r="C812" s="574"/>
      <c r="D812" s="671"/>
      <c r="E812" s="574"/>
      <c r="F812" s="574"/>
      <c r="G812" s="574"/>
      <c r="H812" s="574"/>
      <c r="I812" s="672"/>
      <c r="J812" s="574"/>
      <c r="K812" s="574"/>
      <c r="L812" s="574"/>
      <c r="M812" s="673"/>
      <c r="N812" s="672"/>
      <c r="O812" s="574"/>
      <c r="P812" s="574"/>
      <c r="Q812" s="574"/>
      <c r="R812" s="574"/>
      <c r="S812" s="575"/>
      <c r="T812" s="574"/>
      <c r="U812" s="574"/>
    </row>
    <row r="813">
      <c r="A813" s="574"/>
      <c r="B813" s="574"/>
      <c r="C813" s="574"/>
      <c r="D813" s="671"/>
      <c r="E813" s="574"/>
      <c r="F813" s="574"/>
      <c r="G813" s="574"/>
      <c r="H813" s="574"/>
      <c r="I813" s="672"/>
      <c r="J813" s="574"/>
      <c r="K813" s="574"/>
      <c r="L813" s="574"/>
      <c r="M813" s="673"/>
      <c r="N813" s="672"/>
      <c r="O813" s="574"/>
      <c r="P813" s="574"/>
      <c r="Q813" s="574"/>
      <c r="R813" s="574"/>
      <c r="S813" s="575"/>
      <c r="T813" s="574"/>
      <c r="U813" s="574"/>
    </row>
    <row r="814">
      <c r="A814" s="574"/>
      <c r="B814" s="574"/>
      <c r="C814" s="574"/>
      <c r="D814" s="671"/>
      <c r="E814" s="574"/>
      <c r="F814" s="574"/>
      <c r="G814" s="574"/>
      <c r="H814" s="574"/>
      <c r="I814" s="672"/>
      <c r="J814" s="574"/>
      <c r="K814" s="574"/>
      <c r="L814" s="574"/>
      <c r="M814" s="673"/>
      <c r="N814" s="672"/>
      <c r="O814" s="574"/>
      <c r="P814" s="574"/>
      <c r="Q814" s="574"/>
      <c r="R814" s="574"/>
      <c r="S814" s="575"/>
      <c r="T814" s="574"/>
      <c r="U814" s="574"/>
    </row>
    <row r="815">
      <c r="A815" s="574"/>
      <c r="B815" s="574"/>
      <c r="C815" s="574"/>
      <c r="D815" s="671"/>
      <c r="E815" s="574"/>
      <c r="F815" s="574"/>
      <c r="G815" s="574"/>
      <c r="H815" s="574"/>
      <c r="I815" s="672"/>
      <c r="J815" s="574"/>
      <c r="K815" s="574"/>
      <c r="L815" s="574"/>
      <c r="M815" s="673"/>
      <c r="N815" s="672"/>
      <c r="O815" s="574"/>
      <c r="P815" s="574"/>
      <c r="Q815" s="574"/>
      <c r="R815" s="574"/>
      <c r="S815" s="575"/>
      <c r="T815" s="574"/>
      <c r="U815" s="574"/>
    </row>
    <row r="816">
      <c r="A816" s="574"/>
      <c r="B816" s="574"/>
      <c r="C816" s="574"/>
      <c r="D816" s="671"/>
      <c r="E816" s="574"/>
      <c r="F816" s="574"/>
      <c r="G816" s="574"/>
      <c r="H816" s="574"/>
      <c r="I816" s="672"/>
      <c r="J816" s="574"/>
      <c r="K816" s="574"/>
      <c r="L816" s="574"/>
      <c r="M816" s="673"/>
      <c r="N816" s="672"/>
      <c r="O816" s="574"/>
      <c r="P816" s="574"/>
      <c r="Q816" s="574"/>
      <c r="R816" s="574"/>
      <c r="S816" s="575"/>
      <c r="T816" s="574"/>
      <c r="U816" s="574"/>
    </row>
    <row r="817">
      <c r="A817" s="574"/>
      <c r="B817" s="574"/>
      <c r="C817" s="574"/>
      <c r="D817" s="671"/>
      <c r="E817" s="574"/>
      <c r="F817" s="574"/>
      <c r="G817" s="574"/>
      <c r="H817" s="574"/>
      <c r="I817" s="672"/>
      <c r="J817" s="574"/>
      <c r="K817" s="574"/>
      <c r="L817" s="574"/>
      <c r="M817" s="673"/>
      <c r="N817" s="672"/>
      <c r="O817" s="574"/>
      <c r="P817" s="574"/>
      <c r="Q817" s="574"/>
      <c r="R817" s="574"/>
      <c r="S817" s="575"/>
      <c r="T817" s="574"/>
      <c r="U817" s="574"/>
    </row>
    <row r="818">
      <c r="A818" s="574"/>
      <c r="B818" s="574"/>
      <c r="C818" s="574"/>
      <c r="D818" s="671"/>
      <c r="E818" s="574"/>
      <c r="F818" s="574"/>
      <c r="G818" s="574"/>
      <c r="H818" s="574"/>
      <c r="I818" s="672"/>
      <c r="J818" s="574"/>
      <c r="K818" s="574"/>
      <c r="L818" s="574"/>
      <c r="M818" s="673"/>
      <c r="N818" s="672"/>
      <c r="O818" s="574"/>
      <c r="P818" s="574"/>
      <c r="Q818" s="574"/>
      <c r="R818" s="574"/>
      <c r="S818" s="575"/>
      <c r="T818" s="574"/>
      <c r="U818" s="574"/>
    </row>
    <row r="819">
      <c r="A819" s="574"/>
      <c r="B819" s="574"/>
      <c r="C819" s="574"/>
      <c r="D819" s="671"/>
      <c r="E819" s="574"/>
      <c r="F819" s="574"/>
      <c r="G819" s="574"/>
      <c r="H819" s="574"/>
      <c r="I819" s="672"/>
      <c r="J819" s="574"/>
      <c r="K819" s="574"/>
      <c r="L819" s="574"/>
      <c r="M819" s="673"/>
      <c r="N819" s="672"/>
      <c r="O819" s="574"/>
      <c r="P819" s="574"/>
      <c r="Q819" s="574"/>
      <c r="R819" s="574"/>
      <c r="S819" s="575"/>
      <c r="T819" s="574"/>
      <c r="U819" s="574"/>
    </row>
    <row r="820">
      <c r="A820" s="574"/>
      <c r="B820" s="574"/>
      <c r="C820" s="574"/>
      <c r="D820" s="671"/>
      <c r="E820" s="574"/>
      <c r="F820" s="574"/>
      <c r="G820" s="574"/>
      <c r="H820" s="574"/>
      <c r="I820" s="672"/>
      <c r="J820" s="574"/>
      <c r="K820" s="574"/>
      <c r="L820" s="574"/>
      <c r="M820" s="673"/>
      <c r="N820" s="672"/>
      <c r="O820" s="574"/>
      <c r="P820" s="574"/>
      <c r="Q820" s="574"/>
      <c r="R820" s="574"/>
      <c r="S820" s="575"/>
      <c r="T820" s="574"/>
      <c r="U820" s="574"/>
    </row>
    <row r="821">
      <c r="A821" s="574"/>
      <c r="B821" s="574"/>
      <c r="C821" s="574"/>
      <c r="D821" s="671"/>
      <c r="E821" s="574"/>
      <c r="F821" s="574"/>
      <c r="G821" s="574"/>
      <c r="H821" s="574"/>
      <c r="I821" s="672"/>
      <c r="J821" s="574"/>
      <c r="K821" s="574"/>
      <c r="L821" s="574"/>
      <c r="M821" s="673"/>
      <c r="N821" s="672"/>
      <c r="O821" s="574"/>
      <c r="P821" s="574"/>
      <c r="Q821" s="574"/>
      <c r="R821" s="574"/>
      <c r="S821" s="575"/>
      <c r="T821" s="574"/>
      <c r="U821" s="574"/>
    </row>
    <row r="822">
      <c r="A822" s="574"/>
      <c r="B822" s="574"/>
      <c r="C822" s="574"/>
      <c r="D822" s="671"/>
      <c r="E822" s="574"/>
      <c r="F822" s="574"/>
      <c r="G822" s="574"/>
      <c r="H822" s="574"/>
      <c r="I822" s="672"/>
      <c r="J822" s="574"/>
      <c r="K822" s="574"/>
      <c r="L822" s="574"/>
      <c r="M822" s="673"/>
      <c r="N822" s="672"/>
      <c r="O822" s="574"/>
      <c r="P822" s="574"/>
      <c r="Q822" s="574"/>
      <c r="R822" s="574"/>
      <c r="S822" s="575"/>
      <c r="T822" s="574"/>
      <c r="U822" s="574"/>
    </row>
    <row r="823">
      <c r="A823" s="574"/>
      <c r="B823" s="574"/>
      <c r="C823" s="574"/>
      <c r="D823" s="671"/>
      <c r="E823" s="574"/>
      <c r="F823" s="574"/>
      <c r="G823" s="574"/>
      <c r="H823" s="574"/>
      <c r="I823" s="672"/>
      <c r="J823" s="574"/>
      <c r="K823" s="574"/>
      <c r="L823" s="574"/>
      <c r="M823" s="673"/>
      <c r="N823" s="672"/>
      <c r="O823" s="574"/>
      <c r="P823" s="574"/>
      <c r="Q823" s="574"/>
      <c r="R823" s="574"/>
      <c r="S823" s="575"/>
      <c r="T823" s="574"/>
      <c r="U823" s="574"/>
    </row>
    <row r="824">
      <c r="A824" s="574"/>
      <c r="B824" s="574"/>
      <c r="C824" s="574"/>
      <c r="D824" s="671"/>
      <c r="E824" s="574"/>
      <c r="F824" s="574"/>
      <c r="G824" s="574"/>
      <c r="H824" s="574"/>
      <c r="I824" s="672"/>
      <c r="J824" s="574"/>
      <c r="K824" s="574"/>
      <c r="L824" s="574"/>
      <c r="M824" s="673"/>
      <c r="N824" s="672"/>
      <c r="O824" s="574"/>
      <c r="P824" s="574"/>
      <c r="Q824" s="574"/>
      <c r="R824" s="574"/>
      <c r="S824" s="575"/>
      <c r="T824" s="574"/>
      <c r="U824" s="574"/>
    </row>
    <row r="825">
      <c r="A825" s="574"/>
      <c r="B825" s="574"/>
      <c r="C825" s="574"/>
      <c r="D825" s="671"/>
      <c r="E825" s="574"/>
      <c r="F825" s="574"/>
      <c r="G825" s="574"/>
      <c r="H825" s="574"/>
      <c r="I825" s="672"/>
      <c r="J825" s="574"/>
      <c r="K825" s="574"/>
      <c r="L825" s="574"/>
      <c r="M825" s="673"/>
      <c r="N825" s="672"/>
      <c r="O825" s="574"/>
      <c r="P825" s="574"/>
      <c r="Q825" s="574"/>
      <c r="R825" s="574"/>
      <c r="S825" s="575"/>
      <c r="T825" s="574"/>
      <c r="U825" s="574"/>
    </row>
    <row r="826">
      <c r="A826" s="574"/>
      <c r="B826" s="574"/>
      <c r="C826" s="574"/>
      <c r="D826" s="671"/>
      <c r="E826" s="574"/>
      <c r="F826" s="574"/>
      <c r="G826" s="574"/>
      <c r="H826" s="574"/>
      <c r="I826" s="672"/>
      <c r="J826" s="574"/>
      <c r="K826" s="574"/>
      <c r="L826" s="574"/>
      <c r="M826" s="673"/>
      <c r="N826" s="672"/>
      <c r="O826" s="574"/>
      <c r="P826" s="574"/>
      <c r="Q826" s="574"/>
      <c r="R826" s="574"/>
      <c r="S826" s="575"/>
      <c r="T826" s="574"/>
      <c r="U826" s="574"/>
    </row>
    <row r="827">
      <c r="A827" s="574"/>
      <c r="B827" s="574"/>
      <c r="C827" s="574"/>
      <c r="D827" s="671"/>
      <c r="E827" s="574"/>
      <c r="F827" s="574"/>
      <c r="G827" s="574"/>
      <c r="H827" s="574"/>
      <c r="I827" s="672"/>
      <c r="J827" s="574"/>
      <c r="K827" s="574"/>
      <c r="L827" s="574"/>
      <c r="M827" s="673"/>
      <c r="N827" s="672"/>
      <c r="O827" s="574"/>
      <c r="P827" s="574"/>
      <c r="Q827" s="574"/>
      <c r="R827" s="574"/>
      <c r="S827" s="575"/>
      <c r="T827" s="574"/>
      <c r="U827" s="574"/>
    </row>
    <row r="828">
      <c r="A828" s="574"/>
      <c r="B828" s="574"/>
      <c r="C828" s="574"/>
      <c r="D828" s="671"/>
      <c r="E828" s="574"/>
      <c r="F828" s="574"/>
      <c r="G828" s="574"/>
      <c r="H828" s="574"/>
      <c r="I828" s="672"/>
      <c r="J828" s="574"/>
      <c r="K828" s="574"/>
      <c r="L828" s="574"/>
      <c r="M828" s="673"/>
      <c r="N828" s="672"/>
      <c r="O828" s="574"/>
      <c r="P828" s="574"/>
      <c r="Q828" s="574"/>
      <c r="R828" s="574"/>
      <c r="S828" s="575"/>
      <c r="T828" s="574"/>
      <c r="U828" s="574"/>
    </row>
    <row r="829">
      <c r="A829" s="574"/>
      <c r="B829" s="574"/>
      <c r="C829" s="574"/>
      <c r="D829" s="671"/>
      <c r="E829" s="574"/>
      <c r="F829" s="574"/>
      <c r="G829" s="574"/>
      <c r="H829" s="574"/>
      <c r="I829" s="672"/>
      <c r="J829" s="574"/>
      <c r="K829" s="574"/>
      <c r="L829" s="574"/>
      <c r="M829" s="673"/>
      <c r="N829" s="672"/>
      <c r="O829" s="574"/>
      <c r="P829" s="574"/>
      <c r="Q829" s="574"/>
      <c r="R829" s="574"/>
      <c r="S829" s="575"/>
      <c r="T829" s="574"/>
      <c r="U829" s="574"/>
    </row>
    <row r="830">
      <c r="A830" s="574"/>
      <c r="B830" s="574"/>
      <c r="C830" s="574"/>
      <c r="D830" s="671"/>
      <c r="E830" s="574"/>
      <c r="F830" s="574"/>
      <c r="G830" s="574"/>
      <c r="H830" s="574"/>
      <c r="I830" s="672"/>
      <c r="J830" s="574"/>
      <c r="K830" s="574"/>
      <c r="L830" s="574"/>
      <c r="M830" s="673"/>
      <c r="N830" s="672"/>
      <c r="O830" s="574"/>
      <c r="P830" s="574"/>
      <c r="Q830" s="574"/>
      <c r="R830" s="574"/>
      <c r="S830" s="575"/>
      <c r="T830" s="574"/>
      <c r="U830" s="574"/>
    </row>
    <row r="831">
      <c r="A831" s="574"/>
      <c r="B831" s="574"/>
      <c r="C831" s="574"/>
      <c r="D831" s="671"/>
      <c r="E831" s="574"/>
      <c r="F831" s="574"/>
      <c r="G831" s="574"/>
      <c r="H831" s="574"/>
      <c r="I831" s="672"/>
      <c r="J831" s="574"/>
      <c r="K831" s="574"/>
      <c r="L831" s="574"/>
      <c r="M831" s="673"/>
      <c r="N831" s="672"/>
      <c r="O831" s="574"/>
      <c r="P831" s="574"/>
      <c r="Q831" s="574"/>
      <c r="R831" s="574"/>
      <c r="S831" s="575"/>
      <c r="T831" s="574"/>
      <c r="U831" s="574"/>
    </row>
    <row r="832">
      <c r="A832" s="574"/>
      <c r="B832" s="574"/>
      <c r="C832" s="574"/>
      <c r="D832" s="671"/>
      <c r="E832" s="574"/>
      <c r="F832" s="574"/>
      <c r="G832" s="574"/>
      <c r="H832" s="574"/>
      <c r="I832" s="672"/>
      <c r="J832" s="574"/>
      <c r="K832" s="574"/>
      <c r="L832" s="574"/>
      <c r="M832" s="673"/>
      <c r="N832" s="672"/>
      <c r="O832" s="574"/>
      <c r="P832" s="574"/>
      <c r="Q832" s="574"/>
      <c r="R832" s="574"/>
      <c r="S832" s="575"/>
      <c r="T832" s="574"/>
      <c r="U832" s="574"/>
    </row>
    <row r="833">
      <c r="A833" s="574"/>
      <c r="B833" s="574"/>
      <c r="C833" s="574"/>
      <c r="D833" s="671"/>
      <c r="E833" s="574"/>
      <c r="F833" s="574"/>
      <c r="G833" s="574"/>
      <c r="H833" s="574"/>
      <c r="I833" s="672"/>
      <c r="J833" s="574"/>
      <c r="K833" s="574"/>
      <c r="L833" s="574"/>
      <c r="M833" s="673"/>
      <c r="N833" s="672"/>
      <c r="O833" s="574"/>
      <c r="P833" s="574"/>
      <c r="Q833" s="574"/>
      <c r="R833" s="574"/>
      <c r="S833" s="575"/>
      <c r="T833" s="574"/>
      <c r="U833" s="574"/>
    </row>
    <row r="834">
      <c r="A834" s="574"/>
      <c r="B834" s="574"/>
      <c r="C834" s="574"/>
      <c r="D834" s="671"/>
      <c r="E834" s="574"/>
      <c r="F834" s="574"/>
      <c r="G834" s="574"/>
      <c r="H834" s="574"/>
      <c r="I834" s="672"/>
      <c r="J834" s="574"/>
      <c r="K834" s="574"/>
      <c r="L834" s="574"/>
      <c r="M834" s="673"/>
      <c r="N834" s="672"/>
      <c r="O834" s="574"/>
      <c r="P834" s="574"/>
      <c r="Q834" s="574"/>
      <c r="R834" s="574"/>
      <c r="S834" s="575"/>
      <c r="T834" s="574"/>
      <c r="U834" s="574"/>
    </row>
    <row r="835">
      <c r="A835" s="574"/>
      <c r="B835" s="574"/>
      <c r="C835" s="574"/>
      <c r="D835" s="671"/>
      <c r="E835" s="574"/>
      <c r="F835" s="574"/>
      <c r="G835" s="574"/>
      <c r="H835" s="574"/>
      <c r="I835" s="672"/>
      <c r="J835" s="574"/>
      <c r="K835" s="574"/>
      <c r="L835" s="574"/>
      <c r="M835" s="673"/>
      <c r="N835" s="672"/>
      <c r="O835" s="574"/>
      <c r="P835" s="574"/>
      <c r="Q835" s="574"/>
      <c r="R835" s="574"/>
      <c r="S835" s="575"/>
      <c r="T835" s="574"/>
      <c r="U835" s="574"/>
    </row>
    <row r="836">
      <c r="A836" s="574"/>
      <c r="B836" s="574"/>
      <c r="C836" s="574"/>
      <c r="D836" s="671"/>
      <c r="E836" s="574"/>
      <c r="F836" s="574"/>
      <c r="G836" s="574"/>
      <c r="H836" s="574"/>
      <c r="I836" s="672"/>
      <c r="J836" s="574"/>
      <c r="K836" s="574"/>
      <c r="L836" s="574"/>
      <c r="M836" s="673"/>
      <c r="N836" s="672"/>
      <c r="O836" s="574"/>
      <c r="P836" s="574"/>
      <c r="Q836" s="574"/>
      <c r="R836" s="574"/>
      <c r="S836" s="575"/>
      <c r="T836" s="574"/>
      <c r="U836" s="574"/>
    </row>
    <row r="837">
      <c r="A837" s="574"/>
      <c r="B837" s="574"/>
      <c r="C837" s="574"/>
      <c r="D837" s="671"/>
      <c r="E837" s="574"/>
      <c r="F837" s="574"/>
      <c r="G837" s="574"/>
      <c r="H837" s="574"/>
      <c r="I837" s="672"/>
      <c r="J837" s="574"/>
      <c r="K837" s="574"/>
      <c r="L837" s="574"/>
      <c r="M837" s="673"/>
      <c r="N837" s="672"/>
      <c r="O837" s="574"/>
      <c r="P837" s="574"/>
      <c r="Q837" s="574"/>
      <c r="R837" s="574"/>
      <c r="S837" s="575"/>
      <c r="T837" s="574"/>
      <c r="U837" s="574"/>
    </row>
    <row r="838">
      <c r="A838" s="574"/>
      <c r="B838" s="574"/>
      <c r="C838" s="574"/>
      <c r="D838" s="671"/>
      <c r="E838" s="574"/>
      <c r="F838" s="574"/>
      <c r="G838" s="574"/>
      <c r="H838" s="574"/>
      <c r="I838" s="672"/>
      <c r="J838" s="574"/>
      <c r="K838" s="574"/>
      <c r="L838" s="574"/>
      <c r="M838" s="673"/>
      <c r="N838" s="672"/>
      <c r="O838" s="574"/>
      <c r="P838" s="574"/>
      <c r="Q838" s="574"/>
      <c r="R838" s="574"/>
      <c r="S838" s="575"/>
      <c r="T838" s="574"/>
      <c r="U838" s="574"/>
    </row>
    <row r="839">
      <c r="A839" s="574"/>
      <c r="B839" s="574"/>
      <c r="C839" s="574"/>
      <c r="D839" s="671"/>
      <c r="E839" s="574"/>
      <c r="F839" s="574"/>
      <c r="G839" s="574"/>
      <c r="H839" s="574"/>
      <c r="I839" s="672"/>
      <c r="J839" s="574"/>
      <c r="K839" s="574"/>
      <c r="L839" s="574"/>
      <c r="M839" s="673"/>
      <c r="N839" s="672"/>
      <c r="O839" s="574"/>
      <c r="P839" s="574"/>
      <c r="Q839" s="574"/>
      <c r="R839" s="574"/>
      <c r="S839" s="575"/>
      <c r="T839" s="574"/>
      <c r="U839" s="574"/>
    </row>
    <row r="840">
      <c r="A840" s="574"/>
      <c r="B840" s="574"/>
      <c r="C840" s="574"/>
      <c r="D840" s="671"/>
      <c r="E840" s="574"/>
      <c r="F840" s="574"/>
      <c r="G840" s="574"/>
      <c r="H840" s="574"/>
      <c r="I840" s="672"/>
      <c r="J840" s="574"/>
      <c r="K840" s="574"/>
      <c r="L840" s="574"/>
      <c r="M840" s="673"/>
      <c r="N840" s="672"/>
      <c r="O840" s="574"/>
      <c r="P840" s="574"/>
      <c r="Q840" s="574"/>
      <c r="R840" s="574"/>
      <c r="S840" s="575"/>
      <c r="T840" s="574"/>
      <c r="U840" s="574"/>
    </row>
    <row r="841">
      <c r="A841" s="574"/>
      <c r="B841" s="574"/>
      <c r="C841" s="574"/>
      <c r="D841" s="671"/>
      <c r="E841" s="574"/>
      <c r="F841" s="574"/>
      <c r="G841" s="574"/>
      <c r="H841" s="574"/>
      <c r="I841" s="672"/>
      <c r="J841" s="574"/>
      <c r="K841" s="574"/>
      <c r="L841" s="574"/>
      <c r="M841" s="673"/>
      <c r="N841" s="672"/>
      <c r="O841" s="574"/>
      <c r="P841" s="574"/>
      <c r="Q841" s="574"/>
      <c r="R841" s="574"/>
      <c r="S841" s="575"/>
      <c r="T841" s="574"/>
      <c r="U841" s="574"/>
    </row>
    <row r="842">
      <c r="A842" s="574"/>
      <c r="B842" s="574"/>
      <c r="C842" s="574"/>
      <c r="D842" s="671"/>
      <c r="E842" s="574"/>
      <c r="F842" s="574"/>
      <c r="G842" s="574"/>
      <c r="H842" s="574"/>
      <c r="I842" s="672"/>
      <c r="J842" s="574"/>
      <c r="K842" s="574"/>
      <c r="L842" s="574"/>
      <c r="M842" s="673"/>
      <c r="N842" s="672"/>
      <c r="O842" s="574"/>
      <c r="P842" s="574"/>
      <c r="Q842" s="574"/>
      <c r="R842" s="574"/>
      <c r="S842" s="575"/>
      <c r="T842" s="574"/>
      <c r="U842" s="574"/>
    </row>
    <row r="843">
      <c r="A843" s="574"/>
      <c r="B843" s="574"/>
      <c r="C843" s="574"/>
      <c r="D843" s="671"/>
      <c r="E843" s="574"/>
      <c r="F843" s="574"/>
      <c r="G843" s="574"/>
      <c r="H843" s="574"/>
      <c r="I843" s="672"/>
      <c r="J843" s="574"/>
      <c r="K843" s="574"/>
      <c r="L843" s="574"/>
      <c r="M843" s="673"/>
      <c r="N843" s="672"/>
      <c r="O843" s="574"/>
      <c r="P843" s="574"/>
      <c r="Q843" s="574"/>
      <c r="R843" s="574"/>
      <c r="S843" s="575"/>
      <c r="T843" s="574"/>
      <c r="U843" s="574"/>
    </row>
    <row r="844">
      <c r="A844" s="574"/>
      <c r="B844" s="574"/>
      <c r="C844" s="574"/>
      <c r="D844" s="671"/>
      <c r="E844" s="574"/>
      <c r="F844" s="574"/>
      <c r="G844" s="574"/>
      <c r="H844" s="574"/>
      <c r="I844" s="672"/>
      <c r="J844" s="574"/>
      <c r="K844" s="574"/>
      <c r="L844" s="574"/>
      <c r="M844" s="673"/>
      <c r="N844" s="672"/>
      <c r="O844" s="574"/>
      <c r="P844" s="574"/>
      <c r="Q844" s="574"/>
      <c r="R844" s="574"/>
      <c r="S844" s="575"/>
      <c r="T844" s="574"/>
      <c r="U844" s="574"/>
    </row>
    <row r="845">
      <c r="A845" s="574"/>
      <c r="B845" s="574"/>
      <c r="C845" s="574"/>
      <c r="D845" s="671"/>
      <c r="E845" s="574"/>
      <c r="F845" s="574"/>
      <c r="G845" s="574"/>
      <c r="H845" s="574"/>
      <c r="I845" s="672"/>
      <c r="J845" s="574"/>
      <c r="K845" s="574"/>
      <c r="L845" s="574"/>
      <c r="M845" s="673"/>
      <c r="N845" s="672"/>
      <c r="O845" s="574"/>
      <c r="P845" s="574"/>
      <c r="Q845" s="574"/>
      <c r="R845" s="574"/>
      <c r="S845" s="575"/>
      <c r="T845" s="574"/>
      <c r="U845" s="574"/>
    </row>
    <row r="846">
      <c r="A846" s="574"/>
      <c r="B846" s="574"/>
      <c r="C846" s="574"/>
      <c r="D846" s="671"/>
      <c r="E846" s="574"/>
      <c r="F846" s="574"/>
      <c r="G846" s="574"/>
      <c r="H846" s="574"/>
      <c r="I846" s="672"/>
      <c r="J846" s="574"/>
      <c r="K846" s="574"/>
      <c r="L846" s="574"/>
      <c r="M846" s="673"/>
      <c r="N846" s="672"/>
      <c r="O846" s="574"/>
      <c r="P846" s="574"/>
      <c r="Q846" s="574"/>
      <c r="R846" s="574"/>
      <c r="S846" s="575"/>
      <c r="T846" s="574"/>
      <c r="U846" s="574"/>
    </row>
    <row r="847">
      <c r="A847" s="574"/>
      <c r="B847" s="574"/>
      <c r="C847" s="574"/>
      <c r="D847" s="671"/>
      <c r="E847" s="574"/>
      <c r="F847" s="574"/>
      <c r="G847" s="574"/>
      <c r="H847" s="574"/>
      <c r="I847" s="672"/>
      <c r="J847" s="574"/>
      <c r="K847" s="574"/>
      <c r="L847" s="574"/>
      <c r="M847" s="673"/>
      <c r="N847" s="672"/>
      <c r="O847" s="574"/>
      <c r="P847" s="574"/>
      <c r="Q847" s="574"/>
      <c r="R847" s="574"/>
      <c r="S847" s="575"/>
      <c r="T847" s="574"/>
      <c r="U847" s="574"/>
    </row>
    <row r="848">
      <c r="A848" s="574"/>
      <c r="B848" s="574"/>
      <c r="C848" s="574"/>
      <c r="D848" s="671"/>
      <c r="E848" s="574"/>
      <c r="F848" s="574"/>
      <c r="G848" s="574"/>
      <c r="H848" s="574"/>
      <c r="I848" s="672"/>
      <c r="J848" s="574"/>
      <c r="K848" s="574"/>
      <c r="L848" s="574"/>
      <c r="M848" s="673"/>
      <c r="N848" s="672"/>
      <c r="O848" s="574"/>
      <c r="P848" s="574"/>
      <c r="Q848" s="574"/>
      <c r="R848" s="574"/>
      <c r="S848" s="575"/>
      <c r="T848" s="574"/>
      <c r="U848" s="574"/>
    </row>
    <row r="849">
      <c r="A849" s="574"/>
      <c r="B849" s="574"/>
      <c r="C849" s="574"/>
      <c r="D849" s="671"/>
      <c r="E849" s="574"/>
      <c r="F849" s="574"/>
      <c r="G849" s="574"/>
      <c r="H849" s="574"/>
      <c r="I849" s="672"/>
      <c r="J849" s="574"/>
      <c r="K849" s="574"/>
      <c r="L849" s="574"/>
      <c r="M849" s="673"/>
      <c r="N849" s="672"/>
      <c r="O849" s="574"/>
      <c r="P849" s="574"/>
      <c r="Q849" s="574"/>
      <c r="R849" s="574"/>
      <c r="S849" s="575"/>
      <c r="T849" s="574"/>
      <c r="U849" s="574"/>
    </row>
    <row r="850">
      <c r="A850" s="574"/>
      <c r="B850" s="574"/>
      <c r="C850" s="574"/>
      <c r="D850" s="671"/>
      <c r="E850" s="574"/>
      <c r="F850" s="574"/>
      <c r="G850" s="574"/>
      <c r="H850" s="574"/>
      <c r="I850" s="672"/>
      <c r="J850" s="574"/>
      <c r="K850" s="574"/>
      <c r="L850" s="574"/>
      <c r="M850" s="673"/>
      <c r="N850" s="672"/>
      <c r="O850" s="574"/>
      <c r="P850" s="574"/>
      <c r="Q850" s="574"/>
      <c r="R850" s="574"/>
      <c r="S850" s="575"/>
      <c r="T850" s="574"/>
      <c r="U850" s="574"/>
    </row>
    <row r="851">
      <c r="A851" s="574"/>
      <c r="B851" s="574"/>
      <c r="C851" s="574"/>
      <c r="D851" s="671"/>
      <c r="E851" s="574"/>
      <c r="F851" s="574"/>
      <c r="G851" s="574"/>
      <c r="H851" s="574"/>
      <c r="I851" s="672"/>
      <c r="J851" s="574"/>
      <c r="K851" s="574"/>
      <c r="L851" s="574"/>
      <c r="M851" s="673"/>
      <c r="N851" s="672"/>
      <c r="O851" s="574"/>
      <c r="P851" s="574"/>
      <c r="Q851" s="574"/>
      <c r="R851" s="574"/>
      <c r="S851" s="575"/>
      <c r="T851" s="574"/>
      <c r="U851" s="574"/>
    </row>
    <row r="852">
      <c r="A852" s="574"/>
      <c r="B852" s="574"/>
      <c r="C852" s="574"/>
      <c r="D852" s="671"/>
      <c r="E852" s="574"/>
      <c r="F852" s="574"/>
      <c r="G852" s="574"/>
      <c r="H852" s="574"/>
      <c r="I852" s="672"/>
      <c r="J852" s="574"/>
      <c r="K852" s="574"/>
      <c r="L852" s="574"/>
      <c r="M852" s="673"/>
      <c r="N852" s="672"/>
      <c r="O852" s="574"/>
      <c r="P852" s="574"/>
      <c r="Q852" s="574"/>
      <c r="R852" s="574"/>
      <c r="S852" s="575"/>
      <c r="T852" s="574"/>
      <c r="U852" s="574"/>
    </row>
    <row r="853">
      <c r="A853" s="574"/>
      <c r="B853" s="574"/>
      <c r="C853" s="574"/>
      <c r="D853" s="671"/>
      <c r="E853" s="574"/>
      <c r="F853" s="574"/>
      <c r="G853" s="574"/>
      <c r="H853" s="574"/>
      <c r="I853" s="672"/>
      <c r="J853" s="574"/>
      <c r="K853" s="574"/>
      <c r="L853" s="574"/>
      <c r="M853" s="673"/>
      <c r="N853" s="672"/>
      <c r="O853" s="574"/>
      <c r="P853" s="574"/>
      <c r="Q853" s="574"/>
      <c r="R853" s="574"/>
      <c r="S853" s="575"/>
      <c r="T853" s="574"/>
      <c r="U853" s="574"/>
    </row>
    <row r="854">
      <c r="A854" s="574"/>
      <c r="B854" s="574"/>
      <c r="C854" s="574"/>
      <c r="D854" s="671"/>
      <c r="E854" s="574"/>
      <c r="F854" s="574"/>
      <c r="G854" s="574"/>
      <c r="H854" s="574"/>
      <c r="I854" s="672"/>
      <c r="J854" s="574"/>
      <c r="K854" s="574"/>
      <c r="L854" s="574"/>
      <c r="M854" s="673"/>
      <c r="N854" s="672"/>
      <c r="O854" s="574"/>
      <c r="P854" s="574"/>
      <c r="Q854" s="574"/>
      <c r="R854" s="574"/>
      <c r="S854" s="575"/>
      <c r="T854" s="574"/>
      <c r="U854" s="574"/>
    </row>
    <row r="855">
      <c r="A855" s="574"/>
      <c r="B855" s="574"/>
      <c r="C855" s="574"/>
      <c r="D855" s="671"/>
      <c r="E855" s="574"/>
      <c r="F855" s="574"/>
      <c r="G855" s="574"/>
      <c r="H855" s="574"/>
      <c r="I855" s="672"/>
      <c r="J855" s="574"/>
      <c r="K855" s="574"/>
      <c r="L855" s="574"/>
      <c r="M855" s="673"/>
      <c r="N855" s="672"/>
      <c r="O855" s="574"/>
      <c r="P855" s="574"/>
      <c r="Q855" s="574"/>
      <c r="R855" s="574"/>
      <c r="S855" s="575"/>
      <c r="T855" s="574"/>
      <c r="U855" s="574"/>
    </row>
    <row r="856">
      <c r="A856" s="574"/>
      <c r="B856" s="574"/>
      <c r="C856" s="574"/>
      <c r="D856" s="671"/>
      <c r="E856" s="574"/>
      <c r="F856" s="574"/>
      <c r="G856" s="574"/>
      <c r="H856" s="574"/>
      <c r="I856" s="672"/>
      <c r="J856" s="574"/>
      <c r="K856" s="574"/>
      <c r="L856" s="574"/>
      <c r="M856" s="673"/>
      <c r="N856" s="672"/>
      <c r="O856" s="574"/>
      <c r="P856" s="574"/>
      <c r="Q856" s="574"/>
      <c r="R856" s="574"/>
      <c r="S856" s="575"/>
      <c r="T856" s="574"/>
      <c r="U856" s="574"/>
    </row>
    <row r="857">
      <c r="A857" s="574"/>
      <c r="B857" s="574"/>
      <c r="C857" s="574"/>
      <c r="D857" s="671"/>
      <c r="E857" s="574"/>
      <c r="F857" s="574"/>
      <c r="G857" s="574"/>
      <c r="H857" s="574"/>
      <c r="I857" s="672"/>
      <c r="J857" s="574"/>
      <c r="K857" s="574"/>
      <c r="L857" s="574"/>
      <c r="M857" s="673"/>
      <c r="N857" s="672"/>
      <c r="O857" s="574"/>
      <c r="P857" s="574"/>
      <c r="Q857" s="574"/>
      <c r="R857" s="574"/>
      <c r="S857" s="575"/>
      <c r="T857" s="574"/>
      <c r="U857" s="574"/>
    </row>
    <row r="858">
      <c r="A858" s="574"/>
      <c r="B858" s="574"/>
      <c r="C858" s="574"/>
      <c r="D858" s="671"/>
      <c r="E858" s="574"/>
      <c r="F858" s="574"/>
      <c r="G858" s="574"/>
      <c r="H858" s="574"/>
      <c r="I858" s="672"/>
      <c r="J858" s="574"/>
      <c r="K858" s="574"/>
      <c r="L858" s="574"/>
      <c r="M858" s="673"/>
      <c r="N858" s="672"/>
      <c r="O858" s="574"/>
      <c r="P858" s="574"/>
      <c r="Q858" s="574"/>
      <c r="R858" s="574"/>
      <c r="S858" s="575"/>
      <c r="T858" s="574"/>
      <c r="U858" s="574"/>
    </row>
    <row r="859">
      <c r="A859" s="574"/>
      <c r="B859" s="574"/>
      <c r="C859" s="574"/>
      <c r="D859" s="671"/>
      <c r="E859" s="574"/>
      <c r="F859" s="574"/>
      <c r="G859" s="574"/>
      <c r="H859" s="574"/>
      <c r="I859" s="672"/>
      <c r="J859" s="574"/>
      <c r="K859" s="574"/>
      <c r="L859" s="574"/>
      <c r="M859" s="673"/>
      <c r="N859" s="672"/>
      <c r="O859" s="574"/>
      <c r="P859" s="574"/>
      <c r="Q859" s="574"/>
      <c r="R859" s="574"/>
      <c r="S859" s="575"/>
      <c r="T859" s="574"/>
      <c r="U859" s="574"/>
    </row>
    <row r="860">
      <c r="A860" s="574"/>
      <c r="B860" s="574"/>
      <c r="C860" s="574"/>
      <c r="D860" s="671"/>
      <c r="E860" s="574"/>
      <c r="F860" s="574"/>
      <c r="G860" s="574"/>
      <c r="H860" s="574"/>
      <c r="I860" s="672"/>
      <c r="J860" s="574"/>
      <c r="K860" s="574"/>
      <c r="L860" s="574"/>
      <c r="M860" s="673"/>
      <c r="N860" s="672"/>
      <c r="O860" s="574"/>
      <c r="P860" s="574"/>
      <c r="Q860" s="574"/>
      <c r="R860" s="574"/>
      <c r="S860" s="575"/>
      <c r="T860" s="574"/>
      <c r="U860" s="574"/>
    </row>
    <row r="861">
      <c r="A861" s="574"/>
      <c r="B861" s="574"/>
      <c r="C861" s="574"/>
      <c r="D861" s="671"/>
      <c r="E861" s="574"/>
      <c r="F861" s="574"/>
      <c r="G861" s="574"/>
      <c r="H861" s="574"/>
      <c r="I861" s="672"/>
      <c r="J861" s="574"/>
      <c r="K861" s="574"/>
      <c r="L861" s="574"/>
      <c r="M861" s="673"/>
      <c r="N861" s="672"/>
      <c r="O861" s="574"/>
      <c r="P861" s="574"/>
      <c r="Q861" s="574"/>
      <c r="R861" s="574"/>
      <c r="S861" s="575"/>
      <c r="T861" s="574"/>
      <c r="U861" s="574"/>
    </row>
    <row r="862">
      <c r="A862" s="574"/>
      <c r="B862" s="574"/>
      <c r="C862" s="574"/>
      <c r="D862" s="671"/>
      <c r="E862" s="574"/>
      <c r="F862" s="574"/>
      <c r="G862" s="574"/>
      <c r="H862" s="574"/>
      <c r="I862" s="672"/>
      <c r="J862" s="574"/>
      <c r="K862" s="574"/>
      <c r="L862" s="574"/>
      <c r="M862" s="673"/>
      <c r="N862" s="672"/>
      <c r="O862" s="574"/>
      <c r="P862" s="574"/>
      <c r="Q862" s="574"/>
      <c r="R862" s="574"/>
      <c r="S862" s="575"/>
      <c r="T862" s="574"/>
      <c r="U862" s="574"/>
    </row>
    <row r="863">
      <c r="A863" s="574"/>
      <c r="B863" s="574"/>
      <c r="C863" s="574"/>
      <c r="D863" s="671"/>
      <c r="E863" s="574"/>
      <c r="F863" s="574"/>
      <c r="G863" s="574"/>
      <c r="H863" s="574"/>
      <c r="I863" s="672"/>
      <c r="J863" s="574"/>
      <c r="K863" s="574"/>
      <c r="L863" s="574"/>
      <c r="M863" s="673"/>
      <c r="N863" s="672"/>
      <c r="O863" s="574"/>
      <c r="P863" s="574"/>
      <c r="Q863" s="574"/>
      <c r="R863" s="574"/>
      <c r="S863" s="575"/>
      <c r="T863" s="574"/>
      <c r="U863" s="574"/>
    </row>
    <row r="864">
      <c r="A864" s="574"/>
      <c r="B864" s="574"/>
      <c r="C864" s="574"/>
      <c r="D864" s="671"/>
      <c r="E864" s="574"/>
      <c r="F864" s="574"/>
      <c r="G864" s="574"/>
      <c r="H864" s="574"/>
      <c r="I864" s="672"/>
      <c r="J864" s="574"/>
      <c r="K864" s="574"/>
      <c r="L864" s="574"/>
      <c r="M864" s="673"/>
      <c r="N864" s="672"/>
      <c r="O864" s="574"/>
      <c r="P864" s="574"/>
      <c r="Q864" s="574"/>
      <c r="R864" s="574"/>
      <c r="S864" s="575"/>
      <c r="T864" s="574"/>
      <c r="U864" s="574"/>
    </row>
    <row r="865">
      <c r="A865" s="574"/>
      <c r="B865" s="574"/>
      <c r="C865" s="574"/>
      <c r="D865" s="671"/>
      <c r="E865" s="574"/>
      <c r="F865" s="574"/>
      <c r="G865" s="574"/>
      <c r="H865" s="574"/>
      <c r="I865" s="672"/>
      <c r="J865" s="574"/>
      <c r="K865" s="574"/>
      <c r="L865" s="574"/>
      <c r="M865" s="673"/>
      <c r="N865" s="672"/>
      <c r="O865" s="574"/>
      <c r="P865" s="574"/>
      <c r="Q865" s="574"/>
      <c r="R865" s="574"/>
      <c r="S865" s="575"/>
      <c r="T865" s="574"/>
      <c r="U865" s="574"/>
    </row>
    <row r="866">
      <c r="A866" s="574"/>
      <c r="B866" s="574"/>
      <c r="C866" s="574"/>
      <c r="D866" s="671"/>
      <c r="E866" s="574"/>
      <c r="F866" s="574"/>
      <c r="G866" s="574"/>
      <c r="H866" s="574"/>
      <c r="I866" s="672"/>
      <c r="J866" s="574"/>
      <c r="K866" s="574"/>
      <c r="L866" s="574"/>
      <c r="M866" s="673"/>
      <c r="N866" s="672"/>
      <c r="O866" s="574"/>
      <c r="P866" s="574"/>
      <c r="Q866" s="574"/>
      <c r="R866" s="574"/>
      <c r="S866" s="575"/>
      <c r="T866" s="574"/>
      <c r="U866" s="574"/>
    </row>
    <row r="867">
      <c r="A867" s="574"/>
      <c r="B867" s="574"/>
      <c r="C867" s="574"/>
      <c r="D867" s="671"/>
      <c r="E867" s="574"/>
      <c r="F867" s="574"/>
      <c r="G867" s="574"/>
      <c r="H867" s="574"/>
      <c r="I867" s="672"/>
      <c r="J867" s="574"/>
      <c r="K867" s="574"/>
      <c r="L867" s="574"/>
      <c r="M867" s="673"/>
      <c r="N867" s="672"/>
      <c r="O867" s="574"/>
      <c r="P867" s="574"/>
      <c r="Q867" s="574"/>
      <c r="R867" s="574"/>
      <c r="S867" s="575"/>
      <c r="T867" s="574"/>
      <c r="U867" s="574"/>
    </row>
    <row r="868">
      <c r="A868" s="574"/>
      <c r="B868" s="574"/>
      <c r="C868" s="574"/>
      <c r="D868" s="671"/>
      <c r="E868" s="574"/>
      <c r="F868" s="574"/>
      <c r="G868" s="574"/>
      <c r="H868" s="574"/>
      <c r="I868" s="672"/>
      <c r="J868" s="574"/>
      <c r="K868" s="574"/>
      <c r="L868" s="574"/>
      <c r="M868" s="673"/>
      <c r="N868" s="672"/>
      <c r="O868" s="574"/>
      <c r="P868" s="574"/>
      <c r="Q868" s="574"/>
      <c r="R868" s="574"/>
      <c r="S868" s="575"/>
      <c r="T868" s="574"/>
      <c r="U868" s="574"/>
    </row>
    <row r="869">
      <c r="A869" s="574"/>
      <c r="B869" s="574"/>
      <c r="C869" s="574"/>
      <c r="D869" s="671"/>
      <c r="E869" s="574"/>
      <c r="F869" s="574"/>
      <c r="G869" s="574"/>
      <c r="H869" s="574"/>
      <c r="I869" s="672"/>
      <c r="J869" s="574"/>
      <c r="K869" s="574"/>
      <c r="L869" s="574"/>
      <c r="M869" s="673"/>
      <c r="N869" s="672"/>
      <c r="O869" s="574"/>
      <c r="P869" s="574"/>
      <c r="Q869" s="574"/>
      <c r="R869" s="574"/>
      <c r="S869" s="575"/>
      <c r="T869" s="574"/>
      <c r="U869" s="574"/>
    </row>
    <row r="870">
      <c r="A870" s="574"/>
      <c r="B870" s="574"/>
      <c r="C870" s="574"/>
      <c r="D870" s="671"/>
      <c r="E870" s="574"/>
      <c r="F870" s="574"/>
      <c r="G870" s="574"/>
      <c r="H870" s="574"/>
      <c r="I870" s="672"/>
      <c r="J870" s="574"/>
      <c r="K870" s="574"/>
      <c r="L870" s="574"/>
      <c r="M870" s="673"/>
      <c r="N870" s="672"/>
      <c r="O870" s="574"/>
      <c r="P870" s="574"/>
      <c r="Q870" s="574"/>
      <c r="R870" s="574"/>
      <c r="S870" s="575"/>
      <c r="T870" s="574"/>
      <c r="U870" s="574"/>
    </row>
    <row r="871">
      <c r="A871" s="574"/>
      <c r="B871" s="574"/>
      <c r="C871" s="574"/>
      <c r="D871" s="671"/>
      <c r="E871" s="574"/>
      <c r="F871" s="574"/>
      <c r="G871" s="574"/>
      <c r="H871" s="574"/>
      <c r="I871" s="672"/>
      <c r="J871" s="574"/>
      <c r="K871" s="574"/>
      <c r="L871" s="574"/>
      <c r="M871" s="673"/>
      <c r="N871" s="672"/>
      <c r="O871" s="574"/>
      <c r="P871" s="574"/>
      <c r="Q871" s="574"/>
      <c r="R871" s="574"/>
      <c r="S871" s="575"/>
      <c r="T871" s="574"/>
      <c r="U871" s="574"/>
    </row>
    <row r="872">
      <c r="A872" s="574"/>
      <c r="B872" s="574"/>
      <c r="C872" s="574"/>
      <c r="D872" s="671"/>
      <c r="E872" s="574"/>
      <c r="F872" s="574"/>
      <c r="G872" s="574"/>
      <c r="H872" s="574"/>
      <c r="I872" s="672"/>
      <c r="J872" s="574"/>
      <c r="K872" s="574"/>
      <c r="L872" s="574"/>
      <c r="M872" s="673"/>
      <c r="N872" s="672"/>
      <c r="O872" s="574"/>
      <c r="P872" s="574"/>
      <c r="Q872" s="574"/>
      <c r="R872" s="574"/>
      <c r="S872" s="575"/>
      <c r="T872" s="574"/>
      <c r="U872" s="574"/>
    </row>
    <row r="873">
      <c r="A873" s="574"/>
      <c r="B873" s="574"/>
      <c r="C873" s="574"/>
      <c r="D873" s="671"/>
      <c r="E873" s="574"/>
      <c r="F873" s="574"/>
      <c r="G873" s="574"/>
      <c r="H873" s="574"/>
      <c r="I873" s="672"/>
      <c r="J873" s="574"/>
      <c r="K873" s="574"/>
      <c r="L873" s="574"/>
      <c r="M873" s="673"/>
      <c r="N873" s="672"/>
      <c r="O873" s="574"/>
      <c r="P873" s="574"/>
      <c r="Q873" s="574"/>
      <c r="R873" s="574"/>
      <c r="S873" s="575"/>
      <c r="T873" s="574"/>
      <c r="U873" s="574"/>
    </row>
    <row r="874">
      <c r="A874" s="574"/>
      <c r="B874" s="574"/>
      <c r="C874" s="574"/>
      <c r="D874" s="671"/>
      <c r="E874" s="574"/>
      <c r="F874" s="574"/>
      <c r="G874" s="574"/>
      <c r="H874" s="574"/>
      <c r="I874" s="672"/>
      <c r="J874" s="574"/>
      <c r="K874" s="574"/>
      <c r="L874" s="574"/>
      <c r="M874" s="673"/>
      <c r="N874" s="672"/>
      <c r="O874" s="574"/>
      <c r="P874" s="574"/>
      <c r="Q874" s="574"/>
      <c r="R874" s="574"/>
      <c r="S874" s="575"/>
      <c r="T874" s="574"/>
      <c r="U874" s="574"/>
    </row>
    <row r="875">
      <c r="A875" s="574"/>
      <c r="B875" s="574"/>
      <c r="C875" s="574"/>
      <c r="D875" s="671"/>
      <c r="E875" s="574"/>
      <c r="F875" s="574"/>
      <c r="G875" s="574"/>
      <c r="H875" s="574"/>
      <c r="I875" s="672"/>
      <c r="J875" s="574"/>
      <c r="K875" s="574"/>
      <c r="L875" s="574"/>
      <c r="M875" s="673"/>
      <c r="N875" s="672"/>
      <c r="O875" s="574"/>
      <c r="P875" s="574"/>
      <c r="Q875" s="574"/>
      <c r="R875" s="574"/>
      <c r="S875" s="575"/>
      <c r="T875" s="574"/>
      <c r="U875" s="574"/>
    </row>
    <row r="876">
      <c r="A876" s="574"/>
      <c r="B876" s="574"/>
      <c r="C876" s="574"/>
      <c r="D876" s="671"/>
      <c r="E876" s="574"/>
      <c r="F876" s="574"/>
      <c r="G876" s="574"/>
      <c r="H876" s="574"/>
      <c r="I876" s="672"/>
      <c r="J876" s="574"/>
      <c r="K876" s="574"/>
      <c r="L876" s="574"/>
      <c r="M876" s="673"/>
      <c r="N876" s="672"/>
      <c r="O876" s="574"/>
      <c r="P876" s="574"/>
      <c r="Q876" s="574"/>
      <c r="R876" s="574"/>
      <c r="S876" s="575"/>
      <c r="T876" s="574"/>
      <c r="U876" s="574"/>
    </row>
    <row r="877">
      <c r="A877" s="574"/>
      <c r="B877" s="574"/>
      <c r="C877" s="574"/>
      <c r="D877" s="671"/>
      <c r="E877" s="574"/>
      <c r="F877" s="574"/>
      <c r="G877" s="574"/>
      <c r="H877" s="574"/>
      <c r="I877" s="672"/>
      <c r="J877" s="574"/>
      <c r="K877" s="574"/>
      <c r="L877" s="574"/>
      <c r="M877" s="673"/>
      <c r="N877" s="672"/>
      <c r="O877" s="574"/>
      <c r="P877" s="574"/>
      <c r="Q877" s="574"/>
      <c r="R877" s="574"/>
      <c r="S877" s="575"/>
      <c r="T877" s="574"/>
      <c r="U877" s="574"/>
    </row>
    <row r="878">
      <c r="A878" s="574"/>
      <c r="B878" s="574"/>
      <c r="C878" s="574"/>
      <c r="D878" s="671"/>
      <c r="E878" s="574"/>
      <c r="F878" s="574"/>
      <c r="G878" s="574"/>
      <c r="H878" s="574"/>
      <c r="I878" s="672"/>
      <c r="J878" s="574"/>
      <c r="K878" s="574"/>
      <c r="L878" s="574"/>
      <c r="M878" s="673"/>
      <c r="N878" s="672"/>
      <c r="O878" s="574"/>
      <c r="P878" s="574"/>
      <c r="Q878" s="574"/>
      <c r="R878" s="574"/>
      <c r="S878" s="575"/>
      <c r="T878" s="574"/>
      <c r="U878" s="574"/>
    </row>
    <row r="879">
      <c r="A879" s="574"/>
      <c r="B879" s="574"/>
      <c r="C879" s="574"/>
      <c r="D879" s="671"/>
      <c r="E879" s="574"/>
      <c r="F879" s="574"/>
      <c r="G879" s="574"/>
      <c r="H879" s="574"/>
      <c r="I879" s="672"/>
      <c r="J879" s="574"/>
      <c r="K879" s="574"/>
      <c r="L879" s="574"/>
      <c r="M879" s="673"/>
      <c r="N879" s="672"/>
      <c r="O879" s="574"/>
      <c r="P879" s="574"/>
      <c r="Q879" s="574"/>
      <c r="R879" s="574"/>
      <c r="S879" s="575"/>
      <c r="T879" s="574"/>
      <c r="U879" s="574"/>
    </row>
    <row r="880">
      <c r="A880" s="574"/>
      <c r="B880" s="574"/>
      <c r="C880" s="574"/>
      <c r="D880" s="671"/>
      <c r="E880" s="574"/>
      <c r="F880" s="574"/>
      <c r="G880" s="574"/>
      <c r="H880" s="574"/>
      <c r="I880" s="672"/>
      <c r="J880" s="574"/>
      <c r="K880" s="574"/>
      <c r="L880" s="574"/>
      <c r="M880" s="673"/>
      <c r="N880" s="672"/>
      <c r="O880" s="574"/>
      <c r="P880" s="574"/>
      <c r="Q880" s="574"/>
      <c r="R880" s="574"/>
      <c r="S880" s="575"/>
      <c r="T880" s="574"/>
      <c r="U880" s="574"/>
    </row>
    <row r="881">
      <c r="A881" s="574"/>
      <c r="B881" s="574"/>
      <c r="C881" s="574"/>
      <c r="D881" s="671"/>
      <c r="E881" s="574"/>
      <c r="F881" s="574"/>
      <c r="G881" s="574"/>
      <c r="H881" s="574"/>
      <c r="I881" s="672"/>
      <c r="J881" s="574"/>
      <c r="K881" s="574"/>
      <c r="L881" s="574"/>
      <c r="M881" s="673"/>
      <c r="N881" s="672"/>
      <c r="O881" s="574"/>
      <c r="P881" s="574"/>
      <c r="Q881" s="574"/>
      <c r="R881" s="574"/>
      <c r="S881" s="575"/>
      <c r="T881" s="574"/>
      <c r="U881" s="574"/>
    </row>
    <row r="882">
      <c r="A882" s="574"/>
      <c r="B882" s="574"/>
      <c r="C882" s="574"/>
      <c r="D882" s="671"/>
      <c r="E882" s="574"/>
      <c r="F882" s="574"/>
      <c r="G882" s="574"/>
      <c r="H882" s="574"/>
      <c r="I882" s="672"/>
      <c r="J882" s="574"/>
      <c r="K882" s="574"/>
      <c r="L882" s="574"/>
      <c r="M882" s="673"/>
      <c r="N882" s="672"/>
      <c r="O882" s="574"/>
      <c r="P882" s="574"/>
      <c r="Q882" s="574"/>
      <c r="R882" s="574"/>
      <c r="S882" s="575"/>
      <c r="T882" s="574"/>
      <c r="U882" s="574"/>
    </row>
    <row r="883">
      <c r="A883" s="574"/>
      <c r="B883" s="574"/>
      <c r="C883" s="574"/>
      <c r="D883" s="671"/>
      <c r="E883" s="574"/>
      <c r="F883" s="574"/>
      <c r="G883" s="574"/>
      <c r="H883" s="574"/>
      <c r="I883" s="672"/>
      <c r="J883" s="574"/>
      <c r="K883" s="574"/>
      <c r="L883" s="574"/>
      <c r="M883" s="673"/>
      <c r="N883" s="672"/>
      <c r="O883" s="574"/>
      <c r="P883" s="574"/>
      <c r="Q883" s="574"/>
      <c r="R883" s="574"/>
      <c r="S883" s="575"/>
      <c r="T883" s="574"/>
      <c r="U883" s="574"/>
    </row>
    <row r="884">
      <c r="A884" s="574"/>
      <c r="B884" s="574"/>
      <c r="C884" s="574"/>
      <c r="D884" s="671"/>
      <c r="E884" s="574"/>
      <c r="F884" s="574"/>
      <c r="G884" s="574"/>
      <c r="H884" s="574"/>
      <c r="I884" s="672"/>
      <c r="J884" s="574"/>
      <c r="K884" s="574"/>
      <c r="L884" s="574"/>
      <c r="M884" s="673"/>
      <c r="N884" s="672"/>
      <c r="O884" s="574"/>
      <c r="P884" s="574"/>
      <c r="Q884" s="574"/>
      <c r="R884" s="574"/>
      <c r="S884" s="575"/>
      <c r="T884" s="574"/>
      <c r="U884" s="574"/>
    </row>
    <row r="885">
      <c r="A885" s="574"/>
      <c r="B885" s="574"/>
      <c r="C885" s="574"/>
      <c r="D885" s="671"/>
      <c r="E885" s="574"/>
      <c r="F885" s="574"/>
      <c r="G885" s="574"/>
      <c r="H885" s="574"/>
      <c r="I885" s="672"/>
      <c r="J885" s="574"/>
      <c r="K885" s="574"/>
      <c r="L885" s="574"/>
      <c r="M885" s="673"/>
      <c r="N885" s="672"/>
      <c r="O885" s="574"/>
      <c r="P885" s="574"/>
      <c r="Q885" s="574"/>
      <c r="R885" s="574"/>
      <c r="S885" s="575"/>
      <c r="T885" s="574"/>
      <c r="U885" s="574"/>
    </row>
    <row r="886">
      <c r="A886" s="574"/>
      <c r="B886" s="574"/>
      <c r="C886" s="574"/>
      <c r="D886" s="671"/>
      <c r="E886" s="574"/>
      <c r="F886" s="574"/>
      <c r="G886" s="574"/>
      <c r="H886" s="574"/>
      <c r="I886" s="672"/>
      <c r="J886" s="574"/>
      <c r="K886" s="574"/>
      <c r="L886" s="574"/>
      <c r="M886" s="673"/>
      <c r="N886" s="672"/>
      <c r="O886" s="574"/>
      <c r="P886" s="574"/>
      <c r="Q886" s="574"/>
      <c r="R886" s="574"/>
      <c r="S886" s="575"/>
      <c r="T886" s="574"/>
      <c r="U886" s="574"/>
    </row>
    <row r="887">
      <c r="A887" s="574"/>
      <c r="B887" s="574"/>
      <c r="C887" s="574"/>
      <c r="D887" s="671"/>
      <c r="E887" s="574"/>
      <c r="F887" s="574"/>
      <c r="G887" s="574"/>
      <c r="H887" s="574"/>
      <c r="I887" s="672"/>
      <c r="J887" s="574"/>
      <c r="K887" s="574"/>
      <c r="L887" s="574"/>
      <c r="M887" s="673"/>
      <c r="N887" s="672"/>
      <c r="O887" s="574"/>
      <c r="P887" s="574"/>
      <c r="Q887" s="574"/>
      <c r="R887" s="574"/>
      <c r="S887" s="575"/>
      <c r="T887" s="574"/>
      <c r="U887" s="574"/>
    </row>
    <row r="888">
      <c r="A888" s="574"/>
      <c r="B888" s="574"/>
      <c r="C888" s="574"/>
      <c r="D888" s="671"/>
      <c r="E888" s="574"/>
      <c r="F888" s="574"/>
      <c r="G888" s="574"/>
      <c r="H888" s="574"/>
      <c r="I888" s="672"/>
      <c r="J888" s="574"/>
      <c r="K888" s="574"/>
      <c r="L888" s="574"/>
      <c r="M888" s="673"/>
      <c r="N888" s="672"/>
      <c r="O888" s="574"/>
      <c r="P888" s="574"/>
      <c r="Q888" s="574"/>
      <c r="R888" s="574"/>
      <c r="S888" s="575"/>
      <c r="T888" s="574"/>
      <c r="U888" s="574"/>
    </row>
    <row r="889">
      <c r="A889" s="574"/>
      <c r="B889" s="574"/>
      <c r="C889" s="574"/>
      <c r="D889" s="671"/>
      <c r="E889" s="574"/>
      <c r="F889" s="574"/>
      <c r="G889" s="574"/>
      <c r="H889" s="574"/>
      <c r="I889" s="672"/>
      <c r="J889" s="574"/>
      <c r="K889" s="574"/>
      <c r="L889" s="574"/>
      <c r="M889" s="673"/>
      <c r="N889" s="672"/>
      <c r="O889" s="574"/>
      <c r="P889" s="574"/>
      <c r="Q889" s="574"/>
      <c r="R889" s="574"/>
      <c r="S889" s="575"/>
      <c r="T889" s="574"/>
      <c r="U889" s="574"/>
    </row>
    <row r="890">
      <c r="A890" s="574"/>
      <c r="B890" s="574"/>
      <c r="C890" s="574"/>
      <c r="D890" s="671"/>
      <c r="E890" s="574"/>
      <c r="F890" s="574"/>
      <c r="G890" s="574"/>
      <c r="H890" s="574"/>
      <c r="I890" s="672"/>
      <c r="J890" s="574"/>
      <c r="K890" s="574"/>
      <c r="L890" s="574"/>
      <c r="M890" s="673"/>
      <c r="N890" s="672"/>
      <c r="O890" s="574"/>
      <c r="P890" s="574"/>
      <c r="Q890" s="574"/>
      <c r="R890" s="574"/>
      <c r="S890" s="575"/>
      <c r="T890" s="574"/>
      <c r="U890" s="574"/>
    </row>
    <row r="891">
      <c r="A891" s="574"/>
      <c r="B891" s="574"/>
      <c r="C891" s="574"/>
      <c r="D891" s="671"/>
      <c r="E891" s="574"/>
      <c r="F891" s="574"/>
      <c r="G891" s="574"/>
      <c r="H891" s="574"/>
      <c r="I891" s="672"/>
      <c r="J891" s="574"/>
      <c r="K891" s="574"/>
      <c r="L891" s="574"/>
      <c r="M891" s="673"/>
      <c r="N891" s="672"/>
      <c r="O891" s="574"/>
      <c r="P891" s="574"/>
      <c r="Q891" s="574"/>
      <c r="R891" s="574"/>
      <c r="S891" s="575"/>
      <c r="T891" s="574"/>
      <c r="U891" s="574"/>
    </row>
    <row r="892">
      <c r="A892" s="574"/>
      <c r="B892" s="574"/>
      <c r="C892" s="574"/>
      <c r="D892" s="671"/>
      <c r="E892" s="574"/>
      <c r="F892" s="574"/>
      <c r="G892" s="574"/>
      <c r="H892" s="574"/>
      <c r="I892" s="672"/>
      <c r="J892" s="574"/>
      <c r="K892" s="574"/>
      <c r="L892" s="574"/>
      <c r="M892" s="673"/>
      <c r="N892" s="672"/>
      <c r="O892" s="574"/>
      <c r="P892" s="574"/>
      <c r="Q892" s="574"/>
      <c r="R892" s="574"/>
      <c r="S892" s="575"/>
      <c r="T892" s="574"/>
      <c r="U892" s="574"/>
    </row>
    <row r="893">
      <c r="A893" s="574"/>
      <c r="B893" s="574"/>
      <c r="C893" s="574"/>
      <c r="D893" s="671"/>
      <c r="E893" s="574"/>
      <c r="F893" s="574"/>
      <c r="G893" s="574"/>
      <c r="H893" s="574"/>
      <c r="I893" s="672"/>
      <c r="J893" s="574"/>
      <c r="K893" s="574"/>
      <c r="L893" s="574"/>
      <c r="M893" s="673"/>
      <c r="N893" s="672"/>
      <c r="O893" s="574"/>
      <c r="P893" s="574"/>
      <c r="Q893" s="574"/>
      <c r="R893" s="574"/>
      <c r="S893" s="575"/>
      <c r="T893" s="574"/>
      <c r="U893" s="574"/>
    </row>
    <row r="894">
      <c r="A894" s="574"/>
      <c r="B894" s="574"/>
      <c r="C894" s="574"/>
      <c r="D894" s="671"/>
      <c r="E894" s="574"/>
      <c r="F894" s="574"/>
      <c r="G894" s="574"/>
      <c r="H894" s="574"/>
      <c r="I894" s="672"/>
      <c r="J894" s="574"/>
      <c r="K894" s="574"/>
      <c r="L894" s="574"/>
      <c r="M894" s="673"/>
      <c r="N894" s="672"/>
      <c r="O894" s="574"/>
      <c r="P894" s="574"/>
      <c r="Q894" s="574"/>
      <c r="R894" s="574"/>
      <c r="S894" s="575"/>
      <c r="T894" s="574"/>
      <c r="U894" s="574"/>
    </row>
    <row r="895">
      <c r="A895" s="574"/>
      <c r="B895" s="574"/>
      <c r="C895" s="574"/>
      <c r="D895" s="671"/>
      <c r="E895" s="574"/>
      <c r="F895" s="574"/>
      <c r="G895" s="574"/>
      <c r="H895" s="574"/>
      <c r="I895" s="672"/>
      <c r="J895" s="574"/>
      <c r="K895" s="574"/>
      <c r="L895" s="574"/>
      <c r="M895" s="673"/>
      <c r="N895" s="672"/>
      <c r="O895" s="574"/>
      <c r="P895" s="574"/>
      <c r="Q895" s="574"/>
      <c r="R895" s="574"/>
      <c r="S895" s="575"/>
      <c r="T895" s="574"/>
      <c r="U895" s="574"/>
    </row>
    <row r="896">
      <c r="A896" s="574"/>
      <c r="B896" s="574"/>
      <c r="C896" s="574"/>
      <c r="D896" s="671"/>
      <c r="E896" s="574"/>
      <c r="F896" s="574"/>
      <c r="G896" s="574"/>
      <c r="H896" s="574"/>
      <c r="I896" s="672"/>
      <c r="J896" s="574"/>
      <c r="K896" s="574"/>
      <c r="L896" s="574"/>
      <c r="M896" s="673"/>
      <c r="N896" s="672"/>
      <c r="O896" s="574"/>
      <c r="P896" s="574"/>
      <c r="Q896" s="574"/>
      <c r="R896" s="574"/>
      <c r="S896" s="575"/>
      <c r="T896" s="574"/>
      <c r="U896" s="574"/>
    </row>
    <row r="897">
      <c r="A897" s="574"/>
      <c r="B897" s="574"/>
      <c r="C897" s="574"/>
      <c r="D897" s="671"/>
      <c r="E897" s="574"/>
      <c r="F897" s="574"/>
      <c r="G897" s="574"/>
      <c r="H897" s="574"/>
      <c r="I897" s="672"/>
      <c r="J897" s="574"/>
      <c r="K897" s="574"/>
      <c r="L897" s="574"/>
      <c r="M897" s="673"/>
      <c r="N897" s="672"/>
      <c r="O897" s="574"/>
      <c r="P897" s="574"/>
      <c r="Q897" s="574"/>
      <c r="R897" s="574"/>
      <c r="S897" s="575"/>
      <c r="T897" s="574"/>
      <c r="U897" s="574"/>
    </row>
    <row r="898">
      <c r="A898" s="574"/>
      <c r="B898" s="574"/>
      <c r="C898" s="574"/>
      <c r="D898" s="671"/>
      <c r="E898" s="574"/>
      <c r="F898" s="574"/>
      <c r="G898" s="574"/>
      <c r="H898" s="574"/>
      <c r="I898" s="672"/>
      <c r="J898" s="574"/>
      <c r="K898" s="574"/>
      <c r="L898" s="574"/>
      <c r="M898" s="673"/>
      <c r="N898" s="672"/>
      <c r="O898" s="574"/>
      <c r="P898" s="574"/>
      <c r="Q898" s="574"/>
      <c r="R898" s="574"/>
      <c r="S898" s="575"/>
      <c r="T898" s="574"/>
      <c r="U898" s="574"/>
    </row>
    <row r="899">
      <c r="A899" s="574"/>
      <c r="B899" s="574"/>
      <c r="C899" s="574"/>
      <c r="D899" s="671"/>
      <c r="E899" s="574"/>
      <c r="F899" s="574"/>
      <c r="G899" s="574"/>
      <c r="H899" s="574"/>
      <c r="I899" s="672"/>
      <c r="J899" s="574"/>
      <c r="K899" s="574"/>
      <c r="L899" s="574"/>
      <c r="M899" s="673"/>
      <c r="N899" s="672"/>
      <c r="O899" s="574"/>
      <c r="P899" s="574"/>
      <c r="Q899" s="574"/>
      <c r="R899" s="574"/>
      <c r="S899" s="575"/>
      <c r="T899" s="574"/>
      <c r="U899" s="574"/>
    </row>
    <row r="900">
      <c r="A900" s="574"/>
      <c r="B900" s="574"/>
      <c r="C900" s="574"/>
      <c r="D900" s="671"/>
      <c r="E900" s="574"/>
      <c r="F900" s="574"/>
      <c r="G900" s="574"/>
      <c r="H900" s="574"/>
      <c r="I900" s="672"/>
      <c r="J900" s="574"/>
      <c r="K900" s="574"/>
      <c r="L900" s="574"/>
      <c r="M900" s="673"/>
      <c r="N900" s="672"/>
      <c r="O900" s="574"/>
      <c r="P900" s="574"/>
      <c r="Q900" s="574"/>
      <c r="R900" s="574"/>
      <c r="S900" s="575"/>
      <c r="T900" s="574"/>
      <c r="U900" s="574"/>
    </row>
    <row r="901">
      <c r="A901" s="574"/>
      <c r="B901" s="574"/>
      <c r="C901" s="574"/>
      <c r="D901" s="671"/>
      <c r="E901" s="574"/>
      <c r="F901" s="574"/>
      <c r="G901" s="574"/>
      <c r="H901" s="574"/>
      <c r="I901" s="672"/>
      <c r="J901" s="574"/>
      <c r="K901" s="574"/>
      <c r="L901" s="574"/>
      <c r="M901" s="673"/>
      <c r="N901" s="672"/>
      <c r="O901" s="574"/>
      <c r="P901" s="574"/>
      <c r="Q901" s="574"/>
      <c r="R901" s="574"/>
      <c r="S901" s="575"/>
      <c r="T901" s="574"/>
      <c r="U901" s="574"/>
    </row>
    <row r="902">
      <c r="A902" s="574"/>
      <c r="B902" s="574"/>
      <c r="C902" s="574"/>
      <c r="D902" s="671"/>
      <c r="E902" s="574"/>
      <c r="F902" s="574"/>
      <c r="G902" s="574"/>
      <c r="H902" s="574"/>
      <c r="I902" s="672"/>
      <c r="J902" s="574"/>
      <c r="K902" s="574"/>
      <c r="L902" s="574"/>
      <c r="M902" s="673"/>
      <c r="N902" s="672"/>
      <c r="O902" s="574"/>
      <c r="P902" s="574"/>
      <c r="Q902" s="574"/>
      <c r="R902" s="574"/>
      <c r="S902" s="575"/>
      <c r="T902" s="574"/>
      <c r="U902" s="574"/>
    </row>
    <row r="903">
      <c r="A903" s="574"/>
      <c r="B903" s="574"/>
      <c r="C903" s="574"/>
      <c r="D903" s="671"/>
      <c r="E903" s="574"/>
      <c r="F903" s="574"/>
      <c r="G903" s="574"/>
      <c r="H903" s="574"/>
      <c r="I903" s="672"/>
      <c r="J903" s="574"/>
      <c r="K903" s="574"/>
      <c r="L903" s="574"/>
      <c r="M903" s="673"/>
      <c r="N903" s="672"/>
      <c r="O903" s="574"/>
      <c r="P903" s="574"/>
      <c r="Q903" s="574"/>
      <c r="R903" s="574"/>
      <c r="S903" s="575"/>
      <c r="T903" s="574"/>
      <c r="U903" s="574"/>
    </row>
    <row r="904">
      <c r="A904" s="574"/>
      <c r="B904" s="574"/>
      <c r="C904" s="574"/>
      <c r="D904" s="671"/>
      <c r="E904" s="574"/>
      <c r="F904" s="574"/>
      <c r="G904" s="574"/>
      <c r="H904" s="574"/>
      <c r="I904" s="672"/>
      <c r="J904" s="574"/>
      <c r="K904" s="574"/>
      <c r="L904" s="574"/>
      <c r="M904" s="673"/>
      <c r="N904" s="672"/>
      <c r="O904" s="574"/>
      <c r="P904" s="574"/>
      <c r="Q904" s="574"/>
      <c r="R904" s="574"/>
      <c r="S904" s="575"/>
      <c r="T904" s="574"/>
      <c r="U904" s="574"/>
    </row>
    <row r="905">
      <c r="A905" s="574"/>
      <c r="B905" s="574"/>
      <c r="C905" s="574"/>
      <c r="D905" s="671"/>
      <c r="E905" s="574"/>
      <c r="F905" s="574"/>
      <c r="G905" s="574"/>
      <c r="H905" s="574"/>
      <c r="I905" s="672"/>
      <c r="J905" s="574"/>
      <c r="K905" s="574"/>
      <c r="L905" s="574"/>
      <c r="M905" s="673"/>
      <c r="N905" s="672"/>
      <c r="O905" s="574"/>
      <c r="P905" s="574"/>
      <c r="Q905" s="574"/>
      <c r="R905" s="574"/>
      <c r="S905" s="575"/>
      <c r="T905" s="574"/>
      <c r="U905" s="574"/>
    </row>
    <row r="906">
      <c r="A906" s="574"/>
      <c r="B906" s="574"/>
      <c r="C906" s="574"/>
      <c r="D906" s="671"/>
      <c r="E906" s="574"/>
      <c r="F906" s="574"/>
      <c r="G906" s="574"/>
      <c r="H906" s="574"/>
      <c r="I906" s="672"/>
      <c r="J906" s="574"/>
      <c r="K906" s="574"/>
      <c r="L906" s="574"/>
      <c r="M906" s="673"/>
      <c r="N906" s="672"/>
      <c r="O906" s="574"/>
      <c r="P906" s="574"/>
      <c r="Q906" s="574"/>
      <c r="R906" s="574"/>
      <c r="S906" s="575"/>
      <c r="T906" s="574"/>
      <c r="U906" s="574"/>
    </row>
    <row r="907">
      <c r="A907" s="574"/>
      <c r="B907" s="574"/>
      <c r="C907" s="574"/>
      <c r="D907" s="671"/>
      <c r="E907" s="574"/>
      <c r="F907" s="574"/>
      <c r="G907" s="574"/>
      <c r="H907" s="574"/>
      <c r="I907" s="672"/>
      <c r="J907" s="574"/>
      <c r="K907" s="574"/>
      <c r="L907" s="574"/>
      <c r="M907" s="673"/>
      <c r="N907" s="672"/>
      <c r="O907" s="574"/>
      <c r="P907" s="574"/>
      <c r="Q907" s="574"/>
      <c r="R907" s="574"/>
      <c r="S907" s="575"/>
      <c r="T907" s="574"/>
      <c r="U907" s="574"/>
    </row>
    <row r="908">
      <c r="A908" s="574"/>
      <c r="B908" s="574"/>
      <c r="C908" s="574"/>
      <c r="D908" s="671"/>
      <c r="E908" s="574"/>
      <c r="F908" s="574"/>
      <c r="G908" s="574"/>
      <c r="H908" s="574"/>
      <c r="I908" s="672"/>
      <c r="J908" s="574"/>
      <c r="K908" s="574"/>
      <c r="L908" s="574"/>
      <c r="M908" s="673"/>
      <c r="N908" s="672"/>
      <c r="O908" s="574"/>
      <c r="P908" s="574"/>
      <c r="Q908" s="574"/>
      <c r="R908" s="574"/>
      <c r="S908" s="575"/>
      <c r="T908" s="574"/>
      <c r="U908" s="574"/>
    </row>
    <row r="909">
      <c r="A909" s="574"/>
      <c r="B909" s="574"/>
      <c r="C909" s="574"/>
      <c r="D909" s="671"/>
      <c r="E909" s="574"/>
      <c r="F909" s="574"/>
      <c r="G909" s="574"/>
      <c r="H909" s="574"/>
      <c r="I909" s="672"/>
      <c r="J909" s="574"/>
      <c r="K909" s="574"/>
      <c r="L909" s="574"/>
      <c r="M909" s="673"/>
      <c r="N909" s="672"/>
      <c r="O909" s="574"/>
      <c r="P909" s="574"/>
      <c r="Q909" s="574"/>
      <c r="R909" s="574"/>
      <c r="S909" s="575"/>
      <c r="T909" s="574"/>
      <c r="U909" s="574"/>
    </row>
    <row r="910">
      <c r="A910" s="574"/>
      <c r="B910" s="574"/>
      <c r="C910" s="574"/>
      <c r="D910" s="671"/>
      <c r="E910" s="574"/>
      <c r="F910" s="574"/>
      <c r="G910" s="574"/>
      <c r="H910" s="574"/>
      <c r="I910" s="672"/>
      <c r="J910" s="574"/>
      <c r="K910" s="574"/>
      <c r="L910" s="574"/>
      <c r="M910" s="673"/>
      <c r="N910" s="672"/>
      <c r="O910" s="574"/>
      <c r="P910" s="574"/>
      <c r="Q910" s="574"/>
      <c r="R910" s="574"/>
      <c r="S910" s="575"/>
      <c r="T910" s="574"/>
      <c r="U910" s="574"/>
    </row>
    <row r="911">
      <c r="A911" s="574"/>
      <c r="B911" s="574"/>
      <c r="C911" s="574"/>
      <c r="D911" s="671"/>
      <c r="E911" s="574"/>
      <c r="F911" s="574"/>
      <c r="G911" s="574"/>
      <c r="H911" s="574"/>
      <c r="I911" s="672"/>
      <c r="J911" s="574"/>
      <c r="K911" s="574"/>
      <c r="L911" s="574"/>
      <c r="M911" s="673"/>
      <c r="N911" s="672"/>
      <c r="O911" s="574"/>
      <c r="P911" s="574"/>
      <c r="Q911" s="574"/>
      <c r="R911" s="574"/>
      <c r="S911" s="575"/>
      <c r="T911" s="574"/>
      <c r="U911" s="574"/>
    </row>
    <row r="912">
      <c r="A912" s="574"/>
      <c r="B912" s="574"/>
      <c r="C912" s="574"/>
      <c r="D912" s="671"/>
      <c r="E912" s="574"/>
      <c r="F912" s="574"/>
      <c r="G912" s="574"/>
      <c r="H912" s="574"/>
      <c r="I912" s="672"/>
      <c r="J912" s="574"/>
      <c r="K912" s="574"/>
      <c r="L912" s="574"/>
      <c r="M912" s="673"/>
      <c r="N912" s="672"/>
      <c r="O912" s="574"/>
      <c r="P912" s="574"/>
      <c r="Q912" s="574"/>
      <c r="R912" s="574"/>
      <c r="S912" s="575"/>
      <c r="T912" s="574"/>
      <c r="U912" s="574"/>
    </row>
    <row r="913">
      <c r="A913" s="574"/>
      <c r="B913" s="574"/>
      <c r="C913" s="574"/>
      <c r="D913" s="671"/>
      <c r="E913" s="574"/>
      <c r="F913" s="574"/>
      <c r="G913" s="574"/>
      <c r="H913" s="574"/>
      <c r="I913" s="672"/>
      <c r="J913" s="574"/>
      <c r="K913" s="574"/>
      <c r="L913" s="574"/>
      <c r="M913" s="673"/>
      <c r="N913" s="672"/>
      <c r="O913" s="574"/>
      <c r="P913" s="574"/>
      <c r="Q913" s="574"/>
      <c r="R913" s="574"/>
      <c r="S913" s="575"/>
      <c r="T913" s="574"/>
      <c r="U913" s="574"/>
    </row>
    <row r="914">
      <c r="A914" s="574"/>
      <c r="B914" s="574"/>
      <c r="C914" s="574"/>
      <c r="D914" s="671"/>
      <c r="E914" s="574"/>
      <c r="F914" s="574"/>
      <c r="G914" s="574"/>
      <c r="H914" s="574"/>
      <c r="I914" s="672"/>
      <c r="J914" s="574"/>
      <c r="K914" s="574"/>
      <c r="L914" s="574"/>
      <c r="M914" s="673"/>
      <c r="N914" s="672"/>
      <c r="O914" s="574"/>
      <c r="P914" s="574"/>
      <c r="Q914" s="574"/>
      <c r="R914" s="574"/>
      <c r="S914" s="575"/>
      <c r="T914" s="574"/>
      <c r="U914" s="574"/>
    </row>
    <row r="915">
      <c r="A915" s="574"/>
      <c r="B915" s="574"/>
      <c r="C915" s="574"/>
      <c r="D915" s="671"/>
      <c r="E915" s="574"/>
      <c r="F915" s="574"/>
      <c r="G915" s="574"/>
      <c r="H915" s="574"/>
      <c r="I915" s="672"/>
      <c r="J915" s="574"/>
      <c r="K915" s="574"/>
      <c r="L915" s="574"/>
      <c r="M915" s="673"/>
      <c r="N915" s="672"/>
      <c r="O915" s="574"/>
      <c r="P915" s="574"/>
      <c r="Q915" s="574"/>
      <c r="R915" s="574"/>
      <c r="S915" s="575"/>
      <c r="T915" s="574"/>
      <c r="U915" s="574"/>
    </row>
    <row r="916">
      <c r="A916" s="574"/>
      <c r="B916" s="574"/>
      <c r="C916" s="574"/>
      <c r="D916" s="671"/>
      <c r="E916" s="574"/>
      <c r="F916" s="574"/>
      <c r="G916" s="574"/>
      <c r="H916" s="574"/>
      <c r="I916" s="672"/>
      <c r="J916" s="574"/>
      <c r="K916" s="574"/>
      <c r="L916" s="574"/>
      <c r="M916" s="673"/>
      <c r="N916" s="672"/>
      <c r="O916" s="574"/>
      <c r="P916" s="574"/>
      <c r="Q916" s="574"/>
      <c r="R916" s="574"/>
      <c r="S916" s="575"/>
      <c r="T916" s="574"/>
      <c r="U916" s="574"/>
    </row>
    <row r="917">
      <c r="A917" s="574"/>
      <c r="B917" s="574"/>
      <c r="C917" s="574"/>
      <c r="D917" s="671"/>
      <c r="E917" s="574"/>
      <c r="F917" s="574"/>
      <c r="G917" s="574"/>
      <c r="H917" s="574"/>
      <c r="I917" s="672"/>
      <c r="J917" s="574"/>
      <c r="K917" s="574"/>
      <c r="L917" s="574"/>
      <c r="M917" s="673"/>
      <c r="N917" s="672"/>
      <c r="O917" s="574"/>
      <c r="P917" s="574"/>
      <c r="Q917" s="574"/>
      <c r="R917" s="574"/>
      <c r="S917" s="575"/>
      <c r="T917" s="574"/>
      <c r="U917" s="574"/>
    </row>
    <row r="918">
      <c r="A918" s="574"/>
      <c r="B918" s="574"/>
      <c r="C918" s="574"/>
      <c r="D918" s="671"/>
      <c r="E918" s="574"/>
      <c r="F918" s="574"/>
      <c r="G918" s="574"/>
      <c r="H918" s="574"/>
      <c r="I918" s="672"/>
      <c r="J918" s="574"/>
      <c r="K918" s="574"/>
      <c r="L918" s="574"/>
      <c r="M918" s="673"/>
      <c r="N918" s="672"/>
      <c r="O918" s="574"/>
      <c r="P918" s="574"/>
      <c r="Q918" s="574"/>
      <c r="R918" s="574"/>
      <c r="S918" s="575"/>
      <c r="T918" s="574"/>
      <c r="U918" s="574"/>
    </row>
    <row r="919">
      <c r="A919" s="574"/>
      <c r="B919" s="574"/>
      <c r="C919" s="574"/>
      <c r="D919" s="671"/>
      <c r="E919" s="574"/>
      <c r="F919" s="574"/>
      <c r="G919" s="574"/>
      <c r="H919" s="574"/>
      <c r="I919" s="672"/>
      <c r="J919" s="574"/>
      <c r="K919" s="574"/>
      <c r="L919" s="574"/>
      <c r="M919" s="673"/>
      <c r="N919" s="672"/>
      <c r="O919" s="574"/>
      <c r="P919" s="574"/>
      <c r="Q919" s="574"/>
      <c r="R919" s="574"/>
      <c r="S919" s="575"/>
      <c r="T919" s="574"/>
      <c r="U919" s="574"/>
    </row>
    <row r="920">
      <c r="A920" s="574"/>
      <c r="B920" s="574"/>
      <c r="C920" s="574"/>
      <c r="D920" s="671"/>
      <c r="E920" s="574"/>
      <c r="F920" s="574"/>
      <c r="G920" s="574"/>
      <c r="H920" s="574"/>
      <c r="I920" s="672"/>
      <c r="J920" s="574"/>
      <c r="K920" s="574"/>
      <c r="L920" s="574"/>
      <c r="M920" s="673"/>
      <c r="N920" s="672"/>
      <c r="O920" s="574"/>
      <c r="P920" s="574"/>
      <c r="Q920" s="574"/>
      <c r="R920" s="574"/>
      <c r="S920" s="575"/>
      <c r="T920" s="574"/>
      <c r="U920" s="574"/>
    </row>
    <row r="921">
      <c r="A921" s="574"/>
      <c r="B921" s="574"/>
      <c r="C921" s="574"/>
      <c r="D921" s="671"/>
      <c r="E921" s="574"/>
      <c r="F921" s="574"/>
      <c r="G921" s="574"/>
      <c r="H921" s="574"/>
      <c r="I921" s="672"/>
      <c r="J921" s="574"/>
      <c r="K921" s="574"/>
      <c r="L921" s="574"/>
      <c r="M921" s="673"/>
      <c r="N921" s="672"/>
      <c r="O921" s="574"/>
      <c r="P921" s="574"/>
      <c r="Q921" s="574"/>
      <c r="R921" s="574"/>
      <c r="S921" s="575"/>
      <c r="T921" s="574"/>
      <c r="U921" s="574"/>
    </row>
    <row r="922">
      <c r="A922" s="574"/>
      <c r="B922" s="574"/>
      <c r="C922" s="574"/>
      <c r="D922" s="671"/>
      <c r="E922" s="574"/>
      <c r="F922" s="574"/>
      <c r="G922" s="574"/>
      <c r="H922" s="574"/>
      <c r="I922" s="672"/>
      <c r="J922" s="574"/>
      <c r="K922" s="574"/>
      <c r="L922" s="574"/>
      <c r="M922" s="673"/>
      <c r="N922" s="672"/>
      <c r="O922" s="574"/>
      <c r="P922" s="574"/>
      <c r="Q922" s="574"/>
      <c r="R922" s="574"/>
      <c r="S922" s="575"/>
      <c r="T922" s="574"/>
      <c r="U922" s="574"/>
    </row>
    <row r="923">
      <c r="A923" s="574"/>
      <c r="B923" s="574"/>
      <c r="C923" s="574"/>
      <c r="D923" s="671"/>
      <c r="E923" s="574"/>
      <c r="F923" s="574"/>
      <c r="G923" s="574"/>
      <c r="H923" s="574"/>
      <c r="I923" s="672"/>
      <c r="J923" s="574"/>
      <c r="K923" s="574"/>
      <c r="L923" s="574"/>
      <c r="M923" s="673"/>
      <c r="N923" s="672"/>
      <c r="O923" s="574"/>
      <c r="P923" s="574"/>
      <c r="Q923" s="574"/>
      <c r="R923" s="574"/>
      <c r="S923" s="575"/>
      <c r="T923" s="574"/>
      <c r="U923" s="574"/>
    </row>
    <row r="924">
      <c r="A924" s="574"/>
      <c r="B924" s="574"/>
      <c r="C924" s="574"/>
      <c r="D924" s="671"/>
      <c r="E924" s="574"/>
      <c r="F924" s="574"/>
      <c r="G924" s="574"/>
      <c r="H924" s="574"/>
      <c r="I924" s="672"/>
      <c r="J924" s="574"/>
      <c r="K924" s="574"/>
      <c r="L924" s="574"/>
      <c r="M924" s="673"/>
      <c r="N924" s="672"/>
      <c r="O924" s="574"/>
      <c r="P924" s="574"/>
      <c r="Q924" s="574"/>
      <c r="R924" s="574"/>
      <c r="S924" s="575"/>
      <c r="T924" s="574"/>
      <c r="U924" s="574"/>
    </row>
    <row r="925">
      <c r="A925" s="574"/>
      <c r="B925" s="574"/>
      <c r="C925" s="574"/>
      <c r="D925" s="671"/>
      <c r="E925" s="574"/>
      <c r="F925" s="574"/>
      <c r="G925" s="574"/>
      <c r="H925" s="574"/>
      <c r="I925" s="672"/>
      <c r="J925" s="574"/>
      <c r="K925" s="574"/>
      <c r="L925" s="574"/>
      <c r="M925" s="673"/>
      <c r="N925" s="672"/>
      <c r="O925" s="574"/>
      <c r="P925" s="574"/>
      <c r="Q925" s="574"/>
      <c r="R925" s="574"/>
      <c r="S925" s="575"/>
      <c r="T925" s="574"/>
      <c r="U925" s="574"/>
    </row>
    <row r="926">
      <c r="A926" s="574"/>
      <c r="B926" s="574"/>
      <c r="C926" s="574"/>
      <c r="D926" s="671"/>
      <c r="E926" s="574"/>
      <c r="F926" s="574"/>
      <c r="G926" s="574"/>
      <c r="H926" s="574"/>
      <c r="I926" s="672"/>
      <c r="J926" s="574"/>
      <c r="K926" s="574"/>
      <c r="L926" s="574"/>
      <c r="M926" s="673"/>
      <c r="N926" s="672"/>
      <c r="O926" s="574"/>
      <c r="P926" s="574"/>
      <c r="Q926" s="574"/>
      <c r="R926" s="574"/>
      <c r="S926" s="575"/>
      <c r="T926" s="574"/>
      <c r="U926" s="574"/>
    </row>
    <row r="927">
      <c r="A927" s="574"/>
      <c r="B927" s="574"/>
      <c r="C927" s="574"/>
      <c r="D927" s="671"/>
      <c r="E927" s="574"/>
      <c r="F927" s="574"/>
      <c r="G927" s="574"/>
      <c r="H927" s="574"/>
      <c r="I927" s="672"/>
      <c r="J927" s="574"/>
      <c r="K927" s="574"/>
      <c r="L927" s="574"/>
      <c r="M927" s="673"/>
      <c r="N927" s="672"/>
      <c r="O927" s="574"/>
      <c r="P927" s="574"/>
      <c r="Q927" s="574"/>
      <c r="R927" s="574"/>
      <c r="S927" s="575"/>
      <c r="T927" s="574"/>
      <c r="U927" s="574"/>
    </row>
    <row r="928">
      <c r="A928" s="574"/>
      <c r="B928" s="574"/>
      <c r="C928" s="574"/>
      <c r="D928" s="671"/>
      <c r="E928" s="574"/>
      <c r="F928" s="574"/>
      <c r="G928" s="574"/>
      <c r="H928" s="574"/>
      <c r="I928" s="672"/>
      <c r="J928" s="574"/>
      <c r="K928" s="574"/>
      <c r="L928" s="574"/>
      <c r="M928" s="673"/>
      <c r="N928" s="672"/>
      <c r="O928" s="574"/>
      <c r="P928" s="574"/>
      <c r="Q928" s="574"/>
      <c r="R928" s="574"/>
      <c r="S928" s="575"/>
      <c r="T928" s="574"/>
      <c r="U928" s="574"/>
    </row>
    <row r="929">
      <c r="A929" s="574"/>
      <c r="B929" s="574"/>
      <c r="C929" s="574"/>
      <c r="D929" s="671"/>
      <c r="E929" s="574"/>
      <c r="F929" s="574"/>
      <c r="G929" s="574"/>
      <c r="H929" s="574"/>
      <c r="I929" s="672"/>
      <c r="J929" s="574"/>
      <c r="K929" s="574"/>
      <c r="L929" s="574"/>
      <c r="M929" s="673"/>
      <c r="N929" s="672"/>
      <c r="O929" s="574"/>
      <c r="P929" s="574"/>
      <c r="Q929" s="574"/>
      <c r="R929" s="574"/>
      <c r="S929" s="575"/>
      <c r="T929" s="574"/>
      <c r="U929" s="574"/>
    </row>
    <row r="930">
      <c r="A930" s="574"/>
      <c r="B930" s="574"/>
      <c r="C930" s="574"/>
      <c r="D930" s="671"/>
      <c r="E930" s="574"/>
      <c r="F930" s="574"/>
      <c r="G930" s="574"/>
      <c r="H930" s="574"/>
      <c r="I930" s="672"/>
      <c r="J930" s="574"/>
      <c r="K930" s="574"/>
      <c r="L930" s="574"/>
      <c r="M930" s="673"/>
      <c r="N930" s="672"/>
      <c r="O930" s="574"/>
      <c r="P930" s="574"/>
      <c r="Q930" s="574"/>
      <c r="R930" s="574"/>
      <c r="S930" s="575"/>
      <c r="T930" s="574"/>
      <c r="U930" s="574"/>
    </row>
    <row r="931">
      <c r="A931" s="574"/>
      <c r="B931" s="574"/>
      <c r="C931" s="574"/>
      <c r="D931" s="671"/>
      <c r="E931" s="574"/>
      <c r="F931" s="574"/>
      <c r="G931" s="574"/>
      <c r="H931" s="574"/>
      <c r="I931" s="672"/>
      <c r="J931" s="574"/>
      <c r="K931" s="574"/>
      <c r="L931" s="574"/>
      <c r="M931" s="673"/>
      <c r="N931" s="672"/>
      <c r="O931" s="574"/>
      <c r="P931" s="574"/>
      <c r="Q931" s="574"/>
      <c r="R931" s="574"/>
      <c r="S931" s="575"/>
      <c r="T931" s="574"/>
      <c r="U931" s="574"/>
    </row>
    <row r="932">
      <c r="A932" s="574"/>
      <c r="B932" s="574"/>
      <c r="C932" s="574"/>
      <c r="D932" s="671"/>
      <c r="E932" s="574"/>
      <c r="F932" s="574"/>
      <c r="G932" s="574"/>
      <c r="H932" s="574"/>
      <c r="I932" s="672"/>
      <c r="J932" s="574"/>
      <c r="K932" s="574"/>
      <c r="L932" s="574"/>
      <c r="M932" s="673"/>
      <c r="N932" s="672"/>
      <c r="O932" s="574"/>
      <c r="P932" s="574"/>
      <c r="Q932" s="574"/>
      <c r="R932" s="574"/>
      <c r="S932" s="575"/>
      <c r="T932" s="574"/>
      <c r="U932" s="574"/>
    </row>
    <row r="933">
      <c r="A933" s="574"/>
      <c r="B933" s="574"/>
      <c r="C933" s="574"/>
      <c r="D933" s="671"/>
      <c r="E933" s="574"/>
      <c r="F933" s="574"/>
      <c r="G933" s="574"/>
      <c r="H933" s="574"/>
      <c r="I933" s="672"/>
      <c r="J933" s="574"/>
      <c r="K933" s="574"/>
      <c r="L933" s="574"/>
      <c r="M933" s="673"/>
      <c r="N933" s="672"/>
      <c r="O933" s="574"/>
      <c r="P933" s="574"/>
      <c r="Q933" s="574"/>
      <c r="R933" s="574"/>
      <c r="S933" s="575"/>
      <c r="T933" s="574"/>
      <c r="U933" s="574"/>
    </row>
    <row r="934">
      <c r="A934" s="574"/>
      <c r="B934" s="574"/>
      <c r="C934" s="574"/>
      <c r="D934" s="671"/>
      <c r="E934" s="574"/>
      <c r="F934" s="574"/>
      <c r="G934" s="574"/>
      <c r="H934" s="574"/>
      <c r="I934" s="672"/>
      <c r="J934" s="574"/>
      <c r="K934" s="574"/>
      <c r="L934" s="574"/>
      <c r="M934" s="673"/>
      <c r="N934" s="672"/>
      <c r="O934" s="574"/>
      <c r="P934" s="574"/>
      <c r="Q934" s="574"/>
      <c r="R934" s="574"/>
      <c r="S934" s="575"/>
      <c r="T934" s="574"/>
      <c r="U934" s="574"/>
    </row>
    <row r="935">
      <c r="A935" s="574"/>
      <c r="B935" s="574"/>
      <c r="C935" s="574"/>
      <c r="D935" s="671"/>
      <c r="E935" s="574"/>
      <c r="F935" s="574"/>
      <c r="G935" s="574"/>
      <c r="H935" s="574"/>
      <c r="I935" s="672"/>
      <c r="J935" s="574"/>
      <c r="K935" s="574"/>
      <c r="L935" s="574"/>
      <c r="M935" s="673"/>
      <c r="N935" s="672"/>
      <c r="O935" s="574"/>
      <c r="P935" s="574"/>
      <c r="Q935" s="574"/>
      <c r="R935" s="574"/>
      <c r="S935" s="575"/>
      <c r="T935" s="574"/>
      <c r="U935" s="574"/>
    </row>
    <row r="936">
      <c r="A936" s="574"/>
      <c r="B936" s="574"/>
      <c r="C936" s="574"/>
      <c r="D936" s="671"/>
      <c r="E936" s="574"/>
      <c r="F936" s="574"/>
      <c r="G936" s="574"/>
      <c r="H936" s="574"/>
      <c r="I936" s="672"/>
      <c r="J936" s="574"/>
      <c r="K936" s="574"/>
      <c r="L936" s="574"/>
      <c r="M936" s="673"/>
      <c r="N936" s="672"/>
      <c r="O936" s="574"/>
      <c r="P936" s="574"/>
      <c r="Q936" s="574"/>
      <c r="R936" s="574"/>
      <c r="S936" s="575"/>
      <c r="T936" s="574"/>
      <c r="U936" s="574"/>
    </row>
    <row r="937">
      <c r="A937" s="574"/>
      <c r="B937" s="574"/>
      <c r="C937" s="574"/>
      <c r="D937" s="671"/>
      <c r="E937" s="574"/>
      <c r="F937" s="574"/>
      <c r="G937" s="574"/>
      <c r="H937" s="574"/>
      <c r="I937" s="672"/>
      <c r="J937" s="574"/>
      <c r="K937" s="574"/>
      <c r="L937" s="574"/>
      <c r="M937" s="673"/>
      <c r="N937" s="672"/>
      <c r="O937" s="574"/>
      <c r="P937" s="574"/>
      <c r="Q937" s="574"/>
      <c r="R937" s="574"/>
      <c r="S937" s="575"/>
      <c r="T937" s="574"/>
      <c r="U937" s="574"/>
    </row>
    <row r="938">
      <c r="A938" s="574"/>
      <c r="B938" s="574"/>
      <c r="C938" s="574"/>
      <c r="D938" s="671"/>
      <c r="E938" s="574"/>
      <c r="F938" s="574"/>
      <c r="G938" s="574"/>
      <c r="H938" s="574"/>
      <c r="I938" s="672"/>
      <c r="J938" s="574"/>
      <c r="K938" s="574"/>
      <c r="L938" s="574"/>
      <c r="M938" s="673"/>
      <c r="N938" s="672"/>
      <c r="O938" s="574"/>
      <c r="P938" s="574"/>
      <c r="Q938" s="574"/>
      <c r="R938" s="574"/>
      <c r="S938" s="575"/>
      <c r="T938" s="574"/>
      <c r="U938" s="574"/>
    </row>
    <row r="939">
      <c r="A939" s="574"/>
      <c r="B939" s="574"/>
      <c r="C939" s="574"/>
      <c r="D939" s="671"/>
      <c r="E939" s="574"/>
      <c r="F939" s="574"/>
      <c r="G939" s="574"/>
      <c r="H939" s="574"/>
      <c r="I939" s="672"/>
      <c r="J939" s="574"/>
      <c r="K939" s="574"/>
      <c r="L939" s="574"/>
      <c r="M939" s="673"/>
      <c r="N939" s="672"/>
      <c r="O939" s="574"/>
      <c r="P939" s="574"/>
      <c r="Q939" s="574"/>
      <c r="R939" s="574"/>
      <c r="S939" s="575"/>
      <c r="T939" s="574"/>
      <c r="U939" s="574"/>
    </row>
    <row r="940">
      <c r="A940" s="574"/>
      <c r="B940" s="574"/>
      <c r="C940" s="574"/>
      <c r="D940" s="671"/>
      <c r="E940" s="574"/>
      <c r="F940" s="574"/>
      <c r="G940" s="574"/>
      <c r="H940" s="574"/>
      <c r="I940" s="672"/>
      <c r="J940" s="574"/>
      <c r="K940" s="574"/>
      <c r="L940" s="574"/>
      <c r="M940" s="673"/>
      <c r="N940" s="672"/>
      <c r="O940" s="574"/>
      <c r="P940" s="574"/>
      <c r="Q940" s="574"/>
      <c r="R940" s="574"/>
      <c r="S940" s="575"/>
      <c r="T940" s="574"/>
      <c r="U940" s="574"/>
    </row>
    <row r="941">
      <c r="A941" s="574"/>
      <c r="B941" s="574"/>
      <c r="C941" s="574"/>
      <c r="D941" s="671"/>
      <c r="E941" s="574"/>
      <c r="F941" s="574"/>
      <c r="G941" s="574"/>
      <c r="H941" s="574"/>
      <c r="I941" s="672"/>
      <c r="J941" s="574"/>
      <c r="K941" s="574"/>
      <c r="L941" s="574"/>
      <c r="M941" s="673"/>
      <c r="N941" s="672"/>
      <c r="O941" s="574"/>
      <c r="P941" s="574"/>
      <c r="Q941" s="574"/>
      <c r="R941" s="574"/>
      <c r="S941" s="575"/>
      <c r="T941" s="574"/>
      <c r="U941" s="574"/>
    </row>
    <row r="942">
      <c r="A942" s="574"/>
      <c r="B942" s="574"/>
      <c r="C942" s="574"/>
      <c r="D942" s="671"/>
      <c r="E942" s="574"/>
      <c r="F942" s="574"/>
      <c r="G942" s="574"/>
      <c r="H942" s="574"/>
      <c r="I942" s="672"/>
      <c r="J942" s="574"/>
      <c r="K942" s="574"/>
      <c r="L942" s="574"/>
      <c r="M942" s="673"/>
      <c r="N942" s="672"/>
      <c r="O942" s="574"/>
      <c r="P942" s="574"/>
      <c r="Q942" s="574"/>
      <c r="R942" s="574"/>
      <c r="S942" s="575"/>
      <c r="T942" s="574"/>
      <c r="U942" s="574"/>
    </row>
    <row r="943">
      <c r="A943" s="574"/>
      <c r="B943" s="574"/>
      <c r="C943" s="574"/>
      <c r="D943" s="671"/>
      <c r="E943" s="574"/>
      <c r="F943" s="574"/>
      <c r="G943" s="574"/>
      <c r="H943" s="574"/>
      <c r="I943" s="672"/>
      <c r="J943" s="574"/>
      <c r="K943" s="574"/>
      <c r="L943" s="574"/>
      <c r="M943" s="673"/>
      <c r="N943" s="672"/>
      <c r="O943" s="574"/>
      <c r="P943" s="574"/>
      <c r="Q943" s="574"/>
      <c r="R943" s="574"/>
      <c r="S943" s="575"/>
      <c r="T943" s="574"/>
      <c r="U943" s="574"/>
    </row>
    <row r="944">
      <c r="A944" s="574"/>
      <c r="B944" s="574"/>
      <c r="C944" s="574"/>
      <c r="D944" s="671"/>
      <c r="E944" s="574"/>
      <c r="F944" s="574"/>
      <c r="G944" s="574"/>
      <c r="H944" s="574"/>
      <c r="I944" s="672"/>
      <c r="J944" s="574"/>
      <c r="K944" s="574"/>
      <c r="L944" s="574"/>
      <c r="M944" s="673"/>
      <c r="N944" s="672"/>
      <c r="O944" s="574"/>
      <c r="P944" s="574"/>
      <c r="Q944" s="574"/>
      <c r="R944" s="574"/>
      <c r="S944" s="575"/>
      <c r="T944" s="574"/>
      <c r="U944" s="574"/>
    </row>
    <row r="945">
      <c r="A945" s="574"/>
      <c r="B945" s="574"/>
      <c r="C945" s="574"/>
      <c r="D945" s="671"/>
      <c r="E945" s="574"/>
      <c r="F945" s="574"/>
      <c r="G945" s="574"/>
      <c r="H945" s="574"/>
      <c r="I945" s="672"/>
      <c r="J945" s="574"/>
      <c r="K945" s="574"/>
      <c r="L945" s="574"/>
      <c r="M945" s="673"/>
      <c r="N945" s="672"/>
      <c r="O945" s="574"/>
      <c r="P945" s="574"/>
      <c r="Q945" s="574"/>
      <c r="R945" s="574"/>
      <c r="S945" s="575"/>
      <c r="T945" s="574"/>
      <c r="U945" s="574"/>
    </row>
    <row r="946">
      <c r="A946" s="574"/>
      <c r="B946" s="574"/>
      <c r="C946" s="574"/>
      <c r="D946" s="671"/>
      <c r="E946" s="574"/>
      <c r="F946" s="574"/>
      <c r="G946" s="574"/>
      <c r="H946" s="574"/>
      <c r="I946" s="672"/>
      <c r="J946" s="574"/>
      <c r="K946" s="574"/>
      <c r="L946" s="574"/>
      <c r="M946" s="673"/>
      <c r="N946" s="672"/>
      <c r="O946" s="574"/>
      <c r="P946" s="574"/>
      <c r="Q946" s="574"/>
      <c r="R946" s="574"/>
      <c r="S946" s="575"/>
      <c r="T946" s="574"/>
      <c r="U946" s="574"/>
    </row>
    <row r="947">
      <c r="A947" s="574"/>
      <c r="B947" s="574"/>
      <c r="C947" s="574"/>
      <c r="D947" s="671"/>
      <c r="E947" s="574"/>
      <c r="F947" s="574"/>
      <c r="G947" s="574"/>
      <c r="H947" s="574"/>
      <c r="I947" s="672"/>
      <c r="J947" s="574"/>
      <c r="K947" s="574"/>
      <c r="L947" s="574"/>
      <c r="M947" s="673"/>
      <c r="N947" s="672"/>
      <c r="O947" s="574"/>
      <c r="P947" s="574"/>
      <c r="Q947" s="574"/>
      <c r="R947" s="574"/>
      <c r="S947" s="575"/>
      <c r="T947" s="574"/>
      <c r="U947" s="574"/>
    </row>
    <row r="948">
      <c r="A948" s="574"/>
      <c r="B948" s="574"/>
      <c r="C948" s="574"/>
      <c r="D948" s="671"/>
      <c r="E948" s="574"/>
      <c r="F948" s="574"/>
      <c r="G948" s="574"/>
      <c r="H948" s="574"/>
      <c r="I948" s="672"/>
      <c r="J948" s="574"/>
      <c r="K948" s="574"/>
      <c r="L948" s="574"/>
      <c r="M948" s="673"/>
      <c r="N948" s="672"/>
      <c r="O948" s="574"/>
      <c r="P948" s="574"/>
      <c r="Q948" s="574"/>
      <c r="R948" s="574"/>
      <c r="S948" s="575"/>
      <c r="T948" s="574"/>
      <c r="U948" s="574"/>
    </row>
    <row r="949">
      <c r="A949" s="574"/>
      <c r="B949" s="574"/>
      <c r="C949" s="574"/>
      <c r="D949" s="671"/>
      <c r="E949" s="574"/>
      <c r="F949" s="574"/>
      <c r="G949" s="574"/>
      <c r="H949" s="574"/>
      <c r="I949" s="672"/>
      <c r="J949" s="574"/>
      <c r="K949" s="574"/>
      <c r="L949" s="574"/>
      <c r="M949" s="673"/>
      <c r="N949" s="672"/>
      <c r="O949" s="574"/>
      <c r="P949" s="574"/>
      <c r="Q949" s="574"/>
      <c r="R949" s="574"/>
      <c r="S949" s="575"/>
      <c r="T949" s="574"/>
      <c r="U949" s="574"/>
    </row>
    <row r="950">
      <c r="A950" s="574"/>
      <c r="B950" s="574"/>
      <c r="C950" s="574"/>
      <c r="D950" s="671"/>
      <c r="E950" s="574"/>
      <c r="F950" s="574"/>
      <c r="G950" s="574"/>
      <c r="H950" s="574"/>
      <c r="I950" s="672"/>
      <c r="J950" s="574"/>
      <c r="K950" s="574"/>
      <c r="L950" s="574"/>
      <c r="M950" s="673"/>
      <c r="N950" s="672"/>
      <c r="O950" s="574"/>
      <c r="P950" s="574"/>
      <c r="Q950" s="574"/>
      <c r="R950" s="574"/>
      <c r="S950" s="575"/>
      <c r="T950" s="574"/>
      <c r="U950" s="574"/>
    </row>
    <row r="951">
      <c r="A951" s="574"/>
      <c r="B951" s="574"/>
      <c r="C951" s="574"/>
      <c r="D951" s="671"/>
      <c r="E951" s="574"/>
      <c r="F951" s="574"/>
      <c r="G951" s="574"/>
      <c r="H951" s="574"/>
      <c r="I951" s="672"/>
      <c r="J951" s="574"/>
      <c r="K951" s="574"/>
      <c r="L951" s="574"/>
      <c r="M951" s="673"/>
      <c r="N951" s="672"/>
      <c r="O951" s="574"/>
      <c r="P951" s="574"/>
      <c r="Q951" s="574"/>
      <c r="R951" s="574"/>
      <c r="S951" s="575"/>
      <c r="T951" s="574"/>
      <c r="U951" s="574"/>
    </row>
    <row r="952">
      <c r="A952" s="574"/>
      <c r="B952" s="574"/>
      <c r="C952" s="574"/>
      <c r="D952" s="671"/>
      <c r="E952" s="574"/>
      <c r="F952" s="574"/>
      <c r="G952" s="574"/>
      <c r="H952" s="574"/>
      <c r="I952" s="672"/>
      <c r="J952" s="574"/>
      <c r="K952" s="574"/>
      <c r="L952" s="574"/>
      <c r="M952" s="673"/>
      <c r="N952" s="672"/>
      <c r="O952" s="574"/>
      <c r="P952" s="574"/>
      <c r="Q952" s="574"/>
      <c r="R952" s="574"/>
      <c r="S952" s="575"/>
      <c r="T952" s="574"/>
      <c r="U952" s="574"/>
    </row>
    <row r="953">
      <c r="A953" s="574"/>
      <c r="B953" s="574"/>
      <c r="C953" s="574"/>
      <c r="D953" s="671"/>
      <c r="E953" s="574"/>
      <c r="F953" s="574"/>
      <c r="G953" s="574"/>
      <c r="H953" s="574"/>
      <c r="I953" s="672"/>
      <c r="J953" s="574"/>
      <c r="K953" s="574"/>
      <c r="L953" s="574"/>
      <c r="M953" s="673"/>
      <c r="N953" s="672"/>
      <c r="O953" s="574"/>
      <c r="P953" s="574"/>
      <c r="Q953" s="574"/>
      <c r="R953" s="574"/>
      <c r="S953" s="575"/>
      <c r="T953" s="574"/>
      <c r="U953" s="574"/>
    </row>
    <row r="954">
      <c r="A954" s="574"/>
      <c r="B954" s="574"/>
      <c r="C954" s="574"/>
      <c r="D954" s="671"/>
      <c r="E954" s="574"/>
      <c r="F954" s="574"/>
      <c r="G954" s="574"/>
      <c r="H954" s="574"/>
      <c r="I954" s="672"/>
      <c r="J954" s="574"/>
      <c r="K954" s="574"/>
      <c r="L954" s="574"/>
      <c r="M954" s="673"/>
      <c r="N954" s="672"/>
      <c r="O954" s="574"/>
      <c r="P954" s="574"/>
      <c r="Q954" s="574"/>
      <c r="R954" s="574"/>
      <c r="S954" s="575"/>
      <c r="T954" s="574"/>
      <c r="U954" s="574"/>
    </row>
    <row r="955">
      <c r="A955" s="574"/>
      <c r="B955" s="574"/>
      <c r="C955" s="574"/>
      <c r="D955" s="671"/>
      <c r="E955" s="574"/>
      <c r="F955" s="574"/>
      <c r="G955" s="574"/>
      <c r="H955" s="574"/>
      <c r="I955" s="672"/>
      <c r="J955" s="574"/>
      <c r="K955" s="574"/>
      <c r="L955" s="574"/>
      <c r="M955" s="673"/>
      <c r="N955" s="672"/>
      <c r="O955" s="574"/>
      <c r="P955" s="574"/>
      <c r="Q955" s="574"/>
      <c r="R955" s="574"/>
      <c r="S955" s="575"/>
      <c r="T955" s="574"/>
      <c r="U955" s="574"/>
    </row>
    <row r="956">
      <c r="A956" s="574"/>
      <c r="B956" s="574"/>
      <c r="C956" s="574"/>
      <c r="D956" s="671"/>
      <c r="E956" s="574"/>
      <c r="F956" s="574"/>
      <c r="G956" s="574"/>
      <c r="H956" s="574"/>
      <c r="I956" s="672"/>
      <c r="J956" s="574"/>
      <c r="K956" s="574"/>
      <c r="L956" s="574"/>
      <c r="M956" s="673"/>
      <c r="N956" s="672"/>
      <c r="O956" s="574"/>
      <c r="P956" s="574"/>
      <c r="Q956" s="574"/>
      <c r="R956" s="574"/>
      <c r="S956" s="575"/>
      <c r="T956" s="574"/>
      <c r="U956" s="574"/>
    </row>
    <row r="957">
      <c r="A957" s="574"/>
      <c r="B957" s="574"/>
      <c r="C957" s="574"/>
      <c r="D957" s="671"/>
      <c r="E957" s="574"/>
      <c r="F957" s="574"/>
      <c r="G957" s="574"/>
      <c r="H957" s="574"/>
      <c r="I957" s="672"/>
      <c r="J957" s="574"/>
      <c r="K957" s="574"/>
      <c r="L957" s="574"/>
      <c r="M957" s="673"/>
      <c r="N957" s="672"/>
      <c r="O957" s="574"/>
      <c r="P957" s="574"/>
      <c r="Q957" s="574"/>
      <c r="R957" s="574"/>
      <c r="S957" s="575"/>
      <c r="T957" s="574"/>
      <c r="U957" s="574"/>
    </row>
    <row r="958">
      <c r="A958" s="574"/>
      <c r="B958" s="574"/>
      <c r="C958" s="574"/>
      <c r="D958" s="671"/>
      <c r="E958" s="574"/>
      <c r="F958" s="574"/>
      <c r="G958" s="574"/>
      <c r="H958" s="574"/>
      <c r="I958" s="672"/>
      <c r="J958" s="574"/>
      <c r="K958" s="574"/>
      <c r="L958" s="574"/>
      <c r="M958" s="673"/>
      <c r="N958" s="672"/>
      <c r="O958" s="574"/>
      <c r="P958" s="574"/>
      <c r="Q958" s="574"/>
      <c r="R958" s="574"/>
      <c r="S958" s="575"/>
      <c r="T958" s="574"/>
      <c r="U958" s="574"/>
    </row>
    <row r="959">
      <c r="A959" s="574"/>
      <c r="B959" s="574"/>
      <c r="C959" s="574"/>
      <c r="D959" s="671"/>
      <c r="E959" s="574"/>
      <c r="F959" s="574"/>
      <c r="G959" s="574"/>
      <c r="H959" s="574"/>
      <c r="I959" s="672"/>
      <c r="J959" s="574"/>
      <c r="K959" s="574"/>
      <c r="L959" s="574"/>
      <c r="M959" s="673"/>
      <c r="N959" s="672"/>
      <c r="O959" s="574"/>
      <c r="P959" s="574"/>
      <c r="Q959" s="574"/>
      <c r="R959" s="574"/>
      <c r="S959" s="575"/>
      <c r="T959" s="574"/>
      <c r="U959" s="574"/>
    </row>
    <row r="960">
      <c r="A960" s="574"/>
      <c r="B960" s="574"/>
      <c r="C960" s="574"/>
      <c r="D960" s="671"/>
      <c r="E960" s="574"/>
      <c r="F960" s="574"/>
      <c r="G960" s="574"/>
      <c r="H960" s="574"/>
      <c r="I960" s="672"/>
      <c r="J960" s="574"/>
      <c r="K960" s="574"/>
      <c r="L960" s="574"/>
      <c r="M960" s="673"/>
      <c r="N960" s="672"/>
      <c r="O960" s="574"/>
      <c r="P960" s="574"/>
      <c r="Q960" s="574"/>
      <c r="R960" s="574"/>
      <c r="S960" s="575"/>
      <c r="T960" s="574"/>
      <c r="U960" s="574"/>
    </row>
    <row r="961">
      <c r="A961" s="574"/>
      <c r="B961" s="574"/>
      <c r="C961" s="574"/>
      <c r="D961" s="671"/>
      <c r="E961" s="574"/>
      <c r="F961" s="574"/>
      <c r="G961" s="574"/>
      <c r="H961" s="574"/>
      <c r="I961" s="672"/>
      <c r="J961" s="574"/>
      <c r="K961" s="574"/>
      <c r="L961" s="574"/>
      <c r="M961" s="673"/>
      <c r="N961" s="672"/>
      <c r="O961" s="574"/>
      <c r="P961" s="574"/>
      <c r="Q961" s="574"/>
      <c r="R961" s="574"/>
      <c r="S961" s="575"/>
      <c r="T961" s="574"/>
      <c r="U961" s="574"/>
    </row>
    <row r="962">
      <c r="A962" s="574"/>
      <c r="B962" s="574"/>
      <c r="C962" s="574"/>
      <c r="D962" s="671"/>
      <c r="E962" s="574"/>
      <c r="F962" s="574"/>
      <c r="G962" s="574"/>
      <c r="H962" s="574"/>
      <c r="I962" s="672"/>
      <c r="J962" s="574"/>
      <c r="K962" s="574"/>
      <c r="L962" s="574"/>
      <c r="M962" s="673"/>
      <c r="N962" s="672"/>
      <c r="O962" s="574"/>
      <c r="P962" s="574"/>
      <c r="Q962" s="574"/>
      <c r="R962" s="574"/>
      <c r="S962" s="575"/>
      <c r="T962" s="574"/>
      <c r="U962" s="574"/>
    </row>
    <row r="963">
      <c r="A963" s="574"/>
      <c r="B963" s="574"/>
      <c r="C963" s="574"/>
      <c r="D963" s="671"/>
      <c r="E963" s="574"/>
      <c r="F963" s="574"/>
      <c r="G963" s="574"/>
      <c r="H963" s="574"/>
      <c r="I963" s="672"/>
      <c r="J963" s="574"/>
      <c r="K963" s="574"/>
      <c r="L963" s="574"/>
      <c r="M963" s="673"/>
      <c r="N963" s="672"/>
      <c r="O963" s="574"/>
      <c r="P963" s="574"/>
      <c r="Q963" s="574"/>
      <c r="R963" s="574"/>
      <c r="S963" s="575"/>
      <c r="T963" s="574"/>
      <c r="U963" s="574"/>
    </row>
    <row r="964">
      <c r="A964" s="574"/>
      <c r="B964" s="574"/>
      <c r="C964" s="574"/>
      <c r="D964" s="671"/>
      <c r="E964" s="574"/>
      <c r="F964" s="574"/>
      <c r="G964" s="574"/>
      <c r="H964" s="574"/>
      <c r="I964" s="672"/>
      <c r="J964" s="574"/>
      <c r="K964" s="574"/>
      <c r="L964" s="574"/>
      <c r="M964" s="673"/>
      <c r="N964" s="672"/>
      <c r="O964" s="574"/>
      <c r="P964" s="574"/>
      <c r="Q964" s="574"/>
      <c r="R964" s="574"/>
      <c r="S964" s="575"/>
      <c r="T964" s="574"/>
      <c r="U964" s="574"/>
    </row>
    <row r="965">
      <c r="A965" s="574"/>
      <c r="B965" s="574"/>
      <c r="C965" s="574"/>
      <c r="D965" s="671"/>
      <c r="E965" s="574"/>
      <c r="F965" s="574"/>
      <c r="G965" s="574"/>
      <c r="H965" s="574"/>
      <c r="I965" s="672"/>
      <c r="J965" s="574"/>
      <c r="K965" s="574"/>
      <c r="L965" s="574"/>
      <c r="M965" s="673"/>
      <c r="N965" s="672"/>
      <c r="O965" s="574"/>
      <c r="P965" s="574"/>
      <c r="Q965" s="574"/>
      <c r="R965" s="574"/>
      <c r="S965" s="575"/>
      <c r="T965" s="574"/>
      <c r="U965" s="574"/>
    </row>
    <row r="966">
      <c r="A966" s="574"/>
      <c r="B966" s="574"/>
      <c r="C966" s="574"/>
      <c r="D966" s="671"/>
      <c r="E966" s="574"/>
      <c r="F966" s="574"/>
      <c r="G966" s="574"/>
      <c r="H966" s="574"/>
      <c r="I966" s="672"/>
      <c r="J966" s="574"/>
      <c r="K966" s="574"/>
      <c r="L966" s="574"/>
      <c r="M966" s="673"/>
      <c r="N966" s="672"/>
      <c r="O966" s="574"/>
      <c r="P966" s="574"/>
      <c r="Q966" s="574"/>
      <c r="R966" s="574"/>
      <c r="S966" s="575"/>
      <c r="T966" s="574"/>
      <c r="U966" s="574"/>
    </row>
    <row r="967">
      <c r="A967" s="574"/>
      <c r="B967" s="574"/>
      <c r="C967" s="574"/>
      <c r="D967" s="671"/>
      <c r="E967" s="574"/>
      <c r="F967" s="574"/>
      <c r="G967" s="574"/>
      <c r="H967" s="574"/>
      <c r="I967" s="672"/>
      <c r="J967" s="574"/>
      <c r="K967" s="574"/>
      <c r="L967" s="574"/>
      <c r="M967" s="673"/>
      <c r="N967" s="672"/>
      <c r="O967" s="574"/>
      <c r="P967" s="574"/>
      <c r="Q967" s="574"/>
      <c r="R967" s="574"/>
      <c r="S967" s="575"/>
      <c r="T967" s="574"/>
      <c r="U967" s="574"/>
    </row>
    <row r="968">
      <c r="A968" s="574"/>
      <c r="B968" s="574"/>
      <c r="C968" s="574"/>
      <c r="D968" s="671"/>
      <c r="E968" s="574"/>
      <c r="F968" s="574"/>
      <c r="G968" s="574"/>
      <c r="H968" s="574"/>
      <c r="I968" s="672"/>
      <c r="J968" s="574"/>
      <c r="K968" s="574"/>
      <c r="L968" s="574"/>
      <c r="M968" s="673"/>
      <c r="N968" s="672"/>
      <c r="O968" s="574"/>
      <c r="P968" s="574"/>
      <c r="Q968" s="574"/>
      <c r="R968" s="574"/>
      <c r="S968" s="575"/>
      <c r="T968" s="574"/>
      <c r="U968" s="574"/>
    </row>
    <row r="969">
      <c r="A969" s="574"/>
      <c r="B969" s="574"/>
      <c r="C969" s="574"/>
      <c r="D969" s="671"/>
      <c r="E969" s="574"/>
      <c r="F969" s="574"/>
      <c r="G969" s="574"/>
      <c r="H969" s="574"/>
      <c r="I969" s="672"/>
      <c r="J969" s="574"/>
      <c r="K969" s="574"/>
      <c r="L969" s="574"/>
      <c r="M969" s="673"/>
      <c r="N969" s="672"/>
      <c r="O969" s="574"/>
      <c r="P969" s="574"/>
      <c r="Q969" s="574"/>
      <c r="R969" s="574"/>
      <c r="S969" s="575"/>
      <c r="T969" s="574"/>
      <c r="U969" s="574"/>
    </row>
    <row r="970">
      <c r="A970" s="574"/>
      <c r="B970" s="574"/>
      <c r="C970" s="574"/>
      <c r="D970" s="671"/>
      <c r="E970" s="574"/>
      <c r="F970" s="574"/>
      <c r="G970" s="574"/>
      <c r="H970" s="574"/>
      <c r="I970" s="672"/>
      <c r="J970" s="574"/>
      <c r="K970" s="574"/>
      <c r="L970" s="574"/>
      <c r="M970" s="673"/>
      <c r="N970" s="672"/>
      <c r="O970" s="574"/>
      <c r="P970" s="574"/>
      <c r="Q970" s="574"/>
      <c r="R970" s="574"/>
      <c r="S970" s="575"/>
      <c r="T970" s="574"/>
      <c r="U970" s="574"/>
    </row>
    <row r="971">
      <c r="A971" s="574"/>
      <c r="B971" s="574"/>
      <c r="C971" s="574"/>
      <c r="D971" s="671"/>
      <c r="E971" s="574"/>
      <c r="F971" s="574"/>
      <c r="G971" s="574"/>
      <c r="H971" s="574"/>
      <c r="I971" s="672"/>
      <c r="J971" s="574"/>
      <c r="K971" s="574"/>
      <c r="L971" s="574"/>
      <c r="M971" s="673"/>
      <c r="N971" s="672"/>
      <c r="O971" s="574"/>
      <c r="P971" s="574"/>
      <c r="Q971" s="574"/>
      <c r="R971" s="574"/>
      <c r="S971" s="575"/>
      <c r="T971" s="574"/>
      <c r="U971" s="574"/>
    </row>
    <row r="972">
      <c r="A972" s="574"/>
      <c r="B972" s="574"/>
      <c r="C972" s="574"/>
      <c r="D972" s="671"/>
      <c r="E972" s="574"/>
      <c r="F972" s="574"/>
      <c r="G972" s="574"/>
      <c r="H972" s="574"/>
      <c r="I972" s="672"/>
      <c r="J972" s="574"/>
      <c r="K972" s="574"/>
      <c r="L972" s="574"/>
      <c r="M972" s="673"/>
      <c r="N972" s="672"/>
      <c r="O972" s="574"/>
      <c r="P972" s="574"/>
      <c r="Q972" s="574"/>
      <c r="R972" s="574"/>
      <c r="S972" s="575"/>
      <c r="T972" s="574"/>
      <c r="U972" s="574"/>
    </row>
    <row r="973">
      <c r="A973" s="574"/>
      <c r="B973" s="574"/>
      <c r="C973" s="574"/>
      <c r="D973" s="671"/>
      <c r="E973" s="574"/>
      <c r="F973" s="574"/>
      <c r="G973" s="574"/>
      <c r="H973" s="574"/>
      <c r="I973" s="672"/>
      <c r="J973" s="574"/>
      <c r="K973" s="574"/>
      <c r="L973" s="574"/>
      <c r="M973" s="673"/>
      <c r="N973" s="672"/>
      <c r="O973" s="574"/>
      <c r="P973" s="574"/>
      <c r="Q973" s="574"/>
      <c r="R973" s="574"/>
      <c r="S973" s="575"/>
      <c r="T973" s="574"/>
      <c r="U973" s="574"/>
    </row>
    <row r="974">
      <c r="A974" s="574"/>
      <c r="B974" s="574"/>
      <c r="C974" s="574"/>
      <c r="D974" s="671"/>
      <c r="E974" s="574"/>
      <c r="F974" s="574"/>
      <c r="G974" s="574"/>
      <c r="H974" s="574"/>
      <c r="I974" s="672"/>
      <c r="J974" s="574"/>
      <c r="K974" s="574"/>
      <c r="L974" s="574"/>
      <c r="M974" s="673"/>
      <c r="N974" s="672"/>
      <c r="O974" s="574"/>
      <c r="P974" s="574"/>
      <c r="Q974" s="574"/>
      <c r="R974" s="574"/>
      <c r="S974" s="575"/>
      <c r="T974" s="574"/>
      <c r="U974" s="574"/>
    </row>
    <row r="975">
      <c r="A975" s="574"/>
      <c r="B975" s="574"/>
      <c r="C975" s="574"/>
      <c r="D975" s="671"/>
      <c r="E975" s="574"/>
      <c r="F975" s="574"/>
      <c r="G975" s="574"/>
      <c r="H975" s="574"/>
      <c r="I975" s="672"/>
      <c r="J975" s="574"/>
      <c r="K975" s="574"/>
      <c r="L975" s="574"/>
      <c r="M975" s="673"/>
      <c r="N975" s="672"/>
      <c r="O975" s="574"/>
      <c r="P975" s="574"/>
      <c r="Q975" s="574"/>
      <c r="R975" s="574"/>
      <c r="S975" s="575"/>
      <c r="T975" s="574"/>
      <c r="U975" s="574"/>
    </row>
    <row r="976">
      <c r="A976" s="574"/>
      <c r="B976" s="574"/>
      <c r="C976" s="574"/>
      <c r="D976" s="671"/>
      <c r="E976" s="574"/>
      <c r="F976" s="574"/>
      <c r="G976" s="574"/>
      <c r="H976" s="574"/>
      <c r="I976" s="672"/>
      <c r="J976" s="574"/>
      <c r="K976" s="574"/>
      <c r="L976" s="574"/>
      <c r="M976" s="673"/>
      <c r="N976" s="672"/>
      <c r="O976" s="574"/>
      <c r="P976" s="574"/>
      <c r="Q976" s="574"/>
      <c r="R976" s="574"/>
      <c r="S976" s="575"/>
      <c r="T976" s="574"/>
      <c r="U976" s="574"/>
    </row>
    <row r="977">
      <c r="A977" s="574"/>
      <c r="B977" s="574"/>
      <c r="C977" s="574"/>
      <c r="D977" s="671"/>
      <c r="E977" s="574"/>
      <c r="F977" s="574"/>
      <c r="G977" s="574"/>
      <c r="H977" s="574"/>
      <c r="I977" s="672"/>
      <c r="J977" s="574"/>
      <c r="K977" s="574"/>
      <c r="L977" s="574"/>
      <c r="M977" s="673"/>
      <c r="N977" s="672"/>
      <c r="O977" s="574"/>
      <c r="P977" s="574"/>
      <c r="Q977" s="574"/>
      <c r="R977" s="574"/>
      <c r="S977" s="575"/>
      <c r="T977" s="574"/>
      <c r="U977" s="574"/>
    </row>
    <row r="978">
      <c r="A978" s="574"/>
      <c r="B978" s="574"/>
      <c r="C978" s="574"/>
      <c r="D978" s="671"/>
      <c r="E978" s="574"/>
      <c r="F978" s="574"/>
      <c r="G978" s="574"/>
      <c r="H978" s="574"/>
      <c r="I978" s="672"/>
      <c r="J978" s="574"/>
      <c r="K978" s="574"/>
      <c r="L978" s="574"/>
      <c r="M978" s="673"/>
      <c r="N978" s="672"/>
      <c r="O978" s="574"/>
      <c r="P978" s="574"/>
      <c r="Q978" s="574"/>
      <c r="R978" s="574"/>
      <c r="S978" s="575"/>
      <c r="T978" s="574"/>
      <c r="U978" s="574"/>
    </row>
    <row r="979">
      <c r="A979" s="574"/>
      <c r="B979" s="574"/>
      <c r="C979" s="574"/>
      <c r="D979" s="671"/>
      <c r="E979" s="574"/>
      <c r="F979" s="574"/>
      <c r="G979" s="574"/>
      <c r="H979" s="574"/>
      <c r="I979" s="672"/>
      <c r="J979" s="574"/>
      <c r="K979" s="574"/>
      <c r="L979" s="574"/>
      <c r="M979" s="673"/>
      <c r="N979" s="672"/>
      <c r="O979" s="574"/>
      <c r="P979" s="574"/>
      <c r="Q979" s="574"/>
      <c r="R979" s="574"/>
      <c r="S979" s="575"/>
      <c r="T979" s="574"/>
      <c r="U979" s="574"/>
    </row>
    <row r="980">
      <c r="A980" s="574"/>
      <c r="B980" s="574"/>
      <c r="C980" s="574"/>
      <c r="D980" s="671"/>
      <c r="E980" s="574"/>
      <c r="F980" s="574"/>
      <c r="G980" s="574"/>
      <c r="H980" s="574"/>
      <c r="I980" s="672"/>
      <c r="J980" s="574"/>
      <c r="K980" s="574"/>
      <c r="L980" s="574"/>
      <c r="M980" s="673"/>
      <c r="N980" s="672"/>
      <c r="O980" s="574"/>
      <c r="P980" s="574"/>
      <c r="Q980" s="574"/>
      <c r="R980" s="574"/>
      <c r="S980" s="575"/>
      <c r="T980" s="574"/>
      <c r="U980" s="574"/>
    </row>
    <row r="981">
      <c r="A981" s="574"/>
      <c r="B981" s="574"/>
      <c r="C981" s="574"/>
      <c r="D981" s="671"/>
      <c r="E981" s="574"/>
      <c r="F981" s="574"/>
      <c r="G981" s="574"/>
      <c r="H981" s="574"/>
      <c r="I981" s="672"/>
      <c r="J981" s="574"/>
      <c r="K981" s="574"/>
      <c r="L981" s="574"/>
      <c r="M981" s="673"/>
      <c r="N981" s="672"/>
      <c r="O981" s="574"/>
      <c r="P981" s="574"/>
      <c r="Q981" s="574"/>
      <c r="R981" s="574"/>
      <c r="S981" s="575"/>
      <c r="T981" s="574"/>
      <c r="U981" s="574"/>
    </row>
    <row r="982">
      <c r="A982" s="574"/>
      <c r="B982" s="574"/>
      <c r="C982" s="574"/>
      <c r="D982" s="671"/>
      <c r="E982" s="574"/>
      <c r="F982" s="574"/>
      <c r="G982" s="574"/>
      <c r="H982" s="574"/>
      <c r="I982" s="672"/>
      <c r="J982" s="574"/>
      <c r="K982" s="574"/>
      <c r="L982" s="574"/>
      <c r="M982" s="673"/>
      <c r="N982" s="672"/>
      <c r="O982" s="574"/>
      <c r="P982" s="574"/>
      <c r="Q982" s="574"/>
      <c r="R982" s="574"/>
      <c r="S982" s="575"/>
      <c r="T982" s="574"/>
      <c r="U982" s="574"/>
    </row>
    <row r="983">
      <c r="A983" s="574"/>
      <c r="B983" s="574"/>
      <c r="C983" s="574"/>
      <c r="D983" s="671"/>
      <c r="E983" s="574"/>
      <c r="F983" s="574"/>
      <c r="G983" s="574"/>
      <c r="H983" s="574"/>
      <c r="I983" s="672"/>
      <c r="J983" s="574"/>
      <c r="K983" s="574"/>
      <c r="L983" s="574"/>
      <c r="M983" s="673"/>
      <c r="N983" s="672"/>
      <c r="O983" s="574"/>
      <c r="P983" s="574"/>
      <c r="Q983" s="574"/>
      <c r="R983" s="574"/>
      <c r="S983" s="575"/>
      <c r="T983" s="574"/>
      <c r="U983" s="574"/>
    </row>
    <row r="984">
      <c r="A984" s="574"/>
      <c r="B984" s="574"/>
      <c r="C984" s="574"/>
      <c r="D984" s="671"/>
      <c r="E984" s="574"/>
      <c r="F984" s="574"/>
      <c r="G984" s="574"/>
      <c r="H984" s="574"/>
      <c r="I984" s="672"/>
      <c r="J984" s="574"/>
      <c r="K984" s="574"/>
      <c r="L984" s="574"/>
      <c r="M984" s="673"/>
      <c r="N984" s="672"/>
      <c r="O984" s="574"/>
      <c r="P984" s="574"/>
      <c r="Q984" s="574"/>
      <c r="R984" s="574"/>
      <c r="S984" s="575"/>
      <c r="T984" s="574"/>
      <c r="U984" s="574"/>
    </row>
    <row r="985">
      <c r="A985" s="574"/>
      <c r="B985" s="574"/>
      <c r="C985" s="574"/>
      <c r="D985" s="671"/>
      <c r="E985" s="574"/>
      <c r="F985" s="574"/>
      <c r="G985" s="574"/>
      <c r="H985" s="574"/>
      <c r="I985" s="672"/>
      <c r="J985" s="574"/>
      <c r="K985" s="574"/>
      <c r="L985" s="574"/>
      <c r="M985" s="673"/>
      <c r="N985" s="672"/>
      <c r="O985" s="574"/>
      <c r="P985" s="574"/>
      <c r="Q985" s="574"/>
      <c r="R985" s="574"/>
      <c r="S985" s="575"/>
      <c r="T985" s="574"/>
      <c r="U985" s="574"/>
    </row>
    <row r="986">
      <c r="A986" s="574"/>
      <c r="B986" s="574"/>
      <c r="C986" s="574"/>
      <c r="D986" s="671"/>
      <c r="E986" s="574"/>
      <c r="F986" s="574"/>
      <c r="G986" s="574"/>
      <c r="H986" s="574"/>
      <c r="I986" s="672"/>
      <c r="J986" s="574"/>
      <c r="K986" s="574"/>
      <c r="L986" s="574"/>
      <c r="M986" s="673"/>
      <c r="N986" s="672"/>
      <c r="O986" s="574"/>
      <c r="P986" s="574"/>
      <c r="Q986" s="574"/>
      <c r="R986" s="574"/>
      <c r="S986" s="575"/>
      <c r="T986" s="574"/>
      <c r="U986" s="574"/>
    </row>
    <row r="987">
      <c r="A987" s="574"/>
      <c r="B987" s="574"/>
      <c r="C987" s="574"/>
      <c r="D987" s="671"/>
      <c r="E987" s="574"/>
      <c r="F987" s="574"/>
      <c r="G987" s="574"/>
      <c r="H987" s="574"/>
      <c r="I987" s="672"/>
      <c r="J987" s="574"/>
      <c r="K987" s="574"/>
      <c r="L987" s="574"/>
      <c r="M987" s="673"/>
      <c r="N987" s="672"/>
      <c r="O987" s="574"/>
      <c r="P987" s="574"/>
      <c r="Q987" s="574"/>
      <c r="R987" s="574"/>
      <c r="S987" s="575"/>
      <c r="T987" s="574"/>
      <c r="U987" s="574"/>
    </row>
    <row r="988">
      <c r="A988" s="574"/>
      <c r="B988" s="574"/>
      <c r="C988" s="574"/>
      <c r="D988" s="671"/>
      <c r="E988" s="574"/>
      <c r="F988" s="574"/>
      <c r="G988" s="574"/>
      <c r="H988" s="574"/>
      <c r="I988" s="672"/>
      <c r="J988" s="574"/>
      <c r="K988" s="574"/>
      <c r="L988" s="574"/>
      <c r="M988" s="673"/>
      <c r="N988" s="672"/>
      <c r="O988" s="574"/>
      <c r="P988" s="574"/>
      <c r="Q988" s="574"/>
      <c r="R988" s="574"/>
      <c r="S988" s="575"/>
      <c r="T988" s="574"/>
      <c r="U988" s="574"/>
    </row>
    <row r="989">
      <c r="A989" s="574"/>
      <c r="B989" s="574"/>
      <c r="C989" s="574"/>
      <c r="D989" s="671"/>
      <c r="E989" s="574"/>
      <c r="F989" s="574"/>
      <c r="G989" s="574"/>
      <c r="H989" s="574"/>
      <c r="I989" s="672"/>
      <c r="J989" s="574"/>
      <c r="K989" s="574"/>
      <c r="L989" s="574"/>
      <c r="M989" s="673"/>
      <c r="N989" s="672"/>
      <c r="O989" s="574"/>
      <c r="P989" s="574"/>
      <c r="Q989" s="574"/>
      <c r="R989" s="574"/>
      <c r="S989" s="575"/>
      <c r="T989" s="574"/>
      <c r="U989" s="574"/>
    </row>
    <row r="990">
      <c r="A990" s="574"/>
      <c r="B990" s="574"/>
      <c r="C990" s="574"/>
      <c r="D990" s="671"/>
      <c r="E990" s="574"/>
      <c r="F990" s="574"/>
      <c r="G990" s="574"/>
      <c r="H990" s="574"/>
      <c r="I990" s="672"/>
      <c r="J990" s="574"/>
      <c r="K990" s="574"/>
      <c r="L990" s="574"/>
      <c r="M990" s="673"/>
      <c r="N990" s="672"/>
      <c r="O990" s="574"/>
      <c r="P990" s="574"/>
      <c r="Q990" s="574"/>
      <c r="R990" s="574"/>
      <c r="S990" s="575"/>
      <c r="T990" s="574"/>
      <c r="U990" s="574"/>
    </row>
    <row r="991">
      <c r="A991" s="574"/>
      <c r="B991" s="574"/>
      <c r="C991" s="574"/>
      <c r="D991" s="671"/>
      <c r="E991" s="574"/>
      <c r="F991" s="574"/>
      <c r="G991" s="574"/>
      <c r="H991" s="574"/>
      <c r="I991" s="672"/>
      <c r="J991" s="574"/>
      <c r="K991" s="574"/>
      <c r="L991" s="574"/>
      <c r="M991" s="673"/>
      <c r="N991" s="672"/>
      <c r="O991" s="574"/>
      <c r="P991" s="574"/>
      <c r="Q991" s="574"/>
      <c r="R991" s="574"/>
      <c r="S991" s="575"/>
      <c r="T991" s="574"/>
      <c r="U991" s="574"/>
    </row>
    <row r="992">
      <c r="A992" s="574"/>
      <c r="B992" s="574"/>
      <c r="C992" s="574"/>
      <c r="D992" s="671"/>
      <c r="E992" s="574"/>
      <c r="F992" s="574"/>
      <c r="G992" s="574"/>
      <c r="H992" s="574"/>
      <c r="I992" s="672"/>
      <c r="J992" s="574"/>
      <c r="K992" s="574"/>
      <c r="L992" s="574"/>
      <c r="M992" s="673"/>
      <c r="N992" s="672"/>
      <c r="O992" s="574"/>
      <c r="P992" s="574"/>
      <c r="Q992" s="574"/>
      <c r="R992" s="574"/>
      <c r="S992" s="575"/>
      <c r="T992" s="574"/>
      <c r="U992" s="574"/>
    </row>
    <row r="993">
      <c r="A993" s="574"/>
      <c r="B993" s="574"/>
      <c r="C993" s="574"/>
      <c r="D993" s="671"/>
      <c r="E993" s="574"/>
      <c r="F993" s="574"/>
      <c r="G993" s="574"/>
      <c r="H993" s="574"/>
      <c r="I993" s="672"/>
      <c r="J993" s="574"/>
      <c r="K993" s="574"/>
      <c r="L993" s="574"/>
      <c r="M993" s="673"/>
      <c r="N993" s="672"/>
      <c r="O993" s="574"/>
      <c r="P993" s="574"/>
      <c r="Q993" s="574"/>
      <c r="R993" s="574"/>
      <c r="S993" s="575"/>
      <c r="T993" s="574"/>
      <c r="U993" s="574"/>
    </row>
    <row r="994">
      <c r="A994" s="574"/>
      <c r="B994" s="574"/>
      <c r="C994" s="574"/>
      <c r="D994" s="671"/>
      <c r="E994" s="574"/>
      <c r="F994" s="574"/>
      <c r="G994" s="574"/>
      <c r="H994" s="574"/>
      <c r="I994" s="672"/>
      <c r="J994" s="574"/>
      <c r="K994" s="574"/>
      <c r="L994" s="574"/>
      <c r="M994" s="673"/>
      <c r="N994" s="672"/>
      <c r="O994" s="574"/>
      <c r="P994" s="574"/>
      <c r="Q994" s="574"/>
      <c r="R994" s="574"/>
      <c r="S994" s="575"/>
      <c r="T994" s="574"/>
      <c r="U994" s="574"/>
    </row>
    <row r="995">
      <c r="A995" s="574"/>
      <c r="B995" s="574"/>
      <c r="C995" s="574"/>
      <c r="D995" s="671"/>
      <c r="E995" s="574"/>
      <c r="F995" s="574"/>
      <c r="G995" s="574"/>
      <c r="H995" s="574"/>
      <c r="I995" s="672"/>
      <c r="J995" s="574"/>
      <c r="K995" s="574"/>
      <c r="L995" s="574"/>
      <c r="M995" s="673"/>
      <c r="N995" s="672"/>
      <c r="O995" s="574"/>
      <c r="P995" s="574"/>
      <c r="Q995" s="574"/>
      <c r="R995" s="574"/>
      <c r="S995" s="575"/>
      <c r="T995" s="574"/>
      <c r="U995" s="574"/>
    </row>
    <row r="996">
      <c r="A996" s="574"/>
      <c r="B996" s="574"/>
      <c r="C996" s="574"/>
      <c r="D996" s="671"/>
      <c r="E996" s="574"/>
      <c r="F996" s="574"/>
      <c r="G996" s="574"/>
      <c r="H996" s="574"/>
      <c r="I996" s="672"/>
      <c r="J996" s="574"/>
      <c r="K996" s="574"/>
      <c r="L996" s="574"/>
      <c r="M996" s="673"/>
      <c r="N996" s="672"/>
      <c r="O996" s="574"/>
      <c r="P996" s="574"/>
      <c r="Q996" s="574"/>
      <c r="R996" s="574"/>
      <c r="S996" s="575"/>
      <c r="T996" s="574"/>
      <c r="U996" s="574"/>
    </row>
    <row r="997">
      <c r="A997" s="574"/>
      <c r="B997" s="574"/>
      <c r="C997" s="574"/>
      <c r="D997" s="671"/>
      <c r="E997" s="574"/>
      <c r="F997" s="574"/>
      <c r="G997" s="574"/>
      <c r="H997" s="574"/>
      <c r="I997" s="672"/>
      <c r="J997" s="574"/>
      <c r="K997" s="574"/>
      <c r="L997" s="574"/>
      <c r="M997" s="673"/>
      <c r="N997" s="672"/>
      <c r="O997" s="574"/>
      <c r="P997" s="574"/>
      <c r="Q997" s="574"/>
      <c r="R997" s="574"/>
      <c r="S997" s="575"/>
      <c r="T997" s="574"/>
      <c r="U997" s="574"/>
    </row>
    <row r="998">
      <c r="A998" s="574"/>
      <c r="B998" s="574"/>
      <c r="C998" s="574"/>
      <c r="D998" s="671"/>
      <c r="E998" s="574"/>
      <c r="F998" s="574"/>
      <c r="G998" s="574"/>
      <c r="H998" s="574"/>
      <c r="I998" s="672"/>
      <c r="J998" s="574"/>
      <c r="K998" s="574"/>
      <c r="L998" s="574"/>
      <c r="M998" s="673"/>
      <c r="N998" s="672"/>
      <c r="O998" s="574"/>
      <c r="P998" s="574"/>
      <c r="Q998" s="574"/>
      <c r="R998" s="574"/>
      <c r="S998" s="575"/>
      <c r="T998" s="574"/>
      <c r="U998" s="574"/>
    </row>
    <row r="999">
      <c r="A999" s="574"/>
      <c r="B999" s="574"/>
      <c r="C999" s="574"/>
      <c r="D999" s="671"/>
      <c r="E999" s="574"/>
      <c r="F999" s="574"/>
      <c r="G999" s="574"/>
      <c r="H999" s="574"/>
      <c r="I999" s="672"/>
      <c r="J999" s="574"/>
      <c r="K999" s="574"/>
      <c r="L999" s="574"/>
      <c r="M999" s="673"/>
      <c r="N999" s="672"/>
      <c r="O999" s="574"/>
      <c r="P999" s="574"/>
      <c r="Q999" s="574"/>
      <c r="R999" s="574"/>
      <c r="S999" s="575"/>
      <c r="T999" s="574"/>
      <c r="U999" s="574"/>
    </row>
    <row r="1000">
      <c r="D1000" s="679"/>
    </row>
  </sheetData>
  <mergeCells count="127">
    <mergeCell ref="H1:I3"/>
    <mergeCell ref="J1:J3"/>
    <mergeCell ref="K1:Q1"/>
    <mergeCell ref="K2:L2"/>
    <mergeCell ref="M2:N2"/>
    <mergeCell ref="P2:Q2"/>
    <mergeCell ref="R2:T2"/>
    <mergeCell ref="F4:F6"/>
    <mergeCell ref="J8:J9"/>
    <mergeCell ref="E13:E15"/>
    <mergeCell ref="F13:F15"/>
    <mergeCell ref="E16:E18"/>
    <mergeCell ref="F16:F18"/>
    <mergeCell ref="A1:A3"/>
    <mergeCell ref="B1:B3"/>
    <mergeCell ref="C1:C3"/>
    <mergeCell ref="D1:D3"/>
    <mergeCell ref="F1:F3"/>
    <mergeCell ref="G1:G3"/>
    <mergeCell ref="D4:D21"/>
    <mergeCell ref="E34:E38"/>
    <mergeCell ref="E39:E43"/>
    <mergeCell ref="J39:J43"/>
    <mergeCell ref="J44:J45"/>
    <mergeCell ref="F39:F43"/>
    <mergeCell ref="E44:E48"/>
    <mergeCell ref="E80:E82"/>
    <mergeCell ref="E83:E85"/>
    <mergeCell ref="D54:D60"/>
    <mergeCell ref="D61:D65"/>
    <mergeCell ref="D66:D70"/>
    <mergeCell ref="D71:D75"/>
    <mergeCell ref="D76:D79"/>
    <mergeCell ref="D80:D91"/>
    <mergeCell ref="F80:F82"/>
    <mergeCell ref="F44:F48"/>
    <mergeCell ref="E49:E53"/>
    <mergeCell ref="E19:E21"/>
    <mergeCell ref="F19:F21"/>
    <mergeCell ref="D22:D28"/>
    <mergeCell ref="D29:D53"/>
    <mergeCell ref="E29:E33"/>
    <mergeCell ref="F29:F33"/>
    <mergeCell ref="F34:F38"/>
    <mergeCell ref="G4:G76"/>
    <mergeCell ref="G77:G149"/>
    <mergeCell ref="E1:E3"/>
    <mergeCell ref="E4:E6"/>
    <mergeCell ref="E7:E9"/>
    <mergeCell ref="F7:F9"/>
    <mergeCell ref="E10:E12"/>
    <mergeCell ref="F10:F12"/>
    <mergeCell ref="F49:F53"/>
    <mergeCell ref="F83:F85"/>
    <mergeCell ref="E86:E88"/>
    <mergeCell ref="F86:F88"/>
    <mergeCell ref="J86:J88"/>
    <mergeCell ref="E89:E91"/>
    <mergeCell ref="F89:F91"/>
    <mergeCell ref="J89:J91"/>
    <mergeCell ref="J92:J94"/>
    <mergeCell ref="D130:D135"/>
    <mergeCell ref="D136:D146"/>
    <mergeCell ref="D147:D152"/>
    <mergeCell ref="J171:J173"/>
    <mergeCell ref="E101:E103"/>
    <mergeCell ref="F101:F103"/>
    <mergeCell ref="D108:D113"/>
    <mergeCell ref="D114:D118"/>
    <mergeCell ref="D119:D123"/>
    <mergeCell ref="D124:D126"/>
    <mergeCell ref="D127:D129"/>
    <mergeCell ref="D92:D106"/>
    <mergeCell ref="E92:E94"/>
    <mergeCell ref="F92:F94"/>
    <mergeCell ref="E95:E97"/>
    <mergeCell ref="F95:F97"/>
    <mergeCell ref="E98:E100"/>
    <mergeCell ref="F98:F100"/>
    <mergeCell ref="D162:D167"/>
    <mergeCell ref="E168:E170"/>
    <mergeCell ref="F168:F170"/>
    <mergeCell ref="E171:E173"/>
    <mergeCell ref="F171:F173"/>
    <mergeCell ref="E174:E176"/>
    <mergeCell ref="F174:F176"/>
    <mergeCell ref="E177:E179"/>
    <mergeCell ref="F177:F179"/>
    <mergeCell ref="E180:E182"/>
    <mergeCell ref="F180:F182"/>
    <mergeCell ref="E194:E196"/>
    <mergeCell ref="F194:F196"/>
    <mergeCell ref="D184:D193"/>
    <mergeCell ref="D194:D216"/>
    <mergeCell ref="E215:E216"/>
    <mergeCell ref="F215:F216"/>
    <mergeCell ref="D217:D224"/>
    <mergeCell ref="E217:E218"/>
    <mergeCell ref="E219:E220"/>
    <mergeCell ref="E221:E222"/>
    <mergeCell ref="F217:F218"/>
    <mergeCell ref="F221:F222"/>
    <mergeCell ref="E104:E106"/>
    <mergeCell ref="F104:F106"/>
    <mergeCell ref="G150:G224"/>
    <mergeCell ref="D153:D155"/>
    <mergeCell ref="D156:D158"/>
    <mergeCell ref="D159:D161"/>
    <mergeCell ref="D168:D182"/>
    <mergeCell ref="E197:E199"/>
    <mergeCell ref="F197:F198"/>
    <mergeCell ref="E200:E202"/>
    <mergeCell ref="F200:F202"/>
    <mergeCell ref="E203:E205"/>
    <mergeCell ref="F203:F205"/>
    <mergeCell ref="E206:E208"/>
    <mergeCell ref="F206:F208"/>
    <mergeCell ref="E209:E210"/>
    <mergeCell ref="F209:F210"/>
    <mergeCell ref="E211:E212"/>
    <mergeCell ref="F211:F212"/>
    <mergeCell ref="E213:E214"/>
    <mergeCell ref="F213:F214"/>
    <mergeCell ref="A226:C226"/>
    <mergeCell ref="H231:H233"/>
    <mergeCell ref="H234:H235"/>
    <mergeCell ref="H236:H238"/>
  </mergeCells>
  <hyperlinks>
    <hyperlink r:id="rId1" ref="F28"/>
    <hyperlink r:id="rId2" ref="F39"/>
    <hyperlink r:id="rId3" ref="F55"/>
    <hyperlink r:id="rId4" ref="E59"/>
    <hyperlink r:id="rId5" ref="D61"/>
    <hyperlink r:id="rId6" ref="F63"/>
    <hyperlink r:id="rId7" ref="F65"/>
    <hyperlink r:id="rId8" ref="F111"/>
    <hyperlink r:id="rId9" ref="F113"/>
    <hyperlink r:id="rId10" ref="F118"/>
    <hyperlink r:id="rId11" ref="F119"/>
    <hyperlink r:id="rId12" ref="F143"/>
    <hyperlink r:id="rId13" ref="F161"/>
    <hyperlink r:id="rId14" ref="F162"/>
    <hyperlink r:id="rId15" ref="E163"/>
    <hyperlink r:id="rId16" ref="J174"/>
    <hyperlink r:id="rId17" ref="J175"/>
    <hyperlink r:id="rId18" ref="J176"/>
    <hyperlink r:id="rId19" ref="F191"/>
    <hyperlink r:id="rId20" ref="F192"/>
    <hyperlink r:id="rId21" ref="J194"/>
    <hyperlink r:id="rId22" ref="J195"/>
    <hyperlink r:id="rId23" ref="J196"/>
    <hyperlink r:id="rId24" ref="J200"/>
    <hyperlink r:id="rId25" ref="J201"/>
    <hyperlink r:id="rId26" ref="J206"/>
    <hyperlink r:id="rId27" ref="J209"/>
    <hyperlink r:id="rId28" ref="J210"/>
    <hyperlink r:id="rId29" ref="J216"/>
    <hyperlink r:id="rId30" ref="E217"/>
  </hyperlinks>
  <drawing r:id="rId3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6.5"/>
    <col customWidth="1" min="2" max="2" width="24.25"/>
    <col customWidth="1" min="3" max="3" width="28.13"/>
    <col customWidth="1" min="4" max="4" width="23.63"/>
    <col customWidth="1" min="5" max="5" width="60.63"/>
    <col customWidth="1" min="7" max="7" width="87.38"/>
  </cols>
  <sheetData>
    <row r="1">
      <c r="A1" s="680" t="s">
        <v>3</v>
      </c>
      <c r="B1" s="680" t="s">
        <v>4</v>
      </c>
      <c r="C1" s="681" t="s">
        <v>5</v>
      </c>
      <c r="D1" s="681" t="s">
        <v>1275</v>
      </c>
      <c r="E1" s="681" t="s">
        <v>1276</v>
      </c>
      <c r="F1" s="682"/>
      <c r="G1" s="683" t="s">
        <v>1277</v>
      </c>
      <c r="H1" s="682"/>
      <c r="I1" s="682"/>
      <c r="J1" s="682"/>
      <c r="K1" s="682"/>
      <c r="L1" s="682"/>
      <c r="M1" s="682"/>
      <c r="N1" s="682"/>
      <c r="O1" s="682"/>
      <c r="P1" s="682"/>
      <c r="Q1" s="682"/>
      <c r="R1" s="682"/>
      <c r="S1" s="682"/>
      <c r="T1" s="682"/>
      <c r="U1" s="682"/>
      <c r="V1" s="682"/>
      <c r="W1" s="682"/>
      <c r="X1" s="682"/>
      <c r="Y1" s="682"/>
      <c r="Z1" s="682"/>
      <c r="AA1" s="682"/>
      <c r="AB1" s="682"/>
      <c r="AC1" s="682"/>
      <c r="AD1" s="682"/>
      <c r="AE1" s="682"/>
    </row>
    <row r="2">
      <c r="A2" s="44">
        <v>1.0</v>
      </c>
      <c r="B2" s="45" t="s">
        <v>34</v>
      </c>
      <c r="C2" s="45" t="s">
        <v>35</v>
      </c>
      <c r="D2" s="684"/>
      <c r="E2" s="684"/>
      <c r="F2" s="682"/>
      <c r="G2" s="685" t="s">
        <v>1278</v>
      </c>
      <c r="H2" s="682"/>
      <c r="I2" s="682"/>
      <c r="J2" s="682"/>
      <c r="K2" s="682"/>
      <c r="L2" s="682"/>
      <c r="M2" s="682"/>
      <c r="N2" s="682"/>
      <c r="O2" s="682"/>
      <c r="P2" s="682"/>
      <c r="Q2" s="682"/>
      <c r="R2" s="682"/>
      <c r="S2" s="682"/>
      <c r="T2" s="682"/>
      <c r="U2" s="682"/>
      <c r="V2" s="682"/>
      <c r="W2" s="682"/>
      <c r="X2" s="682"/>
      <c r="Y2" s="682"/>
      <c r="Z2" s="682"/>
      <c r="AA2" s="682"/>
      <c r="AB2" s="682"/>
      <c r="AC2" s="682"/>
      <c r="AD2" s="682"/>
      <c r="AE2" s="682"/>
    </row>
    <row r="3">
      <c r="A3" s="44">
        <v>2.0</v>
      </c>
      <c r="B3" s="51"/>
      <c r="C3" s="45" t="s">
        <v>37</v>
      </c>
      <c r="D3" s="684"/>
      <c r="E3" s="684"/>
      <c r="G3" s="686" t="s">
        <v>1279</v>
      </c>
    </row>
    <row r="4">
      <c r="A4" s="44">
        <v>3.0</v>
      </c>
      <c r="B4" s="51"/>
      <c r="C4" s="45" t="s">
        <v>38</v>
      </c>
      <c r="D4" s="684"/>
      <c r="E4" s="684"/>
    </row>
    <row r="5">
      <c r="A5" s="44">
        <v>4.0</v>
      </c>
      <c r="B5" s="51"/>
      <c r="C5" s="45" t="s">
        <v>39</v>
      </c>
      <c r="D5" s="684"/>
      <c r="E5" s="684"/>
    </row>
    <row r="6">
      <c r="A6" s="44">
        <v>5.0</v>
      </c>
      <c r="B6" s="51"/>
      <c r="C6" s="45" t="s">
        <v>42</v>
      </c>
      <c r="D6" s="684"/>
      <c r="E6" s="684"/>
    </row>
    <row r="7">
      <c r="A7" s="44">
        <v>6.0</v>
      </c>
      <c r="B7" s="51"/>
      <c r="C7" s="45" t="s">
        <v>43</v>
      </c>
      <c r="D7" s="684"/>
      <c r="E7" s="684"/>
    </row>
    <row r="8">
      <c r="A8" s="44">
        <v>7.0</v>
      </c>
      <c r="B8" s="51"/>
      <c r="C8" s="45" t="s">
        <v>44</v>
      </c>
      <c r="D8" s="684"/>
      <c r="E8" s="684"/>
    </row>
    <row r="9">
      <c r="A9" s="44">
        <v>8.0</v>
      </c>
      <c r="B9" s="51"/>
      <c r="C9" s="45" t="s">
        <v>47</v>
      </c>
      <c r="D9" s="684"/>
      <c r="E9" s="684"/>
    </row>
    <row r="10">
      <c r="A10" s="44">
        <v>9.0</v>
      </c>
      <c r="B10" s="45" t="s">
        <v>48</v>
      </c>
      <c r="C10" s="45" t="s">
        <v>49</v>
      </c>
      <c r="D10" s="684"/>
      <c r="E10" s="684"/>
    </row>
    <row r="11">
      <c r="A11" s="44">
        <v>10.0</v>
      </c>
      <c r="B11" s="51"/>
      <c r="C11" s="45" t="s">
        <v>50</v>
      </c>
      <c r="D11" s="684"/>
      <c r="E11" s="684"/>
    </row>
    <row r="12">
      <c r="A12" s="44">
        <v>11.0</v>
      </c>
      <c r="B12" s="51"/>
      <c r="C12" s="45" t="s">
        <v>51</v>
      </c>
      <c r="D12" s="684"/>
      <c r="E12" s="684"/>
    </row>
    <row r="13">
      <c r="A13" s="44">
        <v>12.0</v>
      </c>
      <c r="B13" s="51"/>
      <c r="C13" s="45" t="s">
        <v>52</v>
      </c>
      <c r="D13" s="684"/>
      <c r="E13" s="684"/>
    </row>
    <row r="14">
      <c r="A14" s="44">
        <v>13.0</v>
      </c>
      <c r="B14" s="51"/>
      <c r="C14" s="45" t="s">
        <v>54</v>
      </c>
      <c r="D14" s="684"/>
      <c r="E14" s="684"/>
    </row>
    <row r="15">
      <c r="A15" s="44">
        <v>14.0</v>
      </c>
      <c r="B15" s="51"/>
      <c r="C15" s="45" t="s">
        <v>56</v>
      </c>
      <c r="D15" s="684"/>
      <c r="E15" s="684"/>
    </row>
    <row r="16">
      <c r="A16" s="44">
        <v>15.0</v>
      </c>
      <c r="B16" s="51"/>
      <c r="C16" s="45" t="s">
        <v>57</v>
      </c>
      <c r="D16" s="684"/>
      <c r="E16" s="684"/>
    </row>
    <row r="17">
      <c r="A17" s="44">
        <v>16.0</v>
      </c>
      <c r="B17" s="51"/>
      <c r="C17" s="45" t="s">
        <v>58</v>
      </c>
      <c r="D17" s="684"/>
      <c r="E17" s="684"/>
    </row>
    <row r="18">
      <c r="A18" s="44">
        <v>17.0</v>
      </c>
      <c r="B18" s="51"/>
      <c r="C18" s="45" t="s">
        <v>59</v>
      </c>
      <c r="D18" s="684"/>
      <c r="E18" s="684"/>
    </row>
    <row r="19">
      <c r="A19" s="44">
        <v>18.0</v>
      </c>
      <c r="B19" s="51"/>
      <c r="C19" s="45" t="s">
        <v>60</v>
      </c>
      <c r="D19" s="684"/>
      <c r="E19" s="684"/>
    </row>
    <row r="20">
      <c r="A20" s="44">
        <v>19.0</v>
      </c>
      <c r="B20" s="51"/>
      <c r="C20" s="45" t="s">
        <v>63</v>
      </c>
      <c r="D20" s="684"/>
      <c r="E20" s="684"/>
    </row>
    <row r="21">
      <c r="A21" s="44">
        <v>20.0</v>
      </c>
      <c r="B21" s="51"/>
      <c r="C21" s="45" t="s">
        <v>65</v>
      </c>
      <c r="D21" s="684"/>
      <c r="E21" s="684"/>
    </row>
    <row r="22">
      <c r="A22" s="44">
        <v>21.0</v>
      </c>
      <c r="B22" s="51"/>
      <c r="C22" s="45" t="s">
        <v>67</v>
      </c>
      <c r="D22" s="684"/>
      <c r="E22" s="684"/>
    </row>
    <row r="23">
      <c r="A23" s="44">
        <v>22.0</v>
      </c>
      <c r="B23" s="51"/>
      <c r="C23" s="45" t="s">
        <v>69</v>
      </c>
      <c r="D23" s="684"/>
      <c r="E23" s="684"/>
    </row>
    <row r="24">
      <c r="A24" s="44">
        <v>23.0</v>
      </c>
      <c r="B24" s="51"/>
      <c r="C24" s="45" t="s">
        <v>71</v>
      </c>
      <c r="D24" s="684"/>
      <c r="E24" s="684"/>
    </row>
    <row r="25">
      <c r="A25" s="44">
        <v>24.0</v>
      </c>
      <c r="B25" s="51"/>
      <c r="C25" s="45" t="s">
        <v>73</v>
      </c>
      <c r="D25" s="684"/>
      <c r="E25" s="684"/>
    </row>
    <row r="26">
      <c r="A26" s="44">
        <v>25.0</v>
      </c>
      <c r="B26" s="51"/>
      <c r="C26" s="45" t="s">
        <v>76</v>
      </c>
      <c r="D26" s="684"/>
      <c r="E26" s="684"/>
    </row>
    <row r="27">
      <c r="A27" s="44">
        <v>26.0</v>
      </c>
      <c r="B27" s="45" t="s">
        <v>79</v>
      </c>
      <c r="C27" s="45" t="s">
        <v>80</v>
      </c>
      <c r="D27" s="684"/>
      <c r="E27" s="684"/>
    </row>
    <row r="28">
      <c r="A28" s="44">
        <v>27.0</v>
      </c>
      <c r="B28" s="51"/>
      <c r="C28" s="45" t="s">
        <v>82</v>
      </c>
      <c r="D28" s="684"/>
      <c r="E28" s="684"/>
    </row>
    <row r="29">
      <c r="A29" s="44">
        <v>28.0</v>
      </c>
      <c r="B29" s="51"/>
      <c r="C29" s="45" t="s">
        <v>84</v>
      </c>
      <c r="D29" s="684"/>
      <c r="E29" s="684"/>
    </row>
    <row r="30">
      <c r="A30" s="44">
        <v>29.0</v>
      </c>
      <c r="B30" s="51"/>
      <c r="C30" s="45" t="s">
        <v>86</v>
      </c>
      <c r="D30" s="684"/>
      <c r="E30" s="684"/>
    </row>
    <row r="31">
      <c r="A31" s="44">
        <v>30.0</v>
      </c>
      <c r="B31" s="51"/>
      <c r="C31" s="45" t="s">
        <v>88</v>
      </c>
      <c r="D31" s="684"/>
      <c r="E31" s="684"/>
    </row>
    <row r="32">
      <c r="A32" s="44">
        <v>31.0</v>
      </c>
      <c r="B32" s="51"/>
      <c r="C32" s="45" t="s">
        <v>90</v>
      </c>
      <c r="D32" s="684"/>
      <c r="E32" s="684"/>
    </row>
    <row r="33">
      <c r="A33" s="44">
        <v>32.0</v>
      </c>
      <c r="B33" s="51"/>
      <c r="C33" s="45" t="s">
        <v>92</v>
      </c>
      <c r="D33" s="684"/>
      <c r="E33" s="684"/>
    </row>
    <row r="34">
      <c r="A34" s="44">
        <v>33.0</v>
      </c>
      <c r="B34" s="51"/>
      <c r="C34" s="45" t="s">
        <v>94</v>
      </c>
      <c r="D34" s="684"/>
      <c r="E34" s="684"/>
    </row>
    <row r="35">
      <c r="A35" s="44">
        <v>34.0</v>
      </c>
      <c r="B35" s="45" t="s">
        <v>96</v>
      </c>
      <c r="C35" s="45" t="s">
        <v>97</v>
      </c>
      <c r="D35" s="684"/>
      <c r="E35" s="684"/>
    </row>
    <row r="36">
      <c r="A36" s="44">
        <v>35.0</v>
      </c>
      <c r="B36" s="51"/>
      <c r="C36" s="45" t="s">
        <v>100</v>
      </c>
      <c r="D36" s="684"/>
      <c r="E36" s="684"/>
    </row>
    <row r="37">
      <c r="A37" s="44">
        <v>36.0</v>
      </c>
      <c r="B37" s="51"/>
      <c r="C37" s="45" t="s">
        <v>102</v>
      </c>
      <c r="D37" s="684"/>
      <c r="E37" s="684"/>
    </row>
    <row r="38">
      <c r="A38" s="44">
        <v>37.0</v>
      </c>
      <c r="B38" s="51"/>
      <c r="C38" s="45" t="s">
        <v>104</v>
      </c>
      <c r="D38" s="684"/>
      <c r="E38" s="684"/>
    </row>
    <row r="39">
      <c r="A39" s="44">
        <v>38.0</v>
      </c>
      <c r="B39" s="51"/>
      <c r="C39" s="45" t="s">
        <v>105</v>
      </c>
      <c r="D39" s="684"/>
      <c r="E39" s="684"/>
    </row>
    <row r="40">
      <c r="A40" s="44">
        <v>39.0</v>
      </c>
      <c r="B40" s="51"/>
      <c r="C40" s="45" t="s">
        <v>107</v>
      </c>
      <c r="D40" s="684"/>
      <c r="E40" s="684"/>
    </row>
    <row r="41">
      <c r="A41" s="44">
        <v>40.0</v>
      </c>
      <c r="B41" s="51"/>
      <c r="C41" s="45" t="s">
        <v>109</v>
      </c>
      <c r="D41" s="684"/>
      <c r="E41" s="684"/>
    </row>
    <row r="42">
      <c r="A42" s="44">
        <v>41.0</v>
      </c>
      <c r="B42" s="51"/>
      <c r="C42" s="45" t="s">
        <v>111</v>
      </c>
      <c r="D42" s="684"/>
      <c r="E42" s="684"/>
    </row>
    <row r="43">
      <c r="A43" s="44">
        <v>42.0</v>
      </c>
      <c r="B43" s="51"/>
      <c r="C43" s="45" t="s">
        <v>113</v>
      </c>
      <c r="D43" s="684"/>
      <c r="E43" s="684"/>
    </row>
    <row r="44">
      <c r="A44" s="44">
        <v>43.0</v>
      </c>
      <c r="B44" s="45" t="s">
        <v>115</v>
      </c>
      <c r="C44" s="45" t="s">
        <v>116</v>
      </c>
      <c r="D44" s="684"/>
      <c r="E44" s="684"/>
    </row>
    <row r="45">
      <c r="A45" s="44">
        <v>44.0</v>
      </c>
      <c r="B45" s="51"/>
      <c r="C45" s="45" t="s">
        <v>118</v>
      </c>
      <c r="D45" s="684"/>
      <c r="E45" s="684"/>
    </row>
    <row r="46">
      <c r="A46" s="44">
        <v>45.0</v>
      </c>
      <c r="B46" s="51"/>
      <c r="C46" s="45" t="s">
        <v>120</v>
      </c>
      <c r="D46" s="684"/>
      <c r="E46" s="684"/>
    </row>
    <row r="47">
      <c r="A47" s="44">
        <v>46.0</v>
      </c>
      <c r="B47" s="51"/>
      <c r="C47" s="45" t="s">
        <v>122</v>
      </c>
      <c r="D47" s="684"/>
      <c r="E47" s="684"/>
    </row>
    <row r="48">
      <c r="A48" s="44">
        <v>47.0</v>
      </c>
      <c r="B48" s="51"/>
      <c r="C48" s="45" t="s">
        <v>123</v>
      </c>
      <c r="D48" s="684"/>
      <c r="E48" s="684"/>
    </row>
    <row r="49">
      <c r="A49" s="44">
        <v>48.0</v>
      </c>
      <c r="B49" s="51"/>
      <c r="C49" s="45" t="s">
        <v>125</v>
      </c>
      <c r="D49" s="684"/>
      <c r="E49" s="684"/>
    </row>
    <row r="50">
      <c r="A50" s="44">
        <v>49.0</v>
      </c>
      <c r="B50" s="51"/>
      <c r="C50" s="45" t="s">
        <v>127</v>
      </c>
      <c r="D50" s="684"/>
      <c r="E50" s="684"/>
    </row>
    <row r="51">
      <c r="A51" s="44">
        <v>50.0</v>
      </c>
      <c r="B51" s="51"/>
      <c r="C51" s="45" t="s">
        <v>129</v>
      </c>
      <c r="D51" s="684"/>
      <c r="E51" s="684"/>
    </row>
    <row r="52">
      <c r="A52" s="44">
        <v>51.0</v>
      </c>
      <c r="B52" s="45" t="s">
        <v>131</v>
      </c>
      <c r="C52" s="45" t="s">
        <v>132</v>
      </c>
      <c r="D52" s="684"/>
      <c r="E52" s="684"/>
    </row>
    <row r="53">
      <c r="A53" s="44">
        <v>52.0</v>
      </c>
      <c r="B53" s="51"/>
      <c r="C53" s="45" t="s">
        <v>134</v>
      </c>
      <c r="D53" s="684"/>
      <c r="E53" s="684"/>
    </row>
    <row r="54">
      <c r="A54" s="44">
        <v>53.0</v>
      </c>
      <c r="B54" s="51"/>
      <c r="C54" s="45" t="s">
        <v>136</v>
      </c>
      <c r="D54" s="684"/>
      <c r="E54" s="684"/>
    </row>
    <row r="55">
      <c r="A55" s="44">
        <v>54.0</v>
      </c>
      <c r="B55" s="51"/>
      <c r="C55" s="45" t="s">
        <v>137</v>
      </c>
      <c r="D55" s="684"/>
      <c r="E55" s="684"/>
    </row>
    <row r="56">
      <c r="A56" s="44">
        <v>55.0</v>
      </c>
      <c r="B56" s="51"/>
      <c r="C56" s="45" t="s">
        <v>139</v>
      </c>
      <c r="D56" s="684"/>
      <c r="E56" s="684"/>
    </row>
    <row r="57">
      <c r="A57" s="44">
        <v>56.0</v>
      </c>
      <c r="B57" s="51"/>
      <c r="C57" s="45" t="s">
        <v>141</v>
      </c>
      <c r="D57" s="684"/>
      <c r="E57" s="684"/>
    </row>
    <row r="58">
      <c r="A58" s="44">
        <v>57.0</v>
      </c>
      <c r="B58" s="51"/>
      <c r="C58" s="45" t="s">
        <v>143</v>
      </c>
      <c r="D58" s="684"/>
      <c r="E58" s="684"/>
    </row>
    <row r="59">
      <c r="A59" s="44">
        <v>58.0</v>
      </c>
      <c r="B59" s="51"/>
      <c r="C59" s="45" t="s">
        <v>144</v>
      </c>
      <c r="D59" s="684"/>
      <c r="E59" s="684"/>
    </row>
    <row r="60">
      <c r="A60" s="44">
        <v>59.0</v>
      </c>
      <c r="B60" s="51"/>
      <c r="C60" s="45" t="s">
        <v>146</v>
      </c>
      <c r="D60" s="684"/>
      <c r="E60" s="684"/>
    </row>
    <row r="61">
      <c r="A61" s="44">
        <v>60.0</v>
      </c>
      <c r="B61" s="51"/>
      <c r="C61" s="45" t="s">
        <v>147</v>
      </c>
      <c r="D61" s="684"/>
      <c r="E61" s="684"/>
    </row>
    <row r="62">
      <c r="A62" s="44">
        <v>61.0</v>
      </c>
      <c r="B62" s="51"/>
      <c r="C62" s="45" t="s">
        <v>149</v>
      </c>
      <c r="D62" s="684"/>
      <c r="E62" s="684"/>
    </row>
    <row r="63">
      <c r="A63" s="44">
        <v>62.0</v>
      </c>
      <c r="B63" s="51"/>
      <c r="C63" s="45" t="s">
        <v>151</v>
      </c>
      <c r="D63" s="684"/>
      <c r="E63" s="684"/>
    </row>
    <row r="64">
      <c r="A64" s="44">
        <v>63.0</v>
      </c>
      <c r="B64" s="51"/>
      <c r="C64" s="45" t="s">
        <v>153</v>
      </c>
      <c r="D64" s="684"/>
      <c r="E64" s="684"/>
    </row>
    <row r="65">
      <c r="A65" s="44">
        <v>64.0</v>
      </c>
      <c r="B65" s="45" t="s">
        <v>156</v>
      </c>
      <c r="C65" s="45" t="s">
        <v>157</v>
      </c>
      <c r="D65" s="684"/>
      <c r="E65" s="684"/>
    </row>
    <row r="66">
      <c r="A66" s="44">
        <v>65.0</v>
      </c>
      <c r="B66" s="51"/>
      <c r="C66" s="45" t="s">
        <v>160</v>
      </c>
      <c r="D66" s="684"/>
      <c r="E66" s="684"/>
    </row>
    <row r="67">
      <c r="A67" s="44">
        <v>66.0</v>
      </c>
      <c r="B67" s="51"/>
      <c r="C67" s="45" t="s">
        <v>162</v>
      </c>
      <c r="D67" s="684"/>
      <c r="E67" s="684"/>
    </row>
    <row r="68">
      <c r="A68" s="44">
        <v>67.0</v>
      </c>
      <c r="B68" s="51"/>
      <c r="C68" s="45" t="s">
        <v>164</v>
      </c>
      <c r="D68" s="684"/>
      <c r="E68" s="684"/>
    </row>
    <row r="69">
      <c r="A69" s="44">
        <v>68.0</v>
      </c>
      <c r="B69" s="45" t="s">
        <v>166</v>
      </c>
      <c r="C69" s="45" t="s">
        <v>167</v>
      </c>
      <c r="D69" s="684"/>
      <c r="E69" s="684"/>
    </row>
    <row r="70">
      <c r="A70" s="44">
        <v>69.0</v>
      </c>
      <c r="B70" s="51"/>
      <c r="C70" s="45" t="s">
        <v>169</v>
      </c>
      <c r="D70" s="684"/>
      <c r="E70" s="684"/>
    </row>
    <row r="71">
      <c r="A71" s="44">
        <v>70.0</v>
      </c>
      <c r="B71" s="51"/>
      <c r="C71" s="45" t="s">
        <v>171</v>
      </c>
      <c r="D71" s="684"/>
      <c r="E71" s="684"/>
    </row>
    <row r="72">
      <c r="A72" s="44">
        <v>71.0</v>
      </c>
      <c r="B72" s="51"/>
      <c r="C72" s="45" t="s">
        <v>173</v>
      </c>
      <c r="D72" s="684"/>
      <c r="E72" s="684"/>
    </row>
    <row r="73">
      <c r="A73" s="44">
        <v>72.0</v>
      </c>
      <c r="B73" s="51"/>
      <c r="C73" s="45" t="s">
        <v>175</v>
      </c>
      <c r="D73" s="684"/>
      <c r="E73" s="684"/>
    </row>
    <row r="74">
      <c r="A74" s="44">
        <v>73.0</v>
      </c>
      <c r="B74" s="51"/>
      <c r="C74" s="45" t="s">
        <v>177</v>
      </c>
      <c r="D74" s="684"/>
      <c r="E74" s="684"/>
    </row>
    <row r="75">
      <c r="A75" s="44">
        <v>74.0</v>
      </c>
      <c r="B75" s="51"/>
      <c r="C75" s="45" t="s">
        <v>179</v>
      </c>
      <c r="D75" s="684"/>
      <c r="E75" s="684"/>
    </row>
    <row r="76">
      <c r="A76" s="44">
        <v>75.0</v>
      </c>
      <c r="B76" s="51"/>
      <c r="C76" s="45" t="s">
        <v>181</v>
      </c>
      <c r="D76" s="684"/>
      <c r="E76" s="684"/>
    </row>
    <row r="77">
      <c r="A77" s="44">
        <v>76.0</v>
      </c>
      <c r="B77" s="51"/>
      <c r="C77" s="45" t="s">
        <v>184</v>
      </c>
      <c r="D77" s="684"/>
      <c r="E77" s="684"/>
    </row>
    <row r="78">
      <c r="A78" s="44">
        <v>77.0</v>
      </c>
      <c r="B78" s="45" t="s">
        <v>186</v>
      </c>
      <c r="C78" s="45" t="s">
        <v>187</v>
      </c>
      <c r="D78" s="684"/>
      <c r="E78" s="684"/>
    </row>
    <row r="79">
      <c r="A79" s="44">
        <v>78.0</v>
      </c>
      <c r="B79" s="51"/>
      <c r="C79" s="45" t="s">
        <v>189</v>
      </c>
      <c r="D79" s="684"/>
      <c r="E79" s="684"/>
    </row>
    <row r="80">
      <c r="A80" s="44">
        <v>79.0</v>
      </c>
      <c r="B80" s="51"/>
      <c r="C80" s="45" t="s">
        <v>190</v>
      </c>
      <c r="D80" s="684"/>
      <c r="E80" s="684"/>
    </row>
    <row r="81">
      <c r="A81" s="44">
        <v>80.0</v>
      </c>
      <c r="B81" s="51"/>
      <c r="C81" s="45" t="s">
        <v>191</v>
      </c>
      <c r="D81" s="684"/>
      <c r="E81" s="684"/>
    </row>
    <row r="82">
      <c r="A82" s="44">
        <v>81.0</v>
      </c>
      <c r="B82" s="51"/>
      <c r="C82" s="45" t="s">
        <v>193</v>
      </c>
      <c r="D82" s="684"/>
      <c r="E82" s="684"/>
    </row>
    <row r="83">
      <c r="A83" s="44">
        <v>82.0</v>
      </c>
      <c r="B83" s="51"/>
      <c r="C83" s="45" t="s">
        <v>194</v>
      </c>
      <c r="D83" s="684"/>
      <c r="E83" s="684"/>
    </row>
    <row r="84">
      <c r="A84" s="44">
        <v>83.0</v>
      </c>
      <c r="B84" s="51"/>
      <c r="C84" s="45" t="s">
        <v>196</v>
      </c>
      <c r="D84" s="684"/>
      <c r="E84" s="684"/>
    </row>
    <row r="85">
      <c r="A85" s="44">
        <v>84.0</v>
      </c>
      <c r="B85" s="51"/>
      <c r="C85" s="45" t="s">
        <v>198</v>
      </c>
      <c r="D85" s="684"/>
      <c r="E85" s="684"/>
    </row>
    <row r="86">
      <c r="A86" s="44">
        <v>85.0</v>
      </c>
      <c r="B86" s="51"/>
      <c r="C86" s="45" t="s">
        <v>200</v>
      </c>
      <c r="D86" s="684"/>
      <c r="E86" s="684"/>
    </row>
    <row r="87">
      <c r="A87" s="44">
        <v>86.0</v>
      </c>
      <c r="B87" s="51"/>
      <c r="C87" s="45" t="s">
        <v>202</v>
      </c>
      <c r="D87" s="684"/>
      <c r="E87" s="684"/>
    </row>
    <row r="88">
      <c r="A88" s="44">
        <v>87.0</v>
      </c>
      <c r="B88" s="51"/>
      <c r="C88" s="45" t="s">
        <v>203</v>
      </c>
      <c r="D88" s="684"/>
      <c r="E88" s="684"/>
    </row>
    <row r="89">
      <c r="A89" s="44">
        <v>88.0</v>
      </c>
      <c r="B89" s="51"/>
      <c r="C89" s="45" t="s">
        <v>205</v>
      </c>
      <c r="D89" s="684"/>
      <c r="E89" s="684"/>
    </row>
    <row r="90">
      <c r="A90" s="44">
        <v>89.0</v>
      </c>
      <c r="B90" s="51"/>
      <c r="C90" s="45" t="s">
        <v>206</v>
      </c>
      <c r="D90" s="684"/>
      <c r="E90" s="684"/>
    </row>
    <row r="91">
      <c r="A91" s="44">
        <v>90.0</v>
      </c>
      <c r="B91" s="51"/>
      <c r="C91" s="45" t="s">
        <v>209</v>
      </c>
      <c r="D91" s="684"/>
      <c r="E91" s="684"/>
    </row>
    <row r="92">
      <c r="A92" s="44">
        <v>91.0</v>
      </c>
      <c r="B92" s="51"/>
      <c r="C92" s="45" t="s">
        <v>211</v>
      </c>
      <c r="D92" s="684"/>
      <c r="E92" s="684"/>
    </row>
    <row r="93">
      <c r="A93" s="44">
        <v>92.0</v>
      </c>
      <c r="B93" s="45" t="s">
        <v>213</v>
      </c>
      <c r="C93" s="45" t="s">
        <v>214</v>
      </c>
      <c r="D93" s="684"/>
      <c r="E93" s="684"/>
    </row>
    <row r="94">
      <c r="A94" s="44">
        <v>93.0</v>
      </c>
      <c r="B94" s="45"/>
      <c r="C94" s="45" t="s">
        <v>217</v>
      </c>
      <c r="D94" s="684"/>
      <c r="E94" s="684"/>
    </row>
    <row r="95">
      <c r="A95" s="44">
        <v>94.0</v>
      </c>
      <c r="B95" s="51"/>
      <c r="C95" s="45" t="s">
        <v>219</v>
      </c>
      <c r="D95" s="684"/>
      <c r="E95" s="684"/>
    </row>
    <row r="96">
      <c r="A96" s="89">
        <v>95.0</v>
      </c>
      <c r="B96" s="90"/>
      <c r="C96" s="45" t="s">
        <v>221</v>
      </c>
      <c r="D96" s="684"/>
      <c r="E96" s="684"/>
    </row>
    <row r="97">
      <c r="A97" s="89">
        <v>96.0</v>
      </c>
      <c r="B97" s="90"/>
      <c r="C97" s="45" t="s">
        <v>225</v>
      </c>
      <c r="D97" s="684"/>
      <c r="E97" s="684"/>
    </row>
    <row r="98">
      <c r="A98" s="89">
        <v>97.0</v>
      </c>
      <c r="B98" s="90"/>
      <c r="C98" s="45" t="s">
        <v>228</v>
      </c>
      <c r="D98" s="684"/>
      <c r="E98" s="684"/>
    </row>
    <row r="99">
      <c r="A99" s="44">
        <v>98.0</v>
      </c>
      <c r="B99" s="51"/>
      <c r="C99" s="45" t="s">
        <v>232</v>
      </c>
      <c r="D99" s="684"/>
      <c r="E99" s="684"/>
    </row>
    <row r="100">
      <c r="A100" s="44">
        <v>99.0</v>
      </c>
      <c r="B100" s="51"/>
      <c r="C100" s="45" t="s">
        <v>235</v>
      </c>
      <c r="D100" s="684"/>
      <c r="E100" s="684"/>
    </row>
    <row r="101">
      <c r="A101" s="44">
        <v>100.0</v>
      </c>
      <c r="B101" s="51"/>
      <c r="C101" s="45" t="s">
        <v>238</v>
      </c>
      <c r="D101" s="684"/>
      <c r="E101" s="684"/>
    </row>
    <row r="102">
      <c r="A102" s="44">
        <v>101.0</v>
      </c>
      <c r="B102" s="51"/>
      <c r="C102" s="45" t="s">
        <v>241</v>
      </c>
      <c r="D102" s="684"/>
      <c r="E102" s="684"/>
    </row>
    <row r="103">
      <c r="A103" s="44">
        <v>102.0</v>
      </c>
      <c r="B103" s="51"/>
      <c r="C103" s="45" t="s">
        <v>243</v>
      </c>
      <c r="D103" s="684"/>
      <c r="E103" s="684"/>
    </row>
    <row r="104">
      <c r="A104" s="44">
        <v>103.0</v>
      </c>
      <c r="B104" s="51"/>
      <c r="C104" s="45" t="s">
        <v>245</v>
      </c>
      <c r="D104" s="684"/>
      <c r="E104" s="684"/>
    </row>
    <row r="105">
      <c r="A105" s="44">
        <v>104.0</v>
      </c>
      <c r="B105" s="51"/>
      <c r="C105" s="45" t="s">
        <v>247</v>
      </c>
      <c r="D105" s="684"/>
      <c r="E105" s="684"/>
    </row>
    <row r="106">
      <c r="A106" s="44">
        <v>105.0</v>
      </c>
      <c r="B106" s="51"/>
      <c r="C106" s="45" t="s">
        <v>249</v>
      </c>
      <c r="D106" s="684"/>
      <c r="E106" s="684"/>
    </row>
    <row r="107">
      <c r="A107" s="44">
        <v>106.0</v>
      </c>
      <c r="B107" s="51"/>
      <c r="C107" s="45" t="s">
        <v>252</v>
      </c>
      <c r="D107" s="684"/>
      <c r="E107" s="684"/>
    </row>
    <row r="108">
      <c r="A108" s="44">
        <v>107.0</v>
      </c>
      <c r="B108" s="51"/>
      <c r="C108" s="45" t="s">
        <v>254</v>
      </c>
      <c r="D108" s="684"/>
      <c r="E108" s="684"/>
    </row>
    <row r="109">
      <c r="A109" s="44">
        <v>108.0</v>
      </c>
      <c r="B109" s="51"/>
      <c r="C109" s="45" t="s">
        <v>256</v>
      </c>
      <c r="D109" s="684"/>
      <c r="E109" s="684"/>
    </row>
    <row r="110">
      <c r="A110" s="44">
        <v>109.0</v>
      </c>
      <c r="B110" s="51"/>
      <c r="C110" s="45" t="s">
        <v>258</v>
      </c>
      <c r="D110" s="684"/>
      <c r="E110" s="684"/>
    </row>
    <row r="111">
      <c r="A111" s="44">
        <v>110.0</v>
      </c>
      <c r="B111" s="51"/>
      <c r="C111" s="45" t="s">
        <v>260</v>
      </c>
      <c r="D111" s="684"/>
      <c r="E111" s="684"/>
    </row>
    <row r="112">
      <c r="A112" s="44">
        <v>111.0</v>
      </c>
      <c r="B112" s="51"/>
      <c r="C112" s="45" t="s">
        <v>263</v>
      </c>
      <c r="D112" s="684"/>
      <c r="E112" s="684"/>
    </row>
    <row r="113">
      <c r="A113" s="44">
        <v>112.0</v>
      </c>
      <c r="B113" s="51"/>
      <c r="C113" s="45" t="s">
        <v>265</v>
      </c>
      <c r="D113" s="684"/>
      <c r="E113" s="684"/>
    </row>
    <row r="114">
      <c r="A114" s="44">
        <v>113.0</v>
      </c>
      <c r="B114" s="51"/>
      <c r="C114" s="45" t="s">
        <v>268</v>
      </c>
      <c r="D114" s="684"/>
      <c r="E114" s="684"/>
    </row>
    <row r="115">
      <c r="A115" s="44">
        <v>114.0</v>
      </c>
      <c r="B115" s="51"/>
      <c r="C115" s="105" t="s">
        <v>271</v>
      </c>
      <c r="D115" s="684"/>
      <c r="E115" s="684"/>
    </row>
    <row r="116">
      <c r="A116" s="44">
        <v>115.0</v>
      </c>
      <c r="B116" s="51"/>
      <c r="C116" s="45" t="s">
        <v>274</v>
      </c>
      <c r="D116" s="684"/>
      <c r="E116" s="684"/>
    </row>
    <row r="117">
      <c r="A117" s="44">
        <v>116.0</v>
      </c>
      <c r="B117" s="51"/>
      <c r="C117" s="45" t="s">
        <v>277</v>
      </c>
      <c r="D117" s="684"/>
      <c r="E117" s="684"/>
    </row>
    <row r="118">
      <c r="A118" s="44">
        <v>117.0</v>
      </c>
      <c r="B118" s="51"/>
      <c r="C118" s="45" t="s">
        <v>279</v>
      </c>
      <c r="D118" s="684"/>
      <c r="E118" s="684"/>
    </row>
    <row r="119">
      <c r="A119" s="44">
        <v>118.0</v>
      </c>
      <c r="B119" s="45" t="s">
        <v>281</v>
      </c>
      <c r="C119" s="45" t="s">
        <v>282</v>
      </c>
      <c r="D119" s="684"/>
      <c r="E119" s="684"/>
    </row>
    <row r="120">
      <c r="A120" s="44">
        <v>119.0</v>
      </c>
      <c r="B120" s="51"/>
      <c r="C120" s="45" t="s">
        <v>284</v>
      </c>
      <c r="D120" s="684"/>
      <c r="E120" s="684"/>
    </row>
    <row r="121">
      <c r="A121" s="44">
        <v>120.0</v>
      </c>
      <c r="B121" s="51"/>
      <c r="C121" s="45" t="s">
        <v>286</v>
      </c>
      <c r="D121" s="684"/>
      <c r="E121" s="684"/>
    </row>
    <row r="122">
      <c r="A122" s="44">
        <v>121.0</v>
      </c>
      <c r="B122" s="51"/>
      <c r="C122" s="45" t="s">
        <v>288</v>
      </c>
      <c r="D122" s="684"/>
      <c r="E122" s="684"/>
    </row>
    <row r="123">
      <c r="A123" s="44">
        <v>122.0</v>
      </c>
      <c r="B123" s="45" t="s">
        <v>290</v>
      </c>
      <c r="C123" s="45" t="s">
        <v>291</v>
      </c>
      <c r="D123" s="684"/>
      <c r="E123" s="684"/>
    </row>
    <row r="124">
      <c r="A124" s="44">
        <v>123.0</v>
      </c>
      <c r="B124" s="51"/>
      <c r="C124" s="45" t="s">
        <v>293</v>
      </c>
      <c r="D124" s="684"/>
      <c r="E124" s="684"/>
    </row>
    <row r="125">
      <c r="A125" s="44">
        <v>124.0</v>
      </c>
      <c r="B125" s="51"/>
      <c r="C125" s="45" t="s">
        <v>295</v>
      </c>
      <c r="D125" s="684"/>
      <c r="E125" s="684"/>
    </row>
    <row r="126">
      <c r="A126" s="44">
        <v>125.0</v>
      </c>
      <c r="B126" s="51"/>
      <c r="C126" s="45" t="s">
        <v>297</v>
      </c>
      <c r="D126" s="684"/>
      <c r="E126" s="684"/>
    </row>
    <row r="127">
      <c r="A127" s="44">
        <v>126.0</v>
      </c>
      <c r="B127" s="51"/>
      <c r="C127" s="45" t="s">
        <v>300</v>
      </c>
      <c r="D127" s="684"/>
      <c r="E127" s="684"/>
    </row>
    <row r="128">
      <c r="A128" s="44">
        <v>127.0</v>
      </c>
      <c r="B128" s="51"/>
      <c r="C128" s="45" t="s">
        <v>302</v>
      </c>
      <c r="D128" s="684"/>
      <c r="E128" s="684"/>
    </row>
    <row r="129">
      <c r="A129" s="44">
        <v>128.0</v>
      </c>
      <c r="B129" s="51"/>
      <c r="C129" s="45" t="s">
        <v>304</v>
      </c>
      <c r="D129" s="684"/>
      <c r="E129" s="684"/>
    </row>
    <row r="130">
      <c r="A130" s="44">
        <v>129.0</v>
      </c>
      <c r="B130" s="51"/>
      <c r="C130" s="45" t="s">
        <v>306</v>
      </c>
      <c r="D130" s="684"/>
      <c r="E130" s="684"/>
    </row>
    <row r="131">
      <c r="A131" s="44">
        <v>130.0</v>
      </c>
      <c r="B131" s="51"/>
      <c r="C131" s="45" t="s">
        <v>309</v>
      </c>
      <c r="D131" s="684"/>
      <c r="E131" s="684"/>
    </row>
    <row r="132">
      <c r="A132" s="44">
        <v>131.0</v>
      </c>
      <c r="B132" s="51"/>
      <c r="C132" s="45" t="s">
        <v>311</v>
      </c>
      <c r="D132" s="684"/>
      <c r="E132" s="684"/>
    </row>
    <row r="133">
      <c r="A133" s="44">
        <v>132.0</v>
      </c>
      <c r="B133" s="51"/>
      <c r="C133" s="45" t="s">
        <v>313</v>
      </c>
      <c r="D133" s="684"/>
      <c r="E133" s="684"/>
    </row>
    <row r="134">
      <c r="A134" s="44">
        <v>133.0</v>
      </c>
      <c r="B134" s="51"/>
      <c r="C134" s="45" t="s">
        <v>315</v>
      </c>
      <c r="D134" s="684"/>
      <c r="E134" s="684"/>
    </row>
    <row r="135">
      <c r="A135" s="44">
        <v>134.0</v>
      </c>
      <c r="B135" s="51"/>
      <c r="C135" s="45" t="s">
        <v>317</v>
      </c>
      <c r="D135" s="684"/>
      <c r="E135" s="684"/>
    </row>
    <row r="136">
      <c r="A136" s="44">
        <v>135.0</v>
      </c>
      <c r="B136" s="51"/>
      <c r="C136" s="45" t="s">
        <v>319</v>
      </c>
      <c r="D136" s="684"/>
      <c r="E136" s="684"/>
    </row>
    <row r="137">
      <c r="A137" s="44">
        <v>136.0</v>
      </c>
      <c r="B137" s="51"/>
      <c r="C137" s="45" t="s">
        <v>321</v>
      </c>
      <c r="D137" s="684"/>
      <c r="E137" s="684"/>
    </row>
    <row r="138">
      <c r="A138" s="44">
        <v>137.0</v>
      </c>
      <c r="B138" s="51"/>
      <c r="C138" s="45" t="s">
        <v>323</v>
      </c>
      <c r="D138" s="684"/>
      <c r="E138" s="684"/>
    </row>
    <row r="139">
      <c r="A139" s="44">
        <v>138.0</v>
      </c>
      <c r="B139" s="51"/>
      <c r="C139" s="45" t="s">
        <v>325</v>
      </c>
      <c r="D139" s="684"/>
      <c r="E139" s="684"/>
    </row>
    <row r="140">
      <c r="A140" s="44">
        <v>139.0</v>
      </c>
      <c r="B140" s="51"/>
      <c r="C140" s="45" t="s">
        <v>327</v>
      </c>
      <c r="D140" s="684"/>
      <c r="E140" s="684"/>
    </row>
    <row r="141">
      <c r="A141" s="44">
        <v>140.0</v>
      </c>
      <c r="B141" s="51"/>
      <c r="C141" s="45" t="s">
        <v>328</v>
      </c>
      <c r="D141" s="684"/>
      <c r="E141" s="684"/>
    </row>
    <row r="142">
      <c r="A142" s="44">
        <v>141.0</v>
      </c>
      <c r="B142" s="51"/>
      <c r="C142" s="45" t="s">
        <v>330</v>
      </c>
      <c r="D142" s="684"/>
      <c r="E142" s="684"/>
    </row>
    <row r="143">
      <c r="A143" s="44">
        <v>142.0</v>
      </c>
      <c r="B143" s="51"/>
      <c r="C143" s="45" t="s">
        <v>332</v>
      </c>
      <c r="D143" s="684"/>
      <c r="E143" s="684"/>
    </row>
    <row r="144">
      <c r="A144" s="44">
        <v>143.0</v>
      </c>
      <c r="B144" s="45" t="s">
        <v>334</v>
      </c>
      <c r="C144" s="45" t="s">
        <v>335</v>
      </c>
      <c r="D144" s="684"/>
      <c r="E144" s="684"/>
    </row>
    <row r="145">
      <c r="A145" s="44">
        <v>144.0</v>
      </c>
      <c r="B145" s="51"/>
      <c r="C145" s="45" t="s">
        <v>337</v>
      </c>
      <c r="D145" s="684"/>
      <c r="E145" s="684"/>
    </row>
    <row r="146">
      <c r="A146" s="44">
        <v>145.0</v>
      </c>
      <c r="B146" s="51"/>
      <c r="C146" s="45" t="s">
        <v>339</v>
      </c>
      <c r="D146" s="684"/>
      <c r="E146" s="684"/>
    </row>
    <row r="147">
      <c r="A147" s="44">
        <v>146.0</v>
      </c>
      <c r="B147" s="45" t="s">
        <v>341</v>
      </c>
      <c r="C147" s="45" t="s">
        <v>342</v>
      </c>
      <c r="D147" s="684"/>
      <c r="E147" s="684"/>
    </row>
    <row r="148">
      <c r="A148" s="44">
        <v>147.0</v>
      </c>
      <c r="B148" s="51"/>
      <c r="C148" s="45" t="s">
        <v>344</v>
      </c>
      <c r="D148" s="684"/>
      <c r="E148" s="684"/>
    </row>
    <row r="149">
      <c r="A149" s="44">
        <v>148.0</v>
      </c>
      <c r="B149" s="51"/>
      <c r="C149" s="45" t="s">
        <v>346</v>
      </c>
      <c r="D149" s="684"/>
      <c r="E149" s="684"/>
    </row>
    <row r="150">
      <c r="A150" s="44">
        <v>149.0</v>
      </c>
      <c r="B150" s="51"/>
      <c r="C150" s="45" t="s">
        <v>348</v>
      </c>
      <c r="D150" s="684"/>
      <c r="E150" s="684"/>
    </row>
    <row r="151">
      <c r="A151" s="44">
        <v>150.0</v>
      </c>
      <c r="B151" s="45" t="s">
        <v>349</v>
      </c>
      <c r="C151" s="45" t="s">
        <v>350</v>
      </c>
      <c r="D151" s="684"/>
      <c r="E151" s="684"/>
    </row>
    <row r="152">
      <c r="A152" s="44">
        <v>151.0</v>
      </c>
      <c r="B152" s="51"/>
      <c r="C152" s="45" t="s">
        <v>352</v>
      </c>
      <c r="D152" s="684"/>
      <c r="E152" s="684"/>
    </row>
    <row r="153">
      <c r="A153" s="44">
        <v>152.0</v>
      </c>
      <c r="B153" s="51"/>
      <c r="C153" s="45" t="s">
        <v>354</v>
      </c>
      <c r="D153" s="684"/>
      <c r="E153" s="684"/>
    </row>
    <row r="154">
      <c r="A154" s="44">
        <v>153.0</v>
      </c>
      <c r="B154" s="51"/>
      <c r="C154" s="45" t="s">
        <v>356</v>
      </c>
      <c r="D154" s="684"/>
      <c r="E154" s="684"/>
    </row>
    <row r="155">
      <c r="A155" s="44">
        <v>154.0</v>
      </c>
      <c r="B155" s="51"/>
      <c r="C155" s="45" t="s">
        <v>357</v>
      </c>
      <c r="D155" s="684"/>
      <c r="E155" s="684"/>
    </row>
    <row r="156">
      <c r="A156" s="44">
        <v>155.0</v>
      </c>
      <c r="B156" s="51"/>
      <c r="C156" s="45" t="s">
        <v>359</v>
      </c>
      <c r="D156" s="684"/>
      <c r="E156" s="684"/>
    </row>
    <row r="157">
      <c r="A157" s="44">
        <v>156.0</v>
      </c>
      <c r="B157" s="51"/>
      <c r="C157" s="45" t="s">
        <v>361</v>
      </c>
      <c r="D157" s="684"/>
      <c r="E157" s="684"/>
    </row>
    <row r="158">
      <c r="A158" s="44">
        <v>157.0</v>
      </c>
      <c r="B158" s="51"/>
      <c r="C158" s="45" t="s">
        <v>363</v>
      </c>
      <c r="D158" s="684"/>
      <c r="E158" s="684"/>
    </row>
    <row r="159">
      <c r="A159" s="44">
        <v>158.0</v>
      </c>
      <c r="B159" s="116" t="s">
        <v>365</v>
      </c>
      <c r="C159" s="45" t="s">
        <v>366</v>
      </c>
      <c r="D159" s="684"/>
      <c r="E159" s="684"/>
    </row>
    <row r="160">
      <c r="A160" s="44">
        <v>159.0</v>
      </c>
      <c r="B160" s="51"/>
      <c r="C160" s="45" t="s">
        <v>368</v>
      </c>
      <c r="D160" s="684"/>
      <c r="E160" s="684"/>
    </row>
    <row r="161">
      <c r="A161" s="44">
        <v>160.0</v>
      </c>
      <c r="B161" s="51"/>
      <c r="C161" s="45" t="s">
        <v>371</v>
      </c>
      <c r="D161" s="684"/>
      <c r="E161" s="684"/>
    </row>
    <row r="162">
      <c r="A162" s="44">
        <v>161.0</v>
      </c>
      <c r="B162" s="51"/>
      <c r="C162" s="45" t="s">
        <v>373</v>
      </c>
      <c r="D162" s="684"/>
      <c r="E162" s="684"/>
    </row>
    <row r="163">
      <c r="A163" s="44">
        <v>162.0</v>
      </c>
      <c r="B163" s="51"/>
      <c r="C163" s="45" t="s">
        <v>375</v>
      </c>
      <c r="D163" s="684"/>
      <c r="E163" s="684"/>
    </row>
    <row r="164">
      <c r="A164" s="44">
        <v>163.0</v>
      </c>
      <c r="B164" s="51"/>
      <c r="C164" s="45" t="s">
        <v>377</v>
      </c>
      <c r="D164" s="684"/>
      <c r="E164" s="684"/>
    </row>
    <row r="165">
      <c r="A165" s="44">
        <v>164.0</v>
      </c>
      <c r="B165" s="51"/>
      <c r="C165" s="45" t="s">
        <v>379</v>
      </c>
      <c r="D165" s="684"/>
      <c r="E165" s="684"/>
    </row>
    <row r="166">
      <c r="A166" s="44">
        <v>165.0</v>
      </c>
      <c r="B166" s="51"/>
      <c r="C166" s="45" t="s">
        <v>381</v>
      </c>
      <c r="D166" s="684"/>
      <c r="E166" s="684"/>
    </row>
    <row r="167">
      <c r="A167" s="44">
        <v>166.0</v>
      </c>
      <c r="B167" s="51"/>
      <c r="C167" s="45" t="s">
        <v>383</v>
      </c>
      <c r="D167" s="684"/>
      <c r="E167" s="684"/>
    </row>
    <row r="168">
      <c r="A168" s="44">
        <v>167.0</v>
      </c>
      <c r="B168" s="51"/>
      <c r="C168" s="45" t="s">
        <v>384</v>
      </c>
      <c r="D168" s="684"/>
      <c r="E168" s="684"/>
    </row>
    <row r="169">
      <c r="A169" s="44">
        <v>168.0</v>
      </c>
      <c r="B169" s="51"/>
      <c r="C169" s="45" t="s">
        <v>386</v>
      </c>
      <c r="D169" s="684"/>
      <c r="E169" s="684"/>
    </row>
    <row r="170">
      <c r="A170" s="44">
        <v>169.0</v>
      </c>
      <c r="B170" s="51"/>
      <c r="C170" s="45" t="s">
        <v>387</v>
      </c>
      <c r="D170" s="684"/>
      <c r="E170" s="684"/>
    </row>
    <row r="171">
      <c r="A171" s="44">
        <v>170.0</v>
      </c>
      <c r="B171" s="51"/>
      <c r="C171" s="45" t="s">
        <v>389</v>
      </c>
      <c r="D171" s="684"/>
      <c r="E171" s="684"/>
    </row>
    <row r="172">
      <c r="A172" s="44">
        <v>171.0</v>
      </c>
      <c r="B172" s="116" t="s">
        <v>391</v>
      </c>
      <c r="C172" s="45" t="s">
        <v>392</v>
      </c>
      <c r="D172" s="684"/>
      <c r="E172" s="684"/>
    </row>
    <row r="173">
      <c r="A173" s="44">
        <v>172.0</v>
      </c>
      <c r="B173" s="51"/>
      <c r="C173" s="45" t="s">
        <v>395</v>
      </c>
      <c r="D173" s="684"/>
      <c r="E173" s="684"/>
    </row>
    <row r="174">
      <c r="A174" s="44">
        <v>173.0</v>
      </c>
      <c r="B174" s="51"/>
      <c r="C174" s="45" t="s">
        <v>398</v>
      </c>
      <c r="D174" s="684"/>
      <c r="E174" s="684"/>
    </row>
    <row r="175">
      <c r="A175" s="44">
        <v>174.0</v>
      </c>
      <c r="B175" s="51"/>
      <c r="C175" s="45" t="s">
        <v>400</v>
      </c>
      <c r="D175" s="684"/>
      <c r="E175" s="684"/>
    </row>
    <row r="176">
      <c r="A176" s="44">
        <v>175.0</v>
      </c>
      <c r="B176" s="51"/>
      <c r="C176" s="45" t="s">
        <v>402</v>
      </c>
      <c r="D176" s="684"/>
      <c r="E176" s="684"/>
    </row>
    <row r="177">
      <c r="A177" s="44">
        <v>176.0</v>
      </c>
      <c r="B177" s="51"/>
      <c r="C177" s="45" t="s">
        <v>403</v>
      </c>
      <c r="D177" s="684"/>
      <c r="E177" s="684"/>
    </row>
    <row r="178">
      <c r="A178" s="44">
        <v>177.0</v>
      </c>
      <c r="B178" s="51"/>
      <c r="C178" s="45" t="s">
        <v>405</v>
      </c>
      <c r="D178" s="684"/>
      <c r="E178" s="684"/>
    </row>
    <row r="179">
      <c r="A179" s="44">
        <v>178.0</v>
      </c>
      <c r="B179" s="51"/>
      <c r="C179" s="45" t="s">
        <v>407</v>
      </c>
      <c r="D179" s="684"/>
      <c r="E179" s="684"/>
    </row>
    <row r="180">
      <c r="A180" s="44">
        <v>179.0</v>
      </c>
      <c r="B180" s="51"/>
      <c r="C180" s="45" t="s">
        <v>408</v>
      </c>
      <c r="D180" s="684"/>
      <c r="E180" s="684"/>
    </row>
    <row r="181">
      <c r="A181" s="44">
        <v>180.0</v>
      </c>
      <c r="B181" s="45" t="s">
        <v>410</v>
      </c>
      <c r="C181" s="45" t="s">
        <v>411</v>
      </c>
      <c r="D181" s="684"/>
      <c r="E181" s="684"/>
    </row>
    <row r="182">
      <c r="A182" s="44">
        <v>181.0</v>
      </c>
      <c r="B182" s="51"/>
      <c r="C182" s="45" t="s">
        <v>412</v>
      </c>
      <c r="D182" s="684"/>
      <c r="E182" s="684"/>
    </row>
    <row r="183">
      <c r="A183" s="44">
        <v>182.0</v>
      </c>
      <c r="B183" s="51"/>
      <c r="C183" s="45" t="s">
        <v>414</v>
      </c>
      <c r="D183" s="684"/>
      <c r="E183" s="684"/>
    </row>
    <row r="184">
      <c r="A184" s="44">
        <v>183.0</v>
      </c>
      <c r="B184" s="51"/>
      <c r="C184" s="45" t="s">
        <v>415</v>
      </c>
      <c r="D184" s="684"/>
      <c r="E184" s="684"/>
    </row>
    <row r="185">
      <c r="A185" s="44">
        <v>184.0</v>
      </c>
      <c r="B185" s="51"/>
      <c r="C185" s="45" t="s">
        <v>416</v>
      </c>
      <c r="D185" s="684"/>
      <c r="E185" s="684"/>
    </row>
    <row r="186">
      <c r="A186" s="44">
        <v>185.0</v>
      </c>
      <c r="B186" s="51"/>
      <c r="C186" s="45" t="s">
        <v>418</v>
      </c>
      <c r="D186" s="684"/>
      <c r="E186" s="684"/>
    </row>
    <row r="187">
      <c r="A187" s="44">
        <v>186.0</v>
      </c>
      <c r="B187" s="45" t="s">
        <v>420</v>
      </c>
      <c r="C187" s="45" t="s">
        <v>421</v>
      </c>
      <c r="D187" s="684"/>
      <c r="E187" s="684"/>
    </row>
    <row r="188">
      <c r="A188" s="44">
        <v>187.0</v>
      </c>
      <c r="B188" s="51"/>
      <c r="C188" s="45" t="s">
        <v>423</v>
      </c>
      <c r="D188" s="684"/>
      <c r="E188" s="684"/>
    </row>
    <row r="189">
      <c r="A189" s="44">
        <v>188.0</v>
      </c>
      <c r="B189" s="51"/>
      <c r="C189" s="45" t="s">
        <v>425</v>
      </c>
      <c r="D189" s="684"/>
      <c r="E189" s="684"/>
    </row>
    <row r="190">
      <c r="A190" s="44">
        <v>189.0</v>
      </c>
      <c r="B190" s="45" t="s">
        <v>428</v>
      </c>
      <c r="C190" s="45" t="s">
        <v>429</v>
      </c>
      <c r="D190" s="684"/>
      <c r="E190" s="684"/>
    </row>
    <row r="191">
      <c r="A191" s="44">
        <v>190.0</v>
      </c>
      <c r="B191" s="45" t="s">
        <v>431</v>
      </c>
      <c r="C191" s="45" t="s">
        <v>432</v>
      </c>
      <c r="D191" s="684"/>
      <c r="E191" s="684"/>
    </row>
    <row r="192">
      <c r="A192" s="44">
        <v>191.0</v>
      </c>
      <c r="B192" s="51"/>
      <c r="C192" s="45" t="s">
        <v>434</v>
      </c>
      <c r="D192" s="684"/>
      <c r="E192" s="684"/>
    </row>
    <row r="193">
      <c r="A193" s="44">
        <v>192.0</v>
      </c>
      <c r="B193" s="51"/>
      <c r="C193" s="45" t="s">
        <v>436</v>
      </c>
      <c r="D193" s="684"/>
      <c r="E193" s="684"/>
    </row>
    <row r="194">
      <c r="A194" s="44">
        <v>193.0</v>
      </c>
      <c r="B194" s="51"/>
      <c r="C194" s="45" t="s">
        <v>438</v>
      </c>
      <c r="D194" s="684"/>
      <c r="E194" s="684"/>
    </row>
    <row r="195">
      <c r="A195" s="44">
        <v>194.0</v>
      </c>
      <c r="B195" s="51"/>
      <c r="C195" s="45" t="s">
        <v>440</v>
      </c>
      <c r="D195" s="684"/>
      <c r="E195" s="684"/>
    </row>
    <row r="196">
      <c r="A196" s="44">
        <v>195.0</v>
      </c>
      <c r="B196" s="45" t="s">
        <v>443</v>
      </c>
      <c r="C196" s="45" t="s">
        <v>444</v>
      </c>
      <c r="D196" s="684"/>
      <c r="E196" s="684"/>
    </row>
    <row r="197">
      <c r="A197" s="44">
        <v>196.0</v>
      </c>
      <c r="B197" s="51"/>
      <c r="C197" s="45" t="s">
        <v>445</v>
      </c>
      <c r="D197" s="684"/>
      <c r="E197" s="684"/>
    </row>
    <row r="198">
      <c r="A198" s="44">
        <v>197.0</v>
      </c>
      <c r="B198" s="45" t="s">
        <v>446</v>
      </c>
      <c r="C198" s="45" t="s">
        <v>447</v>
      </c>
      <c r="D198" s="684"/>
      <c r="E198" s="684"/>
    </row>
    <row r="199">
      <c r="A199" s="44">
        <v>198.0</v>
      </c>
      <c r="B199" s="45" t="s">
        <v>449</v>
      </c>
      <c r="C199" s="45" t="s">
        <v>450</v>
      </c>
      <c r="D199" s="684"/>
      <c r="E199" s="684"/>
    </row>
    <row r="200">
      <c r="A200" s="44">
        <v>199.0</v>
      </c>
      <c r="B200" s="51"/>
      <c r="C200" s="45" t="s">
        <v>452</v>
      </c>
      <c r="D200" s="684"/>
      <c r="E200" s="684"/>
    </row>
    <row r="201">
      <c r="A201" s="44">
        <v>200.0</v>
      </c>
      <c r="B201" s="45" t="s">
        <v>454</v>
      </c>
      <c r="C201" s="45" t="s">
        <v>455</v>
      </c>
      <c r="D201" s="684"/>
      <c r="E201" s="684"/>
    </row>
    <row r="202">
      <c r="A202" s="44">
        <v>201.0</v>
      </c>
      <c r="B202" s="51"/>
      <c r="C202" s="45" t="s">
        <v>457</v>
      </c>
      <c r="D202" s="684"/>
      <c r="E202" s="684"/>
    </row>
    <row r="203">
      <c r="A203" s="44">
        <v>202.0</v>
      </c>
      <c r="B203" s="45" t="s">
        <v>458</v>
      </c>
      <c r="C203" s="45" t="s">
        <v>459</v>
      </c>
      <c r="D203" s="684"/>
      <c r="E203" s="684"/>
    </row>
    <row r="204">
      <c r="A204" s="44">
        <v>203.0</v>
      </c>
      <c r="B204" s="45" t="s">
        <v>460</v>
      </c>
      <c r="C204" s="45" t="s">
        <v>461</v>
      </c>
      <c r="D204" s="684"/>
      <c r="E204" s="684"/>
    </row>
    <row r="205">
      <c r="A205" s="44">
        <v>204.0</v>
      </c>
      <c r="B205" s="51"/>
      <c r="C205" s="45" t="s">
        <v>464</v>
      </c>
      <c r="D205" s="684"/>
      <c r="E205" s="684"/>
    </row>
    <row r="206">
      <c r="A206" s="44">
        <v>205.0</v>
      </c>
      <c r="B206" s="45" t="s">
        <v>465</v>
      </c>
      <c r="C206" s="45" t="s">
        <v>466</v>
      </c>
      <c r="D206" s="684"/>
      <c r="E206" s="684"/>
    </row>
    <row r="207">
      <c r="A207" s="44">
        <v>206.0</v>
      </c>
      <c r="B207" s="51"/>
      <c r="C207" s="45" t="s">
        <v>467</v>
      </c>
      <c r="D207" s="684"/>
      <c r="E207" s="684"/>
    </row>
    <row r="208">
      <c r="A208" s="44">
        <v>207.0</v>
      </c>
      <c r="B208" s="51"/>
      <c r="C208" s="45" t="s">
        <v>468</v>
      </c>
      <c r="D208" s="684"/>
      <c r="E208" s="684"/>
    </row>
    <row r="209">
      <c r="A209" s="44">
        <v>208.0</v>
      </c>
      <c r="B209" s="45" t="s">
        <v>469</v>
      </c>
      <c r="C209" s="45" t="s">
        <v>470</v>
      </c>
      <c r="D209" s="684"/>
      <c r="E209" s="684"/>
    </row>
    <row r="210">
      <c r="A210" s="44">
        <v>209.0</v>
      </c>
      <c r="B210" s="51"/>
      <c r="C210" s="45" t="s">
        <v>471</v>
      </c>
      <c r="D210" s="684"/>
      <c r="E210" s="684"/>
    </row>
    <row r="211">
      <c r="A211" s="44">
        <v>210.0</v>
      </c>
      <c r="B211" s="51"/>
      <c r="C211" s="45" t="s">
        <v>473</v>
      </c>
      <c r="D211" s="684"/>
      <c r="E211" s="684"/>
    </row>
    <row r="212">
      <c r="A212" s="44">
        <v>211.0</v>
      </c>
      <c r="B212" s="51"/>
      <c r="C212" s="45" t="s">
        <v>474</v>
      </c>
      <c r="D212" s="684"/>
      <c r="E212" s="684"/>
    </row>
    <row r="213">
      <c r="A213" s="44">
        <v>212.0</v>
      </c>
      <c r="B213" s="51"/>
      <c r="C213" s="45" t="s">
        <v>476</v>
      </c>
      <c r="D213" s="684"/>
      <c r="E213" s="684"/>
    </row>
    <row r="214">
      <c r="A214" s="44">
        <v>213.0</v>
      </c>
      <c r="B214" s="51"/>
      <c r="C214" s="45" t="s">
        <v>477</v>
      </c>
      <c r="D214" s="684"/>
      <c r="E214" s="684"/>
    </row>
    <row r="215">
      <c r="A215" s="44">
        <v>214.0</v>
      </c>
      <c r="B215" s="51"/>
      <c r="C215" s="45" t="s">
        <v>478</v>
      </c>
      <c r="D215" s="684"/>
      <c r="E215" s="684"/>
    </row>
    <row r="216">
      <c r="A216" s="44">
        <v>215.0</v>
      </c>
      <c r="B216" s="45" t="s">
        <v>480</v>
      </c>
      <c r="C216" s="45" t="s">
        <v>481</v>
      </c>
      <c r="D216" s="684"/>
      <c r="E216" s="684"/>
    </row>
    <row r="217">
      <c r="A217" s="44">
        <v>216.0</v>
      </c>
      <c r="B217" s="51"/>
      <c r="C217" s="45" t="s">
        <v>482</v>
      </c>
      <c r="D217" s="684"/>
      <c r="E217" s="684"/>
    </row>
    <row r="218">
      <c r="A218" s="44">
        <v>217.0</v>
      </c>
      <c r="B218" s="51"/>
      <c r="C218" s="45" t="s">
        <v>483</v>
      </c>
      <c r="D218" s="684"/>
      <c r="E218" s="684"/>
    </row>
    <row r="219">
      <c r="A219" s="44">
        <v>218.0</v>
      </c>
      <c r="B219" s="51"/>
      <c r="C219" s="45" t="s">
        <v>484</v>
      </c>
      <c r="D219" s="684"/>
      <c r="E219" s="684"/>
    </row>
    <row r="220">
      <c r="A220" s="44">
        <v>219.0</v>
      </c>
      <c r="B220" s="51"/>
      <c r="C220" s="45" t="s">
        <v>486</v>
      </c>
      <c r="D220" s="684"/>
      <c r="E220" s="684"/>
    </row>
    <row r="221">
      <c r="A221" s="44">
        <v>220.0</v>
      </c>
      <c r="B221" s="51"/>
      <c r="C221" s="45" t="s">
        <v>488</v>
      </c>
      <c r="D221" s="684"/>
      <c r="E221" s="684"/>
    </row>
    <row r="222">
      <c r="A222" s="44" t="s">
        <v>1280</v>
      </c>
      <c r="B222" s="687"/>
      <c r="C222" s="688" t="s">
        <v>489</v>
      </c>
      <c r="D222" s="684"/>
      <c r="E222" s="684"/>
    </row>
  </sheetData>
  <hyperlinks>
    <hyperlink r:id="rId1" ref="G2"/>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c r="B5" s="694" t="s">
        <v>1284</v>
      </c>
      <c r="C5" s="694" t="s">
        <v>288</v>
      </c>
      <c r="D5" s="695" t="s">
        <v>823</v>
      </c>
      <c r="E5" s="636" t="s">
        <v>1108</v>
      </c>
      <c r="F5" s="696"/>
    </row>
    <row r="6">
      <c r="A6" s="693"/>
      <c r="B6" s="694" t="s">
        <v>1285</v>
      </c>
      <c r="C6" s="694" t="s">
        <v>291</v>
      </c>
      <c r="D6" s="27"/>
      <c r="E6" s="697" t="s">
        <v>825</v>
      </c>
      <c r="F6" s="696"/>
    </row>
    <row r="7">
      <c r="A7" s="693"/>
      <c r="B7" s="694"/>
      <c r="C7" s="694" t="s">
        <v>293</v>
      </c>
      <c r="D7" s="40"/>
      <c r="E7" s="697" t="s">
        <v>826</v>
      </c>
      <c r="F7" s="696"/>
    </row>
    <row r="8">
      <c r="A8" s="690"/>
      <c r="B8" s="690"/>
      <c r="C8" s="690"/>
      <c r="D8" s="690"/>
      <c r="E8" s="690"/>
    </row>
    <row r="9">
      <c r="A9" s="690"/>
      <c r="B9" s="151" t="s">
        <v>494</v>
      </c>
      <c r="C9" s="152" t="s">
        <v>495</v>
      </c>
      <c r="D9" s="152" t="s">
        <v>15</v>
      </c>
      <c r="E9" s="152" t="s">
        <v>496</v>
      </c>
      <c r="F9" s="152" t="s">
        <v>497</v>
      </c>
      <c r="G9" s="152" t="s">
        <v>498</v>
      </c>
      <c r="H9" s="152" t="s">
        <v>499</v>
      </c>
      <c r="I9" s="152" t="s">
        <v>500</v>
      </c>
      <c r="J9" s="152" t="s">
        <v>501</v>
      </c>
    </row>
    <row r="10">
      <c r="A10" s="690"/>
      <c r="B10" s="156" t="s">
        <v>2</v>
      </c>
      <c r="C10" s="157" t="s">
        <v>505</v>
      </c>
      <c r="D10" s="158" t="s">
        <v>506</v>
      </c>
      <c r="E10" s="159">
        <v>518.0</v>
      </c>
      <c r="F10" s="159">
        <v>0.0</v>
      </c>
      <c r="G10" s="160">
        <f t="shared" ref="G10:G27" si="1">H10-F10</f>
        <v>25</v>
      </c>
      <c r="H10" s="160">
        <f>sum('PENDATAAN PERUMAHAN'!J128:J130)</f>
        <v>25</v>
      </c>
      <c r="I10" s="161">
        <f>(H10-F10)/E10</f>
        <v>0.04826254826</v>
      </c>
      <c r="J10" s="161" t="str">
        <f t="shared" ref="J10:J11" si="2">H10/$E$2</f>
        <v>#DIV/0!</v>
      </c>
    </row>
    <row r="11">
      <c r="B11" s="27"/>
      <c r="C11" s="27"/>
      <c r="D11" s="164" t="s">
        <v>508</v>
      </c>
      <c r="E11" s="159">
        <v>0.0</v>
      </c>
      <c r="F11" s="159">
        <v>138.0</v>
      </c>
      <c r="G11" s="160">
        <f t="shared" si="1"/>
        <v>-138</v>
      </c>
      <c r="H11" s="266">
        <f>sum('PENDATAAN PERUMAHAN'!K128:K130)</f>
        <v>0</v>
      </c>
      <c r="I11" s="161"/>
      <c r="J11" s="161" t="str">
        <f t="shared" si="2"/>
        <v>#DIV/0!</v>
      </c>
    </row>
    <row r="12">
      <c r="B12" s="27"/>
      <c r="C12" s="27"/>
      <c r="D12" s="164" t="s">
        <v>25</v>
      </c>
      <c r="E12" s="166">
        <v>2500.0</v>
      </c>
      <c r="F12" s="159">
        <v>4668.0</v>
      </c>
      <c r="G12" s="160">
        <f t="shared" si="1"/>
        <v>-4621</v>
      </c>
      <c r="H12" s="266">
        <f>sum('PENDATAAN PERUMAHAN'!M128:M130)</f>
        <v>47</v>
      </c>
      <c r="I12" s="161">
        <f>(H12-F12)/E12</f>
        <v>-1.8484</v>
      </c>
      <c r="J12" s="161">
        <f>H12/E12</f>
        <v>0.0188</v>
      </c>
    </row>
    <row r="13">
      <c r="B13" s="27"/>
      <c r="C13" s="40"/>
      <c r="D13" s="164" t="s">
        <v>24</v>
      </c>
      <c r="E13" s="40"/>
      <c r="F13" s="159">
        <v>407.0</v>
      </c>
      <c r="G13" s="160">
        <f t="shared" si="1"/>
        <v>-390</v>
      </c>
      <c r="H13" s="266">
        <f>sum('PENDATAAN PERUMAHAN'!L128:L130)</f>
        <v>17</v>
      </c>
      <c r="I13" s="161"/>
      <c r="J13" s="161"/>
    </row>
    <row r="14">
      <c r="B14" s="27"/>
      <c r="C14" s="157" t="s">
        <v>13</v>
      </c>
      <c r="D14" s="164" t="s">
        <v>512</v>
      </c>
      <c r="E14" s="159">
        <v>160000.0</v>
      </c>
      <c r="F14" s="159">
        <v>11206.0</v>
      </c>
      <c r="G14" s="160">
        <f t="shared" si="1"/>
        <v>-11175</v>
      </c>
      <c r="H14" s="266">
        <f>sum('PENDATAAN PERUMAHAN'!F128:F130)</f>
        <v>31</v>
      </c>
      <c r="I14" s="161">
        <f t="shared" ref="I14:I17" si="3">(H14-F14)/E14</f>
        <v>-0.06984375</v>
      </c>
      <c r="J14" s="161">
        <f t="shared" ref="J14:J23" si="4">H14/E14</f>
        <v>0.00019375</v>
      </c>
    </row>
    <row r="15">
      <c r="B15" s="27"/>
      <c r="C15" s="40"/>
      <c r="D15" s="164" t="s">
        <v>514</v>
      </c>
      <c r="E15" s="159">
        <v>80000.0</v>
      </c>
      <c r="F15" s="159">
        <v>346.0</v>
      </c>
      <c r="G15" s="160">
        <f t="shared" si="1"/>
        <v>-346</v>
      </c>
      <c r="H15" s="266">
        <f>sum('PENDATAAN PERUMAHAN'!G128:G130)</f>
        <v>0</v>
      </c>
      <c r="I15" s="161">
        <f t="shared" si="3"/>
        <v>-0.004325</v>
      </c>
      <c r="J15" s="161">
        <f t="shared" si="4"/>
        <v>0</v>
      </c>
    </row>
    <row r="16">
      <c r="B16" s="27"/>
      <c r="C16" s="157" t="s">
        <v>14</v>
      </c>
      <c r="D16" s="158" t="s">
        <v>21</v>
      </c>
      <c r="E16" s="159">
        <v>197500.0</v>
      </c>
      <c r="F16" s="159">
        <v>6706.0</v>
      </c>
      <c r="G16" s="160">
        <f t="shared" si="1"/>
        <v>-6655</v>
      </c>
      <c r="H16" s="266">
        <f>sum('PENDATAAN PERUMAHAN'!H128:H130)</f>
        <v>51</v>
      </c>
      <c r="I16" s="161">
        <f t="shared" si="3"/>
        <v>-0.03369620253</v>
      </c>
      <c r="J16" s="161">
        <f t="shared" si="4"/>
        <v>0.0002582278481</v>
      </c>
    </row>
    <row r="17">
      <c r="B17" s="27"/>
      <c r="C17" s="27"/>
      <c r="D17" s="158" t="s">
        <v>517</v>
      </c>
      <c r="E17" s="166">
        <v>850.0</v>
      </c>
      <c r="F17" s="166">
        <v>397.0</v>
      </c>
      <c r="G17" s="160">
        <f t="shared" si="1"/>
        <v>-394</v>
      </c>
      <c r="H17" s="266">
        <f>sum('PENDATAAN PERUMAHAN'!I128:I130)</f>
        <v>3</v>
      </c>
      <c r="I17" s="161">
        <f t="shared" si="3"/>
        <v>-0.4635294118</v>
      </c>
      <c r="J17" s="161">
        <f t="shared" si="4"/>
        <v>0.003529411765</v>
      </c>
    </row>
    <row r="18">
      <c r="B18" s="40"/>
      <c r="C18" s="40"/>
      <c r="D18" s="171" t="s">
        <v>519</v>
      </c>
      <c r="E18" s="166">
        <v>50.0</v>
      </c>
      <c r="F18" s="166">
        <v>16.0</v>
      </c>
      <c r="G18" s="160">
        <f t="shared" si="1"/>
        <v>-16</v>
      </c>
      <c r="H18" s="283"/>
      <c r="I18" s="161"/>
      <c r="J18" s="161">
        <f t="shared" si="4"/>
        <v>0</v>
      </c>
    </row>
    <row r="19">
      <c r="B19" s="156" t="s">
        <v>521</v>
      </c>
      <c r="C19" s="157" t="s">
        <v>522</v>
      </c>
      <c r="D19" s="171" t="s">
        <v>506</v>
      </c>
      <c r="E19" s="159">
        <v>15110.0</v>
      </c>
      <c r="F19" s="166">
        <v>0.0</v>
      </c>
      <c r="G19" s="160">
        <f t="shared" si="1"/>
        <v>0</v>
      </c>
      <c r="H19" s="266">
        <f>sum('PENDATAAN PERUMAHAN'!N128:N130)</f>
        <v>0</v>
      </c>
      <c r="I19" s="161">
        <f>(H19-F19)/E19</f>
        <v>0</v>
      </c>
      <c r="J19" s="161">
        <f t="shared" si="4"/>
        <v>0</v>
      </c>
    </row>
    <row r="20">
      <c r="B20" s="27"/>
      <c r="C20" s="27"/>
      <c r="D20" s="171" t="s">
        <v>508</v>
      </c>
      <c r="E20" s="159">
        <v>100.0</v>
      </c>
      <c r="F20" s="166">
        <v>848.0</v>
      </c>
      <c r="G20" s="160">
        <f t="shared" si="1"/>
        <v>-848</v>
      </c>
      <c r="H20" s="266">
        <f>sum('PENDATAAN PERUMAHAN'!O128:O130)</f>
        <v>0</v>
      </c>
      <c r="I20" s="161"/>
      <c r="J20" s="161">
        <f t="shared" si="4"/>
        <v>0</v>
      </c>
    </row>
    <row r="21">
      <c r="B21" s="27"/>
      <c r="C21" s="27"/>
      <c r="D21" s="171" t="s">
        <v>525</v>
      </c>
      <c r="E21" s="159">
        <v>675.0</v>
      </c>
      <c r="F21" s="159">
        <v>0.0</v>
      </c>
      <c r="G21" s="160">
        <f t="shared" si="1"/>
        <v>0</v>
      </c>
      <c r="H21" s="266">
        <f>sum('PENDATAAN PERUMAHAN'!P128:P130)</f>
        <v>0</v>
      </c>
      <c r="I21" s="161">
        <f t="shared" ref="I21:I26" si="5">(H21-F21)/E21</f>
        <v>0</v>
      </c>
      <c r="J21" s="161">
        <f t="shared" si="4"/>
        <v>0</v>
      </c>
    </row>
    <row r="22">
      <c r="B22" s="27"/>
      <c r="C22" s="27"/>
      <c r="D22" s="171" t="s">
        <v>25</v>
      </c>
      <c r="E22" s="159">
        <v>13500.0</v>
      </c>
      <c r="F22" s="159">
        <v>24219.0</v>
      </c>
      <c r="G22" s="160">
        <f t="shared" si="1"/>
        <v>-23587</v>
      </c>
      <c r="H22" s="266">
        <f>sum('PENDATAAN PERUMAHAN'!R128:R130)</f>
        <v>632</v>
      </c>
      <c r="I22" s="161">
        <f t="shared" si="5"/>
        <v>-1.747185185</v>
      </c>
      <c r="J22" s="161">
        <f t="shared" si="4"/>
        <v>0.04681481481</v>
      </c>
    </row>
    <row r="23">
      <c r="B23" s="27"/>
      <c r="C23" s="27"/>
      <c r="D23" s="158" t="s">
        <v>24</v>
      </c>
      <c r="E23" s="159">
        <v>42200.0</v>
      </c>
      <c r="F23" s="159">
        <v>2272.0</v>
      </c>
      <c r="G23" s="160">
        <f t="shared" si="1"/>
        <v>-2159</v>
      </c>
      <c r="H23" s="266">
        <f>sum('PENDATAAN PERUMAHAN'!Q128:Q130)</f>
        <v>113</v>
      </c>
      <c r="I23" s="161">
        <f t="shared" si="5"/>
        <v>-0.05116113744</v>
      </c>
      <c r="J23" s="161">
        <f t="shared" si="4"/>
        <v>0.002677725118</v>
      </c>
    </row>
    <row r="24">
      <c r="B24" s="27"/>
      <c r="C24" s="27"/>
      <c r="D24" s="158" t="s">
        <v>28</v>
      </c>
      <c r="E24" s="159">
        <v>0.0</v>
      </c>
      <c r="F24" s="159">
        <v>0.0</v>
      </c>
      <c r="G24" s="160">
        <f t="shared" si="1"/>
        <v>0</v>
      </c>
      <c r="H24" s="266">
        <f>sum('PENDATAAN PERUMAHAN'!T128:T130)</f>
        <v>0</v>
      </c>
      <c r="I24" s="161" t="str">
        <f t="shared" si="5"/>
        <v>#DIV/0!</v>
      </c>
      <c r="J24" s="161">
        <f>H24/36</f>
        <v>0</v>
      </c>
    </row>
    <row r="25">
      <c r="B25" s="27"/>
      <c r="C25" s="27"/>
      <c r="D25" s="158" t="s">
        <v>517</v>
      </c>
      <c r="E25" s="159">
        <v>600.0</v>
      </c>
      <c r="F25" s="159">
        <v>2104.0</v>
      </c>
      <c r="G25" s="160">
        <f t="shared" si="1"/>
        <v>-2086</v>
      </c>
      <c r="H25" s="266">
        <f>sum('PENDATAAN PERUMAHAN'!S128:S130)</f>
        <v>18</v>
      </c>
      <c r="I25" s="161">
        <f t="shared" si="5"/>
        <v>-3.476666667</v>
      </c>
      <c r="J25" s="161">
        <f t="shared" ref="J25:J28" si="6">H25/E25</f>
        <v>0.03</v>
      </c>
    </row>
    <row r="26">
      <c r="B26" s="27"/>
      <c r="C26" s="27"/>
      <c r="D26" s="158" t="s">
        <v>29</v>
      </c>
      <c r="E26" s="159">
        <v>486897.0</v>
      </c>
      <c r="F26" s="159">
        <v>1105.0</v>
      </c>
      <c r="G26" s="160">
        <f t="shared" si="1"/>
        <v>-1039</v>
      </c>
      <c r="H26" s="266">
        <f>sum('PENDATAAN PERUMAHAN'!U128:U130)</f>
        <v>66</v>
      </c>
      <c r="I26" s="161">
        <f t="shared" si="5"/>
        <v>-0.002133921548</v>
      </c>
      <c r="J26" s="161">
        <f t="shared" si="6"/>
        <v>0.0001355522831</v>
      </c>
    </row>
    <row r="27">
      <c r="B27" s="40"/>
      <c r="C27" s="40"/>
      <c r="D27" s="174" t="s">
        <v>519</v>
      </c>
      <c r="E27" s="175">
        <v>200.0</v>
      </c>
      <c r="F27" s="175">
        <v>169.0</v>
      </c>
      <c r="G27" s="698">
        <f t="shared" si="1"/>
        <v>-169</v>
      </c>
      <c r="H27" s="283"/>
      <c r="I27" s="175"/>
      <c r="J27" s="161">
        <f t="shared" si="6"/>
        <v>0</v>
      </c>
    </row>
    <row r="28">
      <c r="B28" s="182" t="s">
        <v>533</v>
      </c>
      <c r="C28" s="183"/>
      <c r="D28" s="31"/>
      <c r="E28" s="184">
        <f t="shared" ref="E28:F28" si="7">SUM(E10:E27)</f>
        <v>1000700</v>
      </c>
      <c r="F28" s="184">
        <f t="shared" si="7"/>
        <v>54601</v>
      </c>
      <c r="G28" s="185"/>
      <c r="H28" s="185">
        <f>SUM(H10:H27)</f>
        <v>1003</v>
      </c>
      <c r="I28" s="186">
        <f>(H28-F28)/E28</f>
        <v>-0.05356050764</v>
      </c>
      <c r="J28" s="186">
        <f t="shared" si="6"/>
        <v>0.001002298391</v>
      </c>
    </row>
    <row r="29">
      <c r="B29" s="187"/>
      <c r="C29" s="188"/>
      <c r="D29" s="189"/>
      <c r="E29" s="159"/>
      <c r="F29" s="160"/>
      <c r="G29" s="160"/>
      <c r="H29" s="160"/>
      <c r="I29" s="161"/>
      <c r="J29" s="161"/>
    </row>
    <row r="30">
      <c r="B30" s="156" t="s">
        <v>6</v>
      </c>
      <c r="C30" s="157" t="s">
        <v>8</v>
      </c>
      <c r="D30" s="158" t="s">
        <v>536</v>
      </c>
      <c r="E30" s="159">
        <v>217500.0</v>
      </c>
      <c r="F30" s="159">
        <v>67791.0</v>
      </c>
      <c r="G30" s="160">
        <f t="shared" ref="G30:G31" si="8">H30-F30</f>
        <v>-67698</v>
      </c>
      <c r="H30" s="160">
        <f>sum('PENDATAAN PERUMAHAN'!E128:E130)</f>
        <v>93</v>
      </c>
      <c r="I30" s="161">
        <f t="shared" ref="I30:I34" si="9">(H30-F30)/E30</f>
        <v>-0.3112551724</v>
      </c>
      <c r="J30" s="161">
        <f t="shared" ref="J30:J34" si="10">H30/E30</f>
        <v>0.0004275862069</v>
      </c>
    </row>
    <row r="31">
      <c r="B31" s="27"/>
      <c r="C31" s="27"/>
      <c r="D31" s="158" t="s">
        <v>538</v>
      </c>
      <c r="E31" s="159">
        <v>300000.0</v>
      </c>
      <c r="F31" s="159">
        <v>0.0</v>
      </c>
      <c r="G31" s="160">
        <f t="shared" si="8"/>
        <v>0</v>
      </c>
      <c r="H31" s="159">
        <v>0.0</v>
      </c>
      <c r="I31" s="161">
        <f t="shared" si="9"/>
        <v>0</v>
      </c>
      <c r="J31" s="161">
        <f t="shared" si="10"/>
        <v>0</v>
      </c>
    </row>
    <row r="32">
      <c r="B32" s="40"/>
      <c r="C32" s="40"/>
      <c r="D32" s="158" t="s">
        <v>541</v>
      </c>
      <c r="E32" s="159">
        <v>0.0</v>
      </c>
      <c r="F32" s="159">
        <v>0.0</v>
      </c>
      <c r="G32" s="160"/>
      <c r="H32" s="159">
        <v>0.0</v>
      </c>
      <c r="I32" s="161" t="str">
        <f t="shared" si="9"/>
        <v>#DIV/0!</v>
      </c>
      <c r="J32" s="161" t="str">
        <f t="shared" si="10"/>
        <v>#DIV/0!</v>
      </c>
    </row>
    <row r="33">
      <c r="B33" s="193" t="s">
        <v>542</v>
      </c>
      <c r="C33" s="19"/>
      <c r="D33" s="20"/>
      <c r="E33" s="194">
        <f>E30+E31+E32</f>
        <v>517500</v>
      </c>
      <c r="F33" s="195">
        <f>SUM(F30:F32)</f>
        <v>67791</v>
      </c>
      <c r="G33" s="195">
        <f t="shared" ref="G33:G34" si="11">H33-F33</f>
        <v>-67698</v>
      </c>
      <c r="H33" s="195">
        <f>H30+H31+H32</f>
        <v>93</v>
      </c>
      <c r="I33" s="186">
        <f t="shared" si="9"/>
        <v>-0.1308173913</v>
      </c>
      <c r="J33" s="186">
        <f t="shared" si="10"/>
        <v>0.0001797101449</v>
      </c>
    </row>
    <row r="34">
      <c r="B34" s="197" t="s">
        <v>544</v>
      </c>
      <c r="C34" s="19"/>
      <c r="D34" s="20"/>
      <c r="E34" s="198">
        <f>E33+E28</f>
        <v>1518200</v>
      </c>
      <c r="F34" s="199">
        <f>F28+F33</f>
        <v>122392</v>
      </c>
      <c r="G34" s="200">
        <f t="shared" si="11"/>
        <v>-121296</v>
      </c>
      <c r="H34" s="199">
        <f>H33+H28</f>
        <v>1096</v>
      </c>
      <c r="I34" s="201">
        <f t="shared" si="9"/>
        <v>-0.07989461204</v>
      </c>
      <c r="J34" s="201">
        <f t="shared" si="10"/>
        <v>0.0007219075221</v>
      </c>
    </row>
  </sheetData>
  <mergeCells count="13">
    <mergeCell ref="C19:C27"/>
    <mergeCell ref="B28:D28"/>
    <mergeCell ref="B30:B32"/>
    <mergeCell ref="C30:C32"/>
    <mergeCell ref="B33:D33"/>
    <mergeCell ref="B34:D34"/>
    <mergeCell ref="D5:D7"/>
    <mergeCell ref="B10:B18"/>
    <mergeCell ref="C10:C13"/>
    <mergeCell ref="E12:E13"/>
    <mergeCell ref="C14:C15"/>
    <mergeCell ref="C16:C18"/>
    <mergeCell ref="B19:B2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hidden="1" min="7" max="7" width="12.63"/>
    <col customWidth="1" hidden="1" min="9" max="9" width="21.38"/>
    <col customWidth="1" min="10" max="10" width="26.5"/>
  </cols>
  <sheetData>
    <row r="2">
      <c r="A2" s="689" t="s">
        <v>1281</v>
      </c>
      <c r="B2" s="690"/>
      <c r="C2" s="690"/>
      <c r="D2" s="690"/>
      <c r="E2" s="690"/>
    </row>
    <row r="3">
      <c r="A3" s="690"/>
      <c r="B3" s="690"/>
      <c r="C3" s="690"/>
      <c r="D3" s="690"/>
      <c r="E3" s="690"/>
    </row>
    <row r="4">
      <c r="A4" s="699" t="s">
        <v>1282</v>
      </c>
      <c r="B4" s="699" t="s">
        <v>4</v>
      </c>
      <c r="C4" s="699" t="s">
        <v>5</v>
      </c>
      <c r="D4" s="699" t="s">
        <v>1283</v>
      </c>
      <c r="E4" s="699" t="s">
        <v>715</v>
      </c>
      <c r="F4" s="692"/>
    </row>
    <row r="5">
      <c r="A5" s="700">
        <v>1.0</v>
      </c>
      <c r="B5" s="701" t="s">
        <v>684</v>
      </c>
      <c r="C5" s="702" t="s">
        <v>63</v>
      </c>
      <c r="D5" s="703" t="s">
        <v>746</v>
      </c>
      <c r="E5" s="704" t="s">
        <v>747</v>
      </c>
      <c r="F5" s="20"/>
    </row>
    <row r="6">
      <c r="A6" s="700">
        <v>2.0</v>
      </c>
      <c r="B6" s="27"/>
      <c r="C6" s="702" t="s">
        <v>65</v>
      </c>
      <c r="D6" s="27"/>
      <c r="E6" s="704" t="s">
        <v>748</v>
      </c>
      <c r="F6" s="20"/>
    </row>
    <row r="7">
      <c r="A7" s="700">
        <v>3.0</v>
      </c>
      <c r="B7" s="27"/>
      <c r="C7" s="702" t="s">
        <v>67</v>
      </c>
      <c r="D7" s="27"/>
      <c r="E7" s="704" t="s">
        <v>749</v>
      </c>
      <c r="F7" s="20"/>
    </row>
    <row r="8">
      <c r="A8" s="700">
        <v>4.0</v>
      </c>
      <c r="B8" s="27"/>
      <c r="C8" s="702" t="s">
        <v>69</v>
      </c>
      <c r="D8" s="27"/>
      <c r="E8" s="704" t="s">
        <v>750</v>
      </c>
      <c r="F8" s="20"/>
    </row>
    <row r="9">
      <c r="A9" s="700">
        <v>5.0</v>
      </c>
      <c r="B9" s="27"/>
      <c r="C9" s="702" t="s">
        <v>71</v>
      </c>
      <c r="D9" s="27"/>
      <c r="E9" s="704" t="s">
        <v>751</v>
      </c>
      <c r="F9" s="20"/>
    </row>
    <row r="10">
      <c r="A10" s="700">
        <v>6.0</v>
      </c>
      <c r="B10" s="27"/>
      <c r="C10" s="702" t="s">
        <v>73</v>
      </c>
      <c r="D10" s="27"/>
      <c r="E10" s="704" t="s">
        <v>752</v>
      </c>
      <c r="F10" s="20"/>
    </row>
    <row r="11">
      <c r="A11" s="700">
        <v>7.0</v>
      </c>
      <c r="B11" s="40"/>
      <c r="C11" s="702" t="s">
        <v>76</v>
      </c>
      <c r="D11" s="40"/>
      <c r="E11" s="704" t="s">
        <v>753</v>
      </c>
      <c r="F11" s="20"/>
    </row>
    <row r="12">
      <c r="A12" s="690"/>
      <c r="B12" s="690"/>
      <c r="C12" s="690"/>
      <c r="D12" s="690"/>
      <c r="E12" s="690"/>
    </row>
    <row r="13">
      <c r="A13" s="690"/>
      <c r="B13" s="690"/>
      <c r="C13" s="690"/>
      <c r="D13" s="690"/>
      <c r="E13" s="690"/>
    </row>
    <row r="14">
      <c r="A14" s="690"/>
      <c r="B14" s="690"/>
      <c r="C14" s="690"/>
      <c r="D14" s="690"/>
      <c r="E14" s="690"/>
    </row>
    <row r="15">
      <c r="A15" s="690"/>
      <c r="B15" s="151" t="s">
        <v>494</v>
      </c>
      <c r="C15" s="152" t="s">
        <v>495</v>
      </c>
      <c r="D15" s="152" t="s">
        <v>15</v>
      </c>
      <c r="E15" s="152" t="s">
        <v>496</v>
      </c>
      <c r="F15" s="152" t="s">
        <v>497</v>
      </c>
      <c r="G15" s="152" t="s">
        <v>498</v>
      </c>
      <c r="H15" s="152" t="s">
        <v>499</v>
      </c>
      <c r="I15" s="152" t="s">
        <v>500</v>
      </c>
      <c r="J15" s="152" t="s">
        <v>501</v>
      </c>
    </row>
    <row r="16">
      <c r="A16" s="690"/>
      <c r="B16" s="156" t="s">
        <v>2</v>
      </c>
      <c r="C16" s="157" t="s">
        <v>505</v>
      </c>
      <c r="D16" s="158" t="s">
        <v>506</v>
      </c>
      <c r="E16" s="159">
        <v>518.0</v>
      </c>
      <c r="F16" s="159">
        <v>0.0</v>
      </c>
      <c r="G16" s="160">
        <f t="shared" ref="G16:G33" si="1">H16-F16</f>
        <v>0</v>
      </c>
      <c r="H16" s="160">
        <f>sum('PENDATAAN PERUMAHAN'!J26:J32)</f>
        <v>0</v>
      </c>
      <c r="I16" s="161">
        <f>(H16-F16)/E16</f>
        <v>0</v>
      </c>
      <c r="J16" s="190">
        <v>0.0</v>
      </c>
    </row>
    <row r="17">
      <c r="B17" s="27"/>
      <c r="C17" s="27"/>
      <c r="D17" s="164" t="s">
        <v>508</v>
      </c>
      <c r="E17" s="159">
        <v>0.0</v>
      </c>
      <c r="F17" s="159">
        <v>138.0</v>
      </c>
      <c r="G17" s="160">
        <f t="shared" si="1"/>
        <v>-138</v>
      </c>
      <c r="H17" s="160">
        <f>sum('PENDATAAN PERUMAHAN'!K26:K32)</f>
        <v>0</v>
      </c>
      <c r="I17" s="161"/>
      <c r="J17" s="190">
        <v>0.0</v>
      </c>
    </row>
    <row r="18">
      <c r="B18" s="27"/>
      <c r="C18" s="27"/>
      <c r="D18" s="164" t="s">
        <v>25</v>
      </c>
      <c r="E18" s="166">
        <v>2500.0</v>
      </c>
      <c r="F18" s="159">
        <v>4668.0</v>
      </c>
      <c r="G18" s="160">
        <f t="shared" si="1"/>
        <v>-4662</v>
      </c>
      <c r="H18" s="160">
        <f>sum('PENDATAAN PERUMAHAN'!M26:M32)</f>
        <v>6</v>
      </c>
      <c r="I18" s="161">
        <f>(H18-F18)/E18</f>
        <v>-1.8648</v>
      </c>
      <c r="J18" s="161">
        <f>H18/E18</f>
        <v>0.0024</v>
      </c>
    </row>
    <row r="19">
      <c r="B19" s="27"/>
      <c r="C19" s="40"/>
      <c r="D19" s="164" t="s">
        <v>24</v>
      </c>
      <c r="E19" s="40"/>
      <c r="F19" s="159">
        <v>407.0</v>
      </c>
      <c r="G19" s="160">
        <f t="shared" si="1"/>
        <v>-372</v>
      </c>
      <c r="H19" s="160">
        <f>sum('PENDATAAN PERUMAHAN'!L26:L32)</f>
        <v>35</v>
      </c>
      <c r="I19" s="161"/>
      <c r="J19" s="161"/>
    </row>
    <row r="20">
      <c r="B20" s="27"/>
      <c r="C20" s="157" t="s">
        <v>13</v>
      </c>
      <c r="D20" s="164" t="s">
        <v>512</v>
      </c>
      <c r="E20" s="159">
        <v>160000.0</v>
      </c>
      <c r="F20" s="159">
        <v>11206.0</v>
      </c>
      <c r="G20" s="160">
        <f t="shared" si="1"/>
        <v>-11009</v>
      </c>
      <c r="H20" s="160">
        <f>sum('PENDATAAN PERUMAHAN'!F26:F32)</f>
        <v>197</v>
      </c>
      <c r="I20" s="161">
        <f t="shared" ref="I20:I23" si="2">(H20-F20)/E20</f>
        <v>-0.06880625</v>
      </c>
      <c r="J20" s="161">
        <f t="shared" ref="J20:J29" si="3">H20/E20</f>
        <v>0.00123125</v>
      </c>
    </row>
    <row r="21">
      <c r="B21" s="27"/>
      <c r="C21" s="40"/>
      <c r="D21" s="164" t="s">
        <v>514</v>
      </c>
      <c r="E21" s="159">
        <v>80000.0</v>
      </c>
      <c r="F21" s="159">
        <v>346.0</v>
      </c>
      <c r="G21" s="160">
        <f t="shared" si="1"/>
        <v>-346</v>
      </c>
      <c r="H21" s="160">
        <f>sum('PENDATAAN PERUMAHAN'!G26:G32)</f>
        <v>0</v>
      </c>
      <c r="I21" s="161">
        <f t="shared" si="2"/>
        <v>-0.004325</v>
      </c>
      <c r="J21" s="161">
        <f t="shared" si="3"/>
        <v>0</v>
      </c>
    </row>
    <row r="22">
      <c r="B22" s="27"/>
      <c r="C22" s="157" t="s">
        <v>14</v>
      </c>
      <c r="D22" s="158" t="s">
        <v>21</v>
      </c>
      <c r="E22" s="159">
        <v>197500.0</v>
      </c>
      <c r="F22" s="159">
        <v>6706.0</v>
      </c>
      <c r="G22" s="160">
        <f t="shared" si="1"/>
        <v>-6422</v>
      </c>
      <c r="H22" s="160">
        <f>sum('PENDATAAN PERUMAHAN'!H26:H32)</f>
        <v>284</v>
      </c>
      <c r="I22" s="161">
        <f t="shared" si="2"/>
        <v>-0.0325164557</v>
      </c>
      <c r="J22" s="161">
        <f t="shared" si="3"/>
        <v>0.001437974684</v>
      </c>
    </row>
    <row r="23">
      <c r="B23" s="27"/>
      <c r="C23" s="27"/>
      <c r="D23" s="158" t="s">
        <v>517</v>
      </c>
      <c r="E23" s="166">
        <v>850.0</v>
      </c>
      <c r="F23" s="166">
        <v>397.0</v>
      </c>
      <c r="G23" s="160">
        <f t="shared" si="1"/>
        <v>-222</v>
      </c>
      <c r="H23" s="160">
        <f>sum('PENDATAAN PERUMAHAN'!I26:I32)</f>
        <v>175</v>
      </c>
      <c r="I23" s="161">
        <f t="shared" si="2"/>
        <v>-0.2611764706</v>
      </c>
      <c r="J23" s="161">
        <f t="shared" si="3"/>
        <v>0.2058823529</v>
      </c>
    </row>
    <row r="24">
      <c r="B24" s="40"/>
      <c r="C24" s="40"/>
      <c r="D24" s="171" t="s">
        <v>519</v>
      </c>
      <c r="E24" s="166">
        <v>50.0</v>
      </c>
      <c r="F24" s="166">
        <v>16.0</v>
      </c>
      <c r="G24" s="160">
        <f t="shared" si="1"/>
        <v>-16</v>
      </c>
      <c r="H24" s="160"/>
      <c r="I24" s="161"/>
      <c r="J24" s="161">
        <f t="shared" si="3"/>
        <v>0</v>
      </c>
    </row>
    <row r="25">
      <c r="B25" s="156" t="s">
        <v>521</v>
      </c>
      <c r="C25" s="157" t="s">
        <v>522</v>
      </c>
      <c r="D25" s="171" t="s">
        <v>506</v>
      </c>
      <c r="E25" s="159">
        <v>15110.0</v>
      </c>
      <c r="F25" s="166">
        <v>0.0</v>
      </c>
      <c r="G25" s="160">
        <f t="shared" si="1"/>
        <v>0</v>
      </c>
      <c r="H25" s="160">
        <f>sum('PENDATAAN PERUMAHAN'!N26:N32)</f>
        <v>0</v>
      </c>
      <c r="I25" s="161">
        <f>(H25-F25)/E25</f>
        <v>0</v>
      </c>
      <c r="J25" s="161">
        <f t="shared" si="3"/>
        <v>0</v>
      </c>
    </row>
    <row r="26">
      <c r="B26" s="27"/>
      <c r="C26" s="27"/>
      <c r="D26" s="171" t="s">
        <v>508</v>
      </c>
      <c r="E26" s="159">
        <v>100.0</v>
      </c>
      <c r="F26" s="166">
        <v>848.0</v>
      </c>
      <c r="G26" s="160">
        <f t="shared" si="1"/>
        <v>-848</v>
      </c>
      <c r="H26" s="160">
        <f>sum('PENDATAAN PERUMAHAN'!O26:O32)</f>
        <v>0</v>
      </c>
      <c r="I26" s="161"/>
      <c r="J26" s="161">
        <f t="shared" si="3"/>
        <v>0</v>
      </c>
    </row>
    <row r="27">
      <c r="B27" s="27"/>
      <c r="C27" s="27"/>
      <c r="D27" s="171" t="s">
        <v>525</v>
      </c>
      <c r="E27" s="159">
        <v>675.0</v>
      </c>
      <c r="F27" s="159">
        <v>0.0</v>
      </c>
      <c r="G27" s="160">
        <f t="shared" si="1"/>
        <v>0</v>
      </c>
      <c r="H27" s="160">
        <f>sum('PENDATAAN PERUMAHAN'!P26:P32)</f>
        <v>0</v>
      </c>
      <c r="I27" s="161">
        <f t="shared" ref="I27:I32" si="4">(H27-F27)/E27</f>
        <v>0</v>
      </c>
      <c r="J27" s="161">
        <f t="shared" si="3"/>
        <v>0</v>
      </c>
    </row>
    <row r="28">
      <c r="B28" s="27"/>
      <c r="C28" s="27"/>
      <c r="D28" s="171" t="s">
        <v>25</v>
      </c>
      <c r="E28" s="159">
        <v>13500.0</v>
      </c>
      <c r="F28" s="159">
        <v>24219.0</v>
      </c>
      <c r="G28" s="160">
        <f t="shared" si="1"/>
        <v>-24111</v>
      </c>
      <c r="H28" s="160">
        <f>sum('PENDATAAN PERUMAHAN'!R26:R32)</f>
        <v>108</v>
      </c>
      <c r="I28" s="161">
        <f t="shared" si="4"/>
        <v>-1.786</v>
      </c>
      <c r="J28" s="161">
        <f t="shared" si="3"/>
        <v>0.008</v>
      </c>
    </row>
    <row r="29">
      <c r="B29" s="27"/>
      <c r="C29" s="27"/>
      <c r="D29" s="158" t="s">
        <v>24</v>
      </c>
      <c r="E29" s="159">
        <v>42200.0</v>
      </c>
      <c r="F29" s="159">
        <v>2272.0</v>
      </c>
      <c r="G29" s="160">
        <f t="shared" si="1"/>
        <v>-2165</v>
      </c>
      <c r="H29" s="160">
        <f>sum('PENDATAAN PERUMAHAN'!Q26:Q32)</f>
        <v>107</v>
      </c>
      <c r="I29" s="161">
        <f t="shared" si="4"/>
        <v>-0.05130331754</v>
      </c>
      <c r="J29" s="161">
        <f t="shared" si="3"/>
        <v>0.002535545024</v>
      </c>
    </row>
    <row r="30">
      <c r="B30" s="27"/>
      <c r="C30" s="27"/>
      <c r="D30" s="158" t="s">
        <v>28</v>
      </c>
      <c r="E30" s="159">
        <v>0.0</v>
      </c>
      <c r="F30" s="159">
        <v>0.0</v>
      </c>
      <c r="G30" s="160">
        <f t="shared" si="1"/>
        <v>0</v>
      </c>
      <c r="H30" s="160">
        <f>sum('PENDATAAN PERUMAHAN'!T26:T32)</f>
        <v>0</v>
      </c>
      <c r="I30" s="161" t="str">
        <f t="shared" si="4"/>
        <v>#DIV/0!</v>
      </c>
      <c r="J30" s="161">
        <f>H30/36</f>
        <v>0</v>
      </c>
    </row>
    <row r="31">
      <c r="B31" s="27"/>
      <c r="C31" s="27"/>
      <c r="D31" s="158" t="s">
        <v>517</v>
      </c>
      <c r="E31" s="159">
        <v>600.0</v>
      </c>
      <c r="F31" s="159">
        <v>2104.0</v>
      </c>
      <c r="G31" s="160">
        <f t="shared" si="1"/>
        <v>-2059</v>
      </c>
      <c r="H31" s="160">
        <f>sum('PENDATAAN PERUMAHAN'!S26:S32)</f>
        <v>45</v>
      </c>
      <c r="I31" s="161">
        <f t="shared" si="4"/>
        <v>-3.431666667</v>
      </c>
      <c r="J31" s="161">
        <f t="shared" ref="J31:J34" si="5">H31/E31</f>
        <v>0.075</v>
      </c>
    </row>
    <row r="32">
      <c r="B32" s="27"/>
      <c r="C32" s="27"/>
      <c r="D32" s="158" t="s">
        <v>29</v>
      </c>
      <c r="E32" s="159">
        <v>486897.0</v>
      </c>
      <c r="F32" s="159">
        <v>1105.0</v>
      </c>
      <c r="G32" s="160">
        <f t="shared" si="1"/>
        <v>-947</v>
      </c>
      <c r="H32" s="160">
        <f>sum('PENDATAAN PERUMAHAN'!U26:U32)</f>
        <v>158</v>
      </c>
      <c r="I32" s="161">
        <f t="shared" si="4"/>
        <v>-0.001944969881</v>
      </c>
      <c r="J32" s="161">
        <f t="shared" si="5"/>
        <v>0.0003245039505</v>
      </c>
    </row>
    <row r="33">
      <c r="B33" s="40"/>
      <c r="C33" s="40"/>
      <c r="D33" s="174" t="s">
        <v>519</v>
      </c>
      <c r="E33" s="175">
        <v>200.0</v>
      </c>
      <c r="F33" s="175">
        <v>169.0</v>
      </c>
      <c r="G33" s="698">
        <f t="shared" si="1"/>
        <v>-169</v>
      </c>
      <c r="H33" s="160"/>
      <c r="I33" s="175"/>
      <c r="J33" s="161">
        <f t="shared" si="5"/>
        <v>0</v>
      </c>
    </row>
    <row r="34">
      <c r="B34" s="182" t="s">
        <v>533</v>
      </c>
      <c r="C34" s="183"/>
      <c r="D34" s="31"/>
      <c r="E34" s="184">
        <f t="shared" ref="E34:F34" si="6">SUM(E16:E33)</f>
        <v>1000700</v>
      </c>
      <c r="F34" s="184">
        <f t="shared" si="6"/>
        <v>54601</v>
      </c>
      <c r="G34" s="185"/>
      <c r="H34" s="185">
        <f>SUM(H16:H33)</f>
        <v>1115</v>
      </c>
      <c r="I34" s="186">
        <f>(H34-F34)/E34</f>
        <v>-0.05344858599</v>
      </c>
      <c r="J34" s="186">
        <f t="shared" si="5"/>
        <v>0.001114220046</v>
      </c>
    </row>
    <row r="35">
      <c r="B35" s="187"/>
      <c r="C35" s="188"/>
      <c r="D35" s="189"/>
      <c r="E35" s="159"/>
      <c r="F35" s="160"/>
      <c r="G35" s="160"/>
      <c r="H35" s="160"/>
      <c r="I35" s="161"/>
      <c r="J35" s="161"/>
    </row>
    <row r="36">
      <c r="B36" s="156" t="s">
        <v>6</v>
      </c>
      <c r="C36" s="157" t="s">
        <v>8</v>
      </c>
      <c r="D36" s="158" t="s">
        <v>536</v>
      </c>
      <c r="E36" s="159">
        <v>217500.0</v>
      </c>
      <c r="F36" s="159">
        <v>67791.0</v>
      </c>
      <c r="G36" s="160">
        <f t="shared" ref="G36:G37" si="7">H36-F36</f>
        <v>-67353</v>
      </c>
      <c r="H36" s="160">
        <f>sum('PENDATAAN PERUMAHAN'!E26:E32)</f>
        <v>438</v>
      </c>
      <c r="I36" s="161">
        <f t="shared" ref="I36:I40" si="8">(H36-F36)/E36</f>
        <v>-0.3096689655</v>
      </c>
      <c r="J36" s="161">
        <f t="shared" ref="J36:J40" si="9">H36/E36</f>
        <v>0.002013793103</v>
      </c>
    </row>
    <row r="37">
      <c r="B37" s="27"/>
      <c r="C37" s="27"/>
      <c r="D37" s="158" t="s">
        <v>538</v>
      </c>
      <c r="E37" s="159">
        <v>300000.0</v>
      </c>
      <c r="F37" s="159">
        <v>0.0</v>
      </c>
      <c r="G37" s="160">
        <f t="shared" si="7"/>
        <v>0</v>
      </c>
      <c r="H37" s="160" t="str">
        <f>'PENDATAAN PERUMAHAN'!V243</f>
        <v/>
      </c>
      <c r="I37" s="161">
        <f t="shared" si="8"/>
        <v>0</v>
      </c>
      <c r="J37" s="161">
        <f t="shared" si="9"/>
        <v>0</v>
      </c>
    </row>
    <row r="38">
      <c r="B38" s="40"/>
      <c r="C38" s="40"/>
      <c r="D38" s="158" t="s">
        <v>541</v>
      </c>
      <c r="E38" s="159">
        <v>0.0</v>
      </c>
      <c r="F38" s="159">
        <v>0.0</v>
      </c>
      <c r="G38" s="160"/>
      <c r="H38" s="160" t="str">
        <f>'PENDATAAN PERUMAHAN'!W243</f>
        <v/>
      </c>
      <c r="I38" s="161" t="str">
        <f t="shared" si="8"/>
        <v>#DIV/0!</v>
      </c>
      <c r="J38" s="161" t="str">
        <f t="shared" si="9"/>
        <v>#DIV/0!</v>
      </c>
    </row>
    <row r="39">
      <c r="B39" s="193" t="s">
        <v>542</v>
      </c>
      <c r="C39" s="19"/>
      <c r="D39" s="20"/>
      <c r="E39" s="194">
        <f>E36+E37+E38</f>
        <v>517500</v>
      </c>
      <c r="F39" s="195">
        <f>SUM(F36:F38)</f>
        <v>67791</v>
      </c>
      <c r="G39" s="195">
        <f t="shared" ref="G39:G40" si="10">H39-F39</f>
        <v>-67353</v>
      </c>
      <c r="H39" s="195">
        <f>H36+H37+H38</f>
        <v>438</v>
      </c>
      <c r="I39" s="186">
        <f t="shared" si="8"/>
        <v>-0.1301507246</v>
      </c>
      <c r="J39" s="186">
        <f t="shared" si="9"/>
        <v>0.0008463768116</v>
      </c>
    </row>
    <row r="40">
      <c r="B40" s="197" t="s">
        <v>544</v>
      </c>
      <c r="C40" s="19"/>
      <c r="D40" s="20"/>
      <c r="E40" s="198">
        <f>E39+E34</f>
        <v>1518200</v>
      </c>
      <c r="F40" s="199">
        <f>F34+F39</f>
        <v>122392</v>
      </c>
      <c r="G40" s="200">
        <f t="shared" si="10"/>
        <v>-120839</v>
      </c>
      <c r="H40" s="199">
        <f>H39+H34</f>
        <v>1553</v>
      </c>
      <c r="I40" s="201">
        <f t="shared" si="8"/>
        <v>-0.07959359768</v>
      </c>
      <c r="J40" s="201">
        <f t="shared" si="9"/>
        <v>0.001022921881</v>
      </c>
    </row>
  </sheetData>
  <mergeCells count="21">
    <mergeCell ref="E10:F10"/>
    <mergeCell ref="E11:F11"/>
    <mergeCell ref="E18:E19"/>
    <mergeCell ref="B5:B11"/>
    <mergeCell ref="D5:D11"/>
    <mergeCell ref="E5:F5"/>
    <mergeCell ref="E6:F6"/>
    <mergeCell ref="E7:F7"/>
    <mergeCell ref="E8:F8"/>
    <mergeCell ref="E9:F9"/>
    <mergeCell ref="B36:B38"/>
    <mergeCell ref="C36:C38"/>
    <mergeCell ref="B39:D39"/>
    <mergeCell ref="B40:D40"/>
    <mergeCell ref="B16:B24"/>
    <mergeCell ref="C16:C19"/>
    <mergeCell ref="C20:C21"/>
    <mergeCell ref="C22:C24"/>
    <mergeCell ref="B25:B33"/>
    <mergeCell ref="C25:C33"/>
    <mergeCell ref="B34:D3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6.5"/>
  </cols>
  <sheetData>
    <row r="2">
      <c r="A2" s="689" t="s">
        <v>1281</v>
      </c>
      <c r="B2" s="690"/>
      <c r="C2" s="690"/>
      <c r="D2" s="690"/>
      <c r="E2" s="690"/>
    </row>
    <row r="3">
      <c r="A3" s="690"/>
      <c r="B3" s="690"/>
      <c r="C3" s="690"/>
      <c r="D3" s="690"/>
      <c r="E3" s="690"/>
    </row>
    <row r="4">
      <c r="A4" s="699" t="s">
        <v>1282</v>
      </c>
      <c r="B4" s="699" t="s">
        <v>4</v>
      </c>
      <c r="C4" s="699" t="s">
        <v>5</v>
      </c>
      <c r="D4" s="699" t="s">
        <v>1283</v>
      </c>
      <c r="E4" s="699" t="s">
        <v>715</v>
      </c>
      <c r="F4" s="692"/>
    </row>
    <row r="5">
      <c r="A5" s="693">
        <v>1.0</v>
      </c>
      <c r="B5" s="705" t="s">
        <v>688</v>
      </c>
      <c r="C5" s="694" t="s">
        <v>132</v>
      </c>
      <c r="D5" s="695" t="s">
        <v>760</v>
      </c>
      <c r="E5" s="706" t="s">
        <v>761</v>
      </c>
      <c r="F5" s="707"/>
    </row>
    <row r="6">
      <c r="A6" s="693">
        <v>2.0</v>
      </c>
      <c r="B6" s="27"/>
      <c r="C6" s="694" t="s">
        <v>134</v>
      </c>
      <c r="D6" s="27"/>
      <c r="E6" s="708" t="s">
        <v>762</v>
      </c>
      <c r="F6" s="707"/>
    </row>
    <row r="7">
      <c r="A7" s="693">
        <v>3.0</v>
      </c>
      <c r="B7" s="27"/>
      <c r="C7" s="694" t="s">
        <v>136</v>
      </c>
      <c r="D7" s="27"/>
      <c r="E7" s="708" t="s">
        <v>986</v>
      </c>
      <c r="F7" s="707"/>
    </row>
    <row r="8" ht="20.25" customHeight="1">
      <c r="A8" s="693">
        <v>4.0</v>
      </c>
      <c r="B8" s="27"/>
      <c r="C8" s="694" t="s">
        <v>137</v>
      </c>
      <c r="D8" s="27"/>
      <c r="E8" s="708" t="s">
        <v>1286</v>
      </c>
      <c r="F8" s="707"/>
    </row>
    <row r="9">
      <c r="A9" s="693">
        <v>5.0</v>
      </c>
      <c r="B9" s="27"/>
      <c r="C9" s="694" t="s">
        <v>139</v>
      </c>
      <c r="D9" s="27"/>
      <c r="E9" s="708" t="s">
        <v>765</v>
      </c>
      <c r="F9" s="707"/>
    </row>
    <row r="10">
      <c r="A10" s="693">
        <v>6.0</v>
      </c>
      <c r="B10" s="27"/>
      <c r="C10" s="694" t="s">
        <v>141</v>
      </c>
      <c r="D10" s="27"/>
      <c r="E10" s="709" t="s">
        <v>1287</v>
      </c>
      <c r="F10" s="707"/>
    </row>
    <row r="11">
      <c r="A11" s="693">
        <v>7.0</v>
      </c>
      <c r="B11" s="40"/>
      <c r="C11" s="694" t="s">
        <v>143</v>
      </c>
      <c r="D11" s="40"/>
      <c r="E11" s="708" t="s">
        <v>767</v>
      </c>
      <c r="F11" s="707"/>
    </row>
    <row r="12">
      <c r="A12" s="690"/>
      <c r="B12" s="690"/>
      <c r="C12" s="690"/>
      <c r="D12" s="690"/>
      <c r="E12" s="690"/>
    </row>
    <row r="13">
      <c r="A13" s="690"/>
      <c r="B13" s="690"/>
      <c r="C13" s="690"/>
      <c r="D13" s="690"/>
      <c r="E13" s="690"/>
    </row>
    <row r="14">
      <c r="A14" s="690"/>
      <c r="B14" s="690"/>
      <c r="C14" s="690"/>
      <c r="D14" s="690"/>
      <c r="E14" s="690"/>
    </row>
    <row r="15">
      <c r="A15" s="690"/>
      <c r="B15" s="151" t="s">
        <v>494</v>
      </c>
      <c r="C15" s="152" t="s">
        <v>495</v>
      </c>
      <c r="D15" s="152" t="s">
        <v>15</v>
      </c>
      <c r="E15" s="152" t="s">
        <v>496</v>
      </c>
      <c r="F15" s="152" t="s">
        <v>497</v>
      </c>
      <c r="G15" s="152" t="s">
        <v>498</v>
      </c>
      <c r="H15" s="152" t="s">
        <v>499</v>
      </c>
      <c r="I15" s="152" t="s">
        <v>501</v>
      </c>
    </row>
    <row r="16">
      <c r="A16" s="690"/>
      <c r="B16" s="156" t="s">
        <v>2</v>
      </c>
      <c r="C16" s="157" t="s">
        <v>505</v>
      </c>
      <c r="D16" s="158" t="s">
        <v>506</v>
      </c>
      <c r="E16" s="159">
        <v>518.0</v>
      </c>
      <c r="F16" s="159">
        <v>0.0</v>
      </c>
      <c r="G16" s="160">
        <f t="shared" ref="G16:G33" si="1">H16-F16</f>
        <v>0</v>
      </c>
      <c r="H16" s="160">
        <f>sum('PENDATAAN PERUMAHAN'!J58:J64)</f>
        <v>0</v>
      </c>
      <c r="I16" s="190">
        <v>0.0</v>
      </c>
    </row>
    <row r="17">
      <c r="B17" s="27"/>
      <c r="C17" s="27"/>
      <c r="D17" s="164" t="s">
        <v>508</v>
      </c>
      <c r="E17" s="159">
        <v>0.0</v>
      </c>
      <c r="F17" s="159">
        <v>138.0</v>
      </c>
      <c r="G17" s="160">
        <f t="shared" si="1"/>
        <v>-138</v>
      </c>
      <c r="H17" s="160">
        <f>sum('PENDATAAN PERUMAHAN'!K58:K64)</f>
        <v>0</v>
      </c>
      <c r="I17" s="190">
        <v>0.0</v>
      </c>
    </row>
    <row r="18">
      <c r="B18" s="27"/>
      <c r="C18" s="27"/>
      <c r="D18" s="164" t="s">
        <v>25</v>
      </c>
      <c r="E18" s="166">
        <v>2500.0</v>
      </c>
      <c r="F18" s="159">
        <v>4668.0</v>
      </c>
      <c r="G18" s="160">
        <f t="shared" si="1"/>
        <v>-4166</v>
      </c>
      <c r="H18" s="160">
        <f>sum('PENDATAAN PERUMAHAN'!M58:M64)</f>
        <v>502</v>
      </c>
      <c r="I18" s="161">
        <f>H18/E18</f>
        <v>0.2008</v>
      </c>
    </row>
    <row r="19">
      <c r="B19" s="27"/>
      <c r="C19" s="40"/>
      <c r="D19" s="164" t="s">
        <v>24</v>
      </c>
      <c r="E19" s="40"/>
      <c r="F19" s="159">
        <v>407.0</v>
      </c>
      <c r="G19" s="160">
        <f t="shared" si="1"/>
        <v>-338</v>
      </c>
      <c r="H19" s="160">
        <f>sum('PENDATAAN PERUMAHAN'!L58:L64)</f>
        <v>69</v>
      </c>
      <c r="I19" s="161"/>
    </row>
    <row r="20">
      <c r="B20" s="27"/>
      <c r="C20" s="157" t="s">
        <v>13</v>
      </c>
      <c r="D20" s="164" t="s">
        <v>512</v>
      </c>
      <c r="E20" s="159">
        <v>160000.0</v>
      </c>
      <c r="F20" s="159">
        <v>11206.0</v>
      </c>
      <c r="G20" s="160">
        <f t="shared" si="1"/>
        <v>-11206</v>
      </c>
      <c r="H20" s="160">
        <f>sum('PENDATAAN PERUMAHAN'!F58:F64)</f>
        <v>0</v>
      </c>
      <c r="I20" s="161">
        <f t="shared" ref="I20:I29" si="2">H20/E20</f>
        <v>0</v>
      </c>
    </row>
    <row r="21">
      <c r="B21" s="27"/>
      <c r="C21" s="40"/>
      <c r="D21" s="164" t="s">
        <v>514</v>
      </c>
      <c r="E21" s="159">
        <v>80000.0</v>
      </c>
      <c r="F21" s="159">
        <v>346.0</v>
      </c>
      <c r="G21" s="160">
        <f t="shared" si="1"/>
        <v>-346</v>
      </c>
      <c r="H21" s="160">
        <f>sum('PENDATAAN PERUMAHAN'!G58:G64)</f>
        <v>0</v>
      </c>
      <c r="I21" s="161">
        <f t="shared" si="2"/>
        <v>0</v>
      </c>
    </row>
    <row r="22">
      <c r="B22" s="27"/>
      <c r="C22" s="157" t="s">
        <v>14</v>
      </c>
      <c r="D22" s="158" t="s">
        <v>21</v>
      </c>
      <c r="E22" s="159">
        <v>197500.0</v>
      </c>
      <c r="F22" s="159">
        <v>6706.0</v>
      </c>
      <c r="G22" s="160">
        <f t="shared" si="1"/>
        <v>-6638</v>
      </c>
      <c r="H22" s="160">
        <f>sum('PENDATAAN PERUMAHAN'!H58:H64)</f>
        <v>68</v>
      </c>
      <c r="I22" s="161">
        <f t="shared" si="2"/>
        <v>0.0003443037975</v>
      </c>
    </row>
    <row r="23">
      <c r="B23" s="27"/>
      <c r="C23" s="27"/>
      <c r="D23" s="158" t="s">
        <v>517</v>
      </c>
      <c r="E23" s="166">
        <v>850.0</v>
      </c>
      <c r="F23" s="166">
        <v>397.0</v>
      </c>
      <c r="G23" s="160">
        <f t="shared" si="1"/>
        <v>-190</v>
      </c>
      <c r="H23" s="160">
        <f>sum('PENDATAAN PERUMAHAN'!I58:I64)</f>
        <v>207</v>
      </c>
      <c r="I23" s="161">
        <f t="shared" si="2"/>
        <v>0.2435294118</v>
      </c>
    </row>
    <row r="24">
      <c r="B24" s="40"/>
      <c r="C24" s="40"/>
      <c r="D24" s="171" t="s">
        <v>519</v>
      </c>
      <c r="E24" s="166">
        <v>50.0</v>
      </c>
      <c r="F24" s="166">
        <v>16.0</v>
      </c>
      <c r="G24" s="160">
        <f t="shared" si="1"/>
        <v>-16</v>
      </c>
      <c r="H24" s="160"/>
      <c r="I24" s="161">
        <f t="shared" si="2"/>
        <v>0</v>
      </c>
    </row>
    <row r="25">
      <c r="B25" s="156" t="s">
        <v>521</v>
      </c>
      <c r="C25" s="157" t="s">
        <v>522</v>
      </c>
      <c r="D25" s="171" t="s">
        <v>506</v>
      </c>
      <c r="E25" s="159">
        <v>15110.0</v>
      </c>
      <c r="F25" s="166">
        <v>0.0</v>
      </c>
      <c r="G25" s="160">
        <f t="shared" si="1"/>
        <v>0</v>
      </c>
      <c r="H25" s="160">
        <f>sum('PENDATAAN PERUMAHAN'!N58:N64)</f>
        <v>0</v>
      </c>
      <c r="I25" s="161">
        <f t="shared" si="2"/>
        <v>0</v>
      </c>
    </row>
    <row r="26">
      <c r="B26" s="27"/>
      <c r="C26" s="27"/>
      <c r="D26" s="171" t="s">
        <v>508</v>
      </c>
      <c r="E26" s="159">
        <v>100.0</v>
      </c>
      <c r="F26" s="166">
        <v>848.0</v>
      </c>
      <c r="G26" s="160">
        <f t="shared" si="1"/>
        <v>-838</v>
      </c>
      <c r="H26" s="160">
        <f>sum('PENDATAAN PERUMAHAN'!O58:O64)</f>
        <v>10</v>
      </c>
      <c r="I26" s="161">
        <f t="shared" si="2"/>
        <v>0.1</v>
      </c>
    </row>
    <row r="27">
      <c r="B27" s="27"/>
      <c r="C27" s="27"/>
      <c r="D27" s="171" t="s">
        <v>525</v>
      </c>
      <c r="E27" s="159">
        <v>675.0</v>
      </c>
      <c r="F27" s="159">
        <v>0.0</v>
      </c>
      <c r="G27" s="160">
        <f t="shared" si="1"/>
        <v>0</v>
      </c>
      <c r="H27" s="160">
        <f>sum('PENDATAAN PERUMAHAN'!P58:P64)</f>
        <v>0</v>
      </c>
      <c r="I27" s="161">
        <f t="shared" si="2"/>
        <v>0</v>
      </c>
    </row>
    <row r="28">
      <c r="B28" s="27"/>
      <c r="C28" s="27"/>
      <c r="D28" s="171" t="s">
        <v>25</v>
      </c>
      <c r="E28" s="159">
        <v>13500.0</v>
      </c>
      <c r="F28" s="159">
        <v>24219.0</v>
      </c>
      <c r="G28" s="160">
        <f t="shared" si="1"/>
        <v>-21794</v>
      </c>
      <c r="H28" s="160">
        <f>sum('PENDATAAN PERUMAHAN'!R58:R64)</f>
        <v>2425</v>
      </c>
      <c r="I28" s="161">
        <f t="shared" si="2"/>
        <v>0.1796296296</v>
      </c>
    </row>
    <row r="29">
      <c r="B29" s="27"/>
      <c r="C29" s="27"/>
      <c r="D29" s="158" t="s">
        <v>24</v>
      </c>
      <c r="E29" s="159">
        <v>42200.0</v>
      </c>
      <c r="F29" s="159">
        <v>2272.0</v>
      </c>
      <c r="G29" s="160">
        <f t="shared" si="1"/>
        <v>-1927</v>
      </c>
      <c r="H29" s="160">
        <f>sum('PENDATAAN PERUMAHAN'!Q58:Q64)</f>
        <v>345</v>
      </c>
      <c r="I29" s="161">
        <f t="shared" si="2"/>
        <v>0.00817535545</v>
      </c>
    </row>
    <row r="30">
      <c r="B30" s="27"/>
      <c r="C30" s="27"/>
      <c r="D30" s="158" t="s">
        <v>28</v>
      </c>
      <c r="E30" s="159">
        <v>0.0</v>
      </c>
      <c r="F30" s="159">
        <v>0.0</v>
      </c>
      <c r="G30" s="160">
        <f t="shared" si="1"/>
        <v>0</v>
      </c>
      <c r="H30" s="160">
        <f>sum('PENDATAAN PERUMAHAN'!T58:T64)</f>
        <v>0</v>
      </c>
      <c r="I30" s="161">
        <f>H30/36</f>
        <v>0</v>
      </c>
    </row>
    <row r="31">
      <c r="B31" s="27"/>
      <c r="C31" s="27"/>
      <c r="D31" s="158" t="s">
        <v>517</v>
      </c>
      <c r="E31" s="159">
        <v>600.0</v>
      </c>
      <c r="F31" s="159">
        <v>2104.0</v>
      </c>
      <c r="G31" s="160">
        <f t="shared" si="1"/>
        <v>-2078</v>
      </c>
      <c r="H31" s="160">
        <f>sum('PENDATAAN PERUMAHAN'!S58:S64)</f>
        <v>26</v>
      </c>
      <c r="I31" s="161">
        <f t="shared" ref="I31:I34" si="3">H31/E31</f>
        <v>0.04333333333</v>
      </c>
    </row>
    <row r="32">
      <c r="B32" s="27"/>
      <c r="C32" s="27"/>
      <c r="D32" s="158" t="s">
        <v>29</v>
      </c>
      <c r="E32" s="159">
        <v>486897.0</v>
      </c>
      <c r="F32" s="159">
        <v>1105.0</v>
      </c>
      <c r="G32" s="160">
        <f t="shared" si="1"/>
        <v>-1028</v>
      </c>
      <c r="H32" s="160">
        <f>sum('PENDATAAN PERUMAHAN'!U58:U64)</f>
        <v>77</v>
      </c>
      <c r="I32" s="161">
        <f t="shared" si="3"/>
        <v>0.0001581443303</v>
      </c>
    </row>
    <row r="33">
      <c r="B33" s="40"/>
      <c r="C33" s="40"/>
      <c r="D33" s="174" t="s">
        <v>519</v>
      </c>
      <c r="E33" s="175">
        <v>200.0</v>
      </c>
      <c r="F33" s="175">
        <v>169.0</v>
      </c>
      <c r="G33" s="698">
        <f t="shared" si="1"/>
        <v>-169</v>
      </c>
      <c r="H33" s="160"/>
      <c r="I33" s="161">
        <f t="shared" si="3"/>
        <v>0</v>
      </c>
    </row>
    <row r="34">
      <c r="B34" s="182" t="s">
        <v>533</v>
      </c>
      <c r="C34" s="183"/>
      <c r="D34" s="31"/>
      <c r="E34" s="184">
        <f t="shared" ref="E34:F34" si="4">SUM(E16:E33)</f>
        <v>1000700</v>
      </c>
      <c r="F34" s="184">
        <f t="shared" si="4"/>
        <v>54601</v>
      </c>
      <c r="G34" s="185"/>
      <c r="H34" s="185">
        <f>SUM(H16:H33)</f>
        <v>3729</v>
      </c>
      <c r="I34" s="186">
        <f t="shared" si="3"/>
        <v>0.003726391526</v>
      </c>
    </row>
    <row r="35">
      <c r="B35" s="187"/>
      <c r="C35" s="188"/>
      <c r="D35" s="189"/>
      <c r="E35" s="159"/>
      <c r="F35" s="160"/>
      <c r="G35" s="160"/>
      <c r="H35" s="160"/>
      <c r="I35" s="161"/>
    </row>
    <row r="36">
      <c r="B36" s="156" t="s">
        <v>6</v>
      </c>
      <c r="C36" s="157" t="s">
        <v>8</v>
      </c>
      <c r="D36" s="158" t="s">
        <v>536</v>
      </c>
      <c r="E36" s="159">
        <v>217500.0</v>
      </c>
      <c r="F36" s="159">
        <v>67791.0</v>
      </c>
      <c r="G36" s="160">
        <f t="shared" ref="G36:G37" si="5">H36-F36</f>
        <v>-61011</v>
      </c>
      <c r="H36" s="160">
        <f>sum('PENDATAAN PERUMAHAN'!E58:E64)</f>
        <v>6780</v>
      </c>
      <c r="I36" s="161">
        <f t="shared" ref="I36:I37" si="6">H36/E36</f>
        <v>0.03117241379</v>
      </c>
    </row>
    <row r="37">
      <c r="B37" s="27"/>
      <c r="C37" s="27"/>
      <c r="D37" s="158" t="s">
        <v>538</v>
      </c>
      <c r="E37" s="159">
        <v>300000.0</v>
      </c>
      <c r="F37" s="159">
        <v>0.0</v>
      </c>
      <c r="G37" s="160">
        <f t="shared" si="5"/>
        <v>0</v>
      </c>
      <c r="H37" s="159">
        <v>0.0</v>
      </c>
      <c r="I37" s="161">
        <f t="shared" si="6"/>
        <v>0</v>
      </c>
    </row>
    <row r="38">
      <c r="B38" s="40"/>
      <c r="C38" s="40"/>
      <c r="D38" s="158" t="s">
        <v>541</v>
      </c>
      <c r="E38" s="159">
        <v>0.0</v>
      </c>
      <c r="F38" s="159">
        <v>0.0</v>
      </c>
      <c r="G38" s="159">
        <v>0.0</v>
      </c>
      <c r="H38" s="159">
        <v>0.0</v>
      </c>
      <c r="I38" s="190">
        <v>0.0</v>
      </c>
    </row>
    <row r="39">
      <c r="B39" s="193" t="s">
        <v>542</v>
      </c>
      <c r="C39" s="19"/>
      <c r="D39" s="20"/>
      <c r="E39" s="194">
        <f>E36+E37+E38</f>
        <v>517500</v>
      </c>
      <c r="F39" s="195">
        <f>SUM(F36:F38)</f>
        <v>67791</v>
      </c>
      <c r="G39" s="195">
        <f t="shared" ref="G39:G40" si="7">H39-F39</f>
        <v>-61011</v>
      </c>
      <c r="H39" s="195">
        <f>H36+H37+H38</f>
        <v>6780</v>
      </c>
      <c r="I39" s="186">
        <f t="shared" ref="I39:I40" si="8">H39/E39</f>
        <v>0.01310144928</v>
      </c>
    </row>
    <row r="40">
      <c r="B40" s="197" t="s">
        <v>544</v>
      </c>
      <c r="C40" s="19"/>
      <c r="D40" s="20"/>
      <c r="E40" s="198">
        <f>E39+E34</f>
        <v>1518200</v>
      </c>
      <c r="F40" s="199">
        <f>F34+F39</f>
        <v>122392</v>
      </c>
      <c r="G40" s="200">
        <f t="shared" si="7"/>
        <v>-111883</v>
      </c>
      <c r="H40" s="199">
        <f>H39+H34</f>
        <v>10509</v>
      </c>
      <c r="I40" s="201">
        <f t="shared" si="8"/>
        <v>0.00692201291</v>
      </c>
    </row>
  </sheetData>
  <mergeCells count="14">
    <mergeCell ref="B25:B33"/>
    <mergeCell ref="C25:C33"/>
    <mergeCell ref="B34:D34"/>
    <mergeCell ref="B36:B38"/>
    <mergeCell ref="C36:C38"/>
    <mergeCell ref="B39:D39"/>
    <mergeCell ref="B40:D40"/>
    <mergeCell ref="B5:B11"/>
    <mergeCell ref="D5:D11"/>
    <mergeCell ref="B16:B24"/>
    <mergeCell ref="C16:C19"/>
    <mergeCell ref="E18:E19"/>
    <mergeCell ref="C20:C21"/>
    <mergeCell ref="C22:C24"/>
  </mergeCells>
  <hyperlinks>
    <hyperlink r:id="rId1" ref="E10"/>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hidden="1" min="7" max="7" width="12.63"/>
    <col customWidth="1" hidden="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v>1.0</v>
      </c>
      <c r="B5" s="705" t="s">
        <v>688</v>
      </c>
      <c r="C5" s="694" t="s">
        <v>144</v>
      </c>
      <c r="D5" s="711" t="s">
        <v>1288</v>
      </c>
      <c r="E5" s="712" t="s">
        <v>994</v>
      </c>
      <c r="F5" s="20"/>
    </row>
    <row r="6">
      <c r="A6" s="693">
        <v>2.0</v>
      </c>
      <c r="B6" s="27"/>
      <c r="C6" s="694" t="s">
        <v>146</v>
      </c>
      <c r="D6" s="27"/>
      <c r="E6" s="713" t="s">
        <v>1289</v>
      </c>
      <c r="F6" s="31"/>
    </row>
    <row r="7">
      <c r="A7" s="693">
        <v>3.0</v>
      </c>
      <c r="B7" s="27"/>
      <c r="C7" s="694" t="s">
        <v>147</v>
      </c>
      <c r="D7" s="27"/>
      <c r="E7" s="713" t="s">
        <v>771</v>
      </c>
      <c r="F7" s="31"/>
    </row>
    <row r="8" ht="20.25" customHeight="1">
      <c r="A8" s="693">
        <v>4.0</v>
      </c>
      <c r="B8" s="27"/>
      <c r="C8" s="694" t="s">
        <v>149</v>
      </c>
      <c r="D8" s="27"/>
      <c r="E8" s="713" t="s">
        <v>772</v>
      </c>
      <c r="F8" s="31"/>
    </row>
    <row r="9">
      <c r="A9" s="693">
        <v>5.0</v>
      </c>
      <c r="B9" s="40"/>
      <c r="C9" s="694" t="s">
        <v>151</v>
      </c>
      <c r="D9" s="40"/>
      <c r="E9" s="713" t="s">
        <v>773</v>
      </c>
      <c r="F9" s="31"/>
    </row>
    <row r="10">
      <c r="A10" s="690"/>
      <c r="B10" s="690"/>
      <c r="C10" s="690"/>
      <c r="D10" s="690"/>
      <c r="E10" s="690"/>
    </row>
    <row r="11">
      <c r="A11" s="690"/>
      <c r="B11" s="690"/>
      <c r="C11" s="690"/>
      <c r="D11" s="690"/>
      <c r="E11" s="690"/>
    </row>
    <row r="12">
      <c r="A12" s="690"/>
      <c r="B12" s="690"/>
      <c r="C12" s="690"/>
      <c r="D12" s="690"/>
      <c r="E12" s="690"/>
    </row>
    <row r="13">
      <c r="A13" s="690"/>
      <c r="B13" s="151" t="s">
        <v>494</v>
      </c>
      <c r="C13" s="152" t="s">
        <v>495</v>
      </c>
      <c r="D13" s="152" t="s">
        <v>15</v>
      </c>
      <c r="E13" s="152" t="s">
        <v>496</v>
      </c>
      <c r="F13" s="152" t="s">
        <v>497</v>
      </c>
      <c r="G13" s="152" t="s">
        <v>498</v>
      </c>
      <c r="H13" s="152" t="s">
        <v>499</v>
      </c>
      <c r="I13" s="152" t="s">
        <v>500</v>
      </c>
      <c r="J13" s="152" t="s">
        <v>501</v>
      </c>
    </row>
    <row r="14">
      <c r="A14" s="690"/>
      <c r="B14" s="156" t="s">
        <v>2</v>
      </c>
      <c r="C14" s="157" t="s">
        <v>505</v>
      </c>
      <c r="D14" s="158" t="s">
        <v>506</v>
      </c>
      <c r="E14" s="159">
        <v>518.0</v>
      </c>
      <c r="F14" s="159">
        <v>0.0</v>
      </c>
      <c r="G14" s="160">
        <f t="shared" ref="G14:G31" si="1">H14-F14</f>
        <v>0</v>
      </c>
      <c r="H14" s="160">
        <f>sum('PENDATAAN PERUMAHAN'!J65:J69)</f>
        <v>0</v>
      </c>
      <c r="I14" s="161">
        <f>(H14-F14)/E14</f>
        <v>0</v>
      </c>
      <c r="J14" s="161" t="str">
        <f t="shared" ref="J14:J15" si="2">H14/$E$2</f>
        <v>#DIV/0!</v>
      </c>
    </row>
    <row r="15">
      <c r="B15" s="27"/>
      <c r="C15" s="27"/>
      <c r="D15" s="164" t="s">
        <v>508</v>
      </c>
      <c r="E15" s="159">
        <v>0.0</v>
      </c>
      <c r="F15" s="159">
        <v>138.0</v>
      </c>
      <c r="G15" s="160">
        <f t="shared" si="1"/>
        <v>-138</v>
      </c>
      <c r="H15" s="160">
        <f>sum('PENDATAAN PERUMAHAN'!K65:K69)</f>
        <v>0</v>
      </c>
      <c r="I15" s="161"/>
      <c r="J15" s="161" t="str">
        <f t="shared" si="2"/>
        <v>#DIV/0!</v>
      </c>
    </row>
    <row r="16">
      <c r="B16" s="27"/>
      <c r="C16" s="27"/>
      <c r="D16" s="164" t="s">
        <v>25</v>
      </c>
      <c r="E16" s="166">
        <v>2500.0</v>
      </c>
      <c r="F16" s="159">
        <v>4668.0</v>
      </c>
      <c r="G16" s="160">
        <f t="shared" si="1"/>
        <v>-4620</v>
      </c>
      <c r="H16" s="160">
        <f>sum('PENDATAAN PERUMAHAN'!M65:M69)</f>
        <v>48</v>
      </c>
      <c r="I16" s="161">
        <f>(H16-F16)/E16</f>
        <v>-1.848</v>
      </c>
      <c r="J16" s="161">
        <f>H16/E16</f>
        <v>0.0192</v>
      </c>
    </row>
    <row r="17">
      <c r="B17" s="27"/>
      <c r="C17" s="40"/>
      <c r="D17" s="164" t="s">
        <v>24</v>
      </c>
      <c r="E17" s="40"/>
      <c r="F17" s="159">
        <v>407.0</v>
      </c>
      <c r="G17" s="160">
        <f t="shared" si="1"/>
        <v>-407</v>
      </c>
      <c r="H17" s="160">
        <f>sum('PENDATAAN PERUMAHAN'!L65:L69)</f>
        <v>0</v>
      </c>
      <c r="I17" s="161"/>
      <c r="J17" s="161"/>
    </row>
    <row r="18">
      <c r="B18" s="27"/>
      <c r="C18" s="157" t="s">
        <v>13</v>
      </c>
      <c r="D18" s="164" t="s">
        <v>512</v>
      </c>
      <c r="E18" s="159">
        <v>160000.0</v>
      </c>
      <c r="F18" s="159">
        <v>11206.0</v>
      </c>
      <c r="G18" s="160">
        <f t="shared" si="1"/>
        <v>-11206</v>
      </c>
      <c r="H18" s="160">
        <f>sum('PENDATAAN PERUMAHAN'!F65:F69)</f>
        <v>0</v>
      </c>
      <c r="I18" s="161">
        <f t="shared" ref="I18:I21" si="3">(H18-F18)/E18</f>
        <v>-0.0700375</v>
      </c>
      <c r="J18" s="161">
        <f t="shared" ref="J18:J27" si="4">H18/E18</f>
        <v>0</v>
      </c>
    </row>
    <row r="19">
      <c r="B19" s="27"/>
      <c r="C19" s="40"/>
      <c r="D19" s="164" t="s">
        <v>514</v>
      </c>
      <c r="E19" s="159">
        <v>80000.0</v>
      </c>
      <c r="F19" s="159">
        <v>346.0</v>
      </c>
      <c r="G19" s="160">
        <f t="shared" si="1"/>
        <v>-346</v>
      </c>
      <c r="H19" s="160">
        <f>sum('PENDATAAN PERUMAHAN'!G65:G69)</f>
        <v>0</v>
      </c>
      <c r="I19" s="161">
        <f t="shared" si="3"/>
        <v>-0.004325</v>
      </c>
      <c r="J19" s="161">
        <f t="shared" si="4"/>
        <v>0</v>
      </c>
    </row>
    <row r="20">
      <c r="B20" s="27"/>
      <c r="C20" s="157" t="s">
        <v>14</v>
      </c>
      <c r="D20" s="158" t="s">
        <v>21</v>
      </c>
      <c r="E20" s="159">
        <v>197500.0</v>
      </c>
      <c r="F20" s="159">
        <v>6706.0</v>
      </c>
      <c r="G20" s="160">
        <f t="shared" si="1"/>
        <v>-6706</v>
      </c>
      <c r="H20" s="160">
        <f>sum('PENDATAAN PERUMAHAN'!H65:H69)</f>
        <v>0</v>
      </c>
      <c r="I20" s="161">
        <f t="shared" si="3"/>
        <v>-0.03395443038</v>
      </c>
      <c r="J20" s="161">
        <f t="shared" si="4"/>
        <v>0</v>
      </c>
    </row>
    <row r="21">
      <c r="B21" s="27"/>
      <c r="C21" s="27"/>
      <c r="D21" s="158" t="s">
        <v>517</v>
      </c>
      <c r="E21" s="166">
        <v>850.0</v>
      </c>
      <c r="F21" s="166">
        <v>397.0</v>
      </c>
      <c r="G21" s="160">
        <f t="shared" si="1"/>
        <v>-397</v>
      </c>
      <c r="H21" s="160">
        <f>sum('PENDATAAN PERUMAHAN'!I65:I69)</f>
        <v>0</v>
      </c>
      <c r="I21" s="161">
        <f t="shared" si="3"/>
        <v>-0.4670588235</v>
      </c>
      <c r="J21" s="161">
        <f t="shared" si="4"/>
        <v>0</v>
      </c>
    </row>
    <row r="22">
      <c r="B22" s="40"/>
      <c r="C22" s="40"/>
      <c r="D22" s="171" t="s">
        <v>519</v>
      </c>
      <c r="E22" s="166">
        <v>50.0</v>
      </c>
      <c r="F22" s="166">
        <v>16.0</v>
      </c>
      <c r="G22" s="160">
        <f t="shared" si="1"/>
        <v>-16</v>
      </c>
      <c r="H22" s="160"/>
      <c r="I22" s="161"/>
      <c r="J22" s="161">
        <f t="shared" si="4"/>
        <v>0</v>
      </c>
    </row>
    <row r="23">
      <c r="B23" s="156" t="s">
        <v>521</v>
      </c>
      <c r="C23" s="157" t="s">
        <v>522</v>
      </c>
      <c r="D23" s="171" t="s">
        <v>506</v>
      </c>
      <c r="E23" s="159">
        <v>15110.0</v>
      </c>
      <c r="F23" s="166">
        <v>0.0</v>
      </c>
      <c r="G23" s="160">
        <f t="shared" si="1"/>
        <v>0</v>
      </c>
      <c r="H23" s="160">
        <f>sum('PENDATAAN PERUMAHAN'!N65:N69)</f>
        <v>0</v>
      </c>
      <c r="I23" s="161">
        <f>(H23-F23)/E23</f>
        <v>0</v>
      </c>
      <c r="J23" s="161">
        <f t="shared" si="4"/>
        <v>0</v>
      </c>
    </row>
    <row r="24">
      <c r="B24" s="27"/>
      <c r="C24" s="27"/>
      <c r="D24" s="171" t="s">
        <v>508</v>
      </c>
      <c r="E24" s="159">
        <v>100.0</v>
      </c>
      <c r="F24" s="166">
        <v>848.0</v>
      </c>
      <c r="G24" s="160">
        <f t="shared" si="1"/>
        <v>-848</v>
      </c>
      <c r="H24" s="160">
        <f>sum('PENDATAAN PERUMAHAN'!O65:O69)</f>
        <v>0</v>
      </c>
      <c r="I24" s="161"/>
      <c r="J24" s="161">
        <f t="shared" si="4"/>
        <v>0</v>
      </c>
    </row>
    <row r="25">
      <c r="B25" s="27"/>
      <c r="C25" s="27"/>
      <c r="D25" s="171" t="s">
        <v>525</v>
      </c>
      <c r="E25" s="159">
        <v>675.0</v>
      </c>
      <c r="F25" s="159">
        <v>0.0</v>
      </c>
      <c r="G25" s="160">
        <f t="shared" si="1"/>
        <v>0</v>
      </c>
      <c r="H25" s="160">
        <f>sum('PENDATAAN PERUMAHAN'!P65:P69)</f>
        <v>0</v>
      </c>
      <c r="I25" s="161">
        <f t="shared" ref="I25:I30" si="5">(H25-F25)/E25</f>
        <v>0</v>
      </c>
      <c r="J25" s="161">
        <f t="shared" si="4"/>
        <v>0</v>
      </c>
    </row>
    <row r="26">
      <c r="B26" s="27"/>
      <c r="C26" s="27"/>
      <c r="D26" s="171" t="s">
        <v>25</v>
      </c>
      <c r="E26" s="159">
        <v>13500.0</v>
      </c>
      <c r="F26" s="159">
        <v>24219.0</v>
      </c>
      <c r="G26" s="160">
        <f t="shared" si="1"/>
        <v>-23709</v>
      </c>
      <c r="H26" s="160">
        <f>sum('PENDATAAN PERUMAHAN'!R65:R69)</f>
        <v>510</v>
      </c>
      <c r="I26" s="161">
        <f t="shared" si="5"/>
        <v>-1.756222222</v>
      </c>
      <c r="J26" s="161">
        <f t="shared" si="4"/>
        <v>0.03777777778</v>
      </c>
    </row>
    <row r="27">
      <c r="B27" s="27"/>
      <c r="C27" s="27"/>
      <c r="D27" s="158" t="s">
        <v>24</v>
      </c>
      <c r="E27" s="159">
        <v>42200.0</v>
      </c>
      <c r="F27" s="159">
        <v>2272.0</v>
      </c>
      <c r="G27" s="160">
        <f t="shared" si="1"/>
        <v>-2272</v>
      </c>
      <c r="H27" s="160">
        <f>sum('PENDATAAN PERUMAHAN'!Q65:Q69)</f>
        <v>0</v>
      </c>
      <c r="I27" s="161">
        <f t="shared" si="5"/>
        <v>-0.05383886256</v>
      </c>
      <c r="J27" s="161">
        <f t="shared" si="4"/>
        <v>0</v>
      </c>
    </row>
    <row r="28">
      <c r="B28" s="27"/>
      <c r="C28" s="27"/>
      <c r="D28" s="158" t="s">
        <v>28</v>
      </c>
      <c r="E28" s="159">
        <v>0.0</v>
      </c>
      <c r="F28" s="159">
        <v>0.0</v>
      </c>
      <c r="G28" s="160">
        <f t="shared" si="1"/>
        <v>0</v>
      </c>
      <c r="H28" s="160">
        <f>sum('PENDATAAN PERUMAHAN'!T65:T69)</f>
        <v>0</v>
      </c>
      <c r="I28" s="161" t="str">
        <f t="shared" si="5"/>
        <v>#DIV/0!</v>
      </c>
      <c r="J28" s="161">
        <f>H28/36</f>
        <v>0</v>
      </c>
    </row>
    <row r="29">
      <c r="B29" s="27"/>
      <c r="C29" s="27"/>
      <c r="D29" s="158" t="s">
        <v>517</v>
      </c>
      <c r="E29" s="159">
        <v>600.0</v>
      </c>
      <c r="F29" s="159">
        <v>2104.0</v>
      </c>
      <c r="G29" s="160">
        <f t="shared" si="1"/>
        <v>-2098</v>
      </c>
      <c r="H29" s="160">
        <f>sum('PENDATAAN PERUMAHAN'!S65:S69)</f>
        <v>6</v>
      </c>
      <c r="I29" s="161">
        <f t="shared" si="5"/>
        <v>-3.496666667</v>
      </c>
      <c r="J29" s="161">
        <f t="shared" ref="J29:J32" si="6">H29/E29</f>
        <v>0.01</v>
      </c>
    </row>
    <row r="30">
      <c r="B30" s="27"/>
      <c r="C30" s="27"/>
      <c r="D30" s="158" t="s">
        <v>29</v>
      </c>
      <c r="E30" s="159">
        <v>486897.0</v>
      </c>
      <c r="F30" s="159">
        <v>1105.0</v>
      </c>
      <c r="G30" s="160">
        <f t="shared" si="1"/>
        <v>-1038</v>
      </c>
      <c r="H30" s="160">
        <f>sum('PENDATAAN PERUMAHAN'!U65:U69)</f>
        <v>67</v>
      </c>
      <c r="I30" s="161">
        <f t="shared" si="5"/>
        <v>-0.002131867726</v>
      </c>
      <c r="J30" s="161">
        <f t="shared" si="6"/>
        <v>0.0001376061056</v>
      </c>
    </row>
    <row r="31">
      <c r="B31" s="40"/>
      <c r="C31" s="40"/>
      <c r="D31" s="174" t="s">
        <v>519</v>
      </c>
      <c r="E31" s="175">
        <v>200.0</v>
      </c>
      <c r="F31" s="175">
        <v>169.0</v>
      </c>
      <c r="G31" s="698">
        <f t="shared" si="1"/>
        <v>-169</v>
      </c>
      <c r="H31" s="160"/>
      <c r="I31" s="175"/>
      <c r="J31" s="161">
        <f t="shared" si="6"/>
        <v>0</v>
      </c>
    </row>
    <row r="32">
      <c r="B32" s="182" t="s">
        <v>533</v>
      </c>
      <c r="C32" s="183"/>
      <c r="D32" s="31"/>
      <c r="E32" s="184">
        <f t="shared" ref="E32:F32" si="7">SUM(E14:E31)</f>
        <v>1000700</v>
      </c>
      <c r="F32" s="184">
        <f t="shared" si="7"/>
        <v>54601</v>
      </c>
      <c r="G32" s="185"/>
      <c r="H32" s="185">
        <f>SUM(H14:H31)</f>
        <v>631</v>
      </c>
      <c r="I32" s="186">
        <f>(H32-F32)/E32</f>
        <v>-0.05393224743</v>
      </c>
      <c r="J32" s="186">
        <f t="shared" si="6"/>
        <v>0.000630558609</v>
      </c>
    </row>
    <row r="33">
      <c r="B33" s="187"/>
      <c r="C33" s="188"/>
      <c r="D33" s="189"/>
      <c r="E33" s="159"/>
      <c r="F33" s="160"/>
      <c r="G33" s="160"/>
      <c r="H33" s="160"/>
      <c r="I33" s="161"/>
      <c r="J33" s="161"/>
    </row>
    <row r="34">
      <c r="B34" s="156" t="s">
        <v>6</v>
      </c>
      <c r="C34" s="157" t="s">
        <v>8</v>
      </c>
      <c r="D34" s="158" t="s">
        <v>536</v>
      </c>
      <c r="E34" s="159">
        <v>217500.0</v>
      </c>
      <c r="F34" s="159">
        <v>67791.0</v>
      </c>
      <c r="G34" s="160">
        <f t="shared" ref="G34:G35" si="8">H34-F34</f>
        <v>-66782</v>
      </c>
      <c r="H34" s="160">
        <f>sum('PENDATAAN PERUMAHAN'!E65:E69)</f>
        <v>1009</v>
      </c>
      <c r="I34" s="161">
        <f t="shared" ref="I34:I38" si="9">(H34-F34)/E34</f>
        <v>-0.3070436782</v>
      </c>
      <c r="J34" s="161">
        <f t="shared" ref="J34:J38" si="10">H34/E34</f>
        <v>0.00463908046</v>
      </c>
    </row>
    <row r="35">
      <c r="B35" s="27"/>
      <c r="C35" s="27"/>
      <c r="D35" s="158" t="s">
        <v>538</v>
      </c>
      <c r="E35" s="159">
        <v>300000.0</v>
      </c>
      <c r="F35" s="159">
        <v>0.0</v>
      </c>
      <c r="G35" s="160">
        <f t="shared" si="8"/>
        <v>0</v>
      </c>
      <c r="H35" s="160" t="str">
        <f>'PENDATAAN PERUMAHAN'!V243</f>
        <v/>
      </c>
      <c r="I35" s="161">
        <f t="shared" si="9"/>
        <v>0</v>
      </c>
      <c r="J35" s="161">
        <f t="shared" si="10"/>
        <v>0</v>
      </c>
    </row>
    <row r="36">
      <c r="B36" s="40"/>
      <c r="C36" s="40"/>
      <c r="D36" s="158" t="s">
        <v>541</v>
      </c>
      <c r="E36" s="159">
        <v>0.0</v>
      </c>
      <c r="F36" s="159">
        <v>0.0</v>
      </c>
      <c r="G36" s="160"/>
      <c r="H36" s="160" t="str">
        <f>'PENDATAAN PERUMAHAN'!W243</f>
        <v/>
      </c>
      <c r="I36" s="161" t="str">
        <f t="shared" si="9"/>
        <v>#DIV/0!</v>
      </c>
      <c r="J36" s="161" t="str">
        <f t="shared" si="10"/>
        <v>#DIV/0!</v>
      </c>
    </row>
    <row r="37">
      <c r="B37" s="193" t="s">
        <v>542</v>
      </c>
      <c r="C37" s="19"/>
      <c r="D37" s="20"/>
      <c r="E37" s="194">
        <f>E34+E35+E36</f>
        <v>517500</v>
      </c>
      <c r="F37" s="195">
        <f>SUM(F34:F36)</f>
        <v>67791</v>
      </c>
      <c r="G37" s="195">
        <f t="shared" ref="G37:G38" si="11">H37-F37</f>
        <v>-66782</v>
      </c>
      <c r="H37" s="195">
        <f>H34+H35+H36</f>
        <v>1009</v>
      </c>
      <c r="I37" s="186">
        <f t="shared" si="9"/>
        <v>-0.129047343</v>
      </c>
      <c r="J37" s="186">
        <f t="shared" si="10"/>
        <v>0.001949758454</v>
      </c>
    </row>
    <row r="38">
      <c r="B38" s="197" t="s">
        <v>544</v>
      </c>
      <c r="C38" s="19"/>
      <c r="D38" s="20"/>
      <c r="E38" s="198">
        <f>E37+E32</f>
        <v>1518200</v>
      </c>
      <c r="F38" s="199">
        <f>F32+F37</f>
        <v>122392</v>
      </c>
      <c r="G38" s="200">
        <f t="shared" si="11"/>
        <v>-120752</v>
      </c>
      <c r="H38" s="199">
        <f>H37+H32</f>
        <v>1640</v>
      </c>
      <c r="I38" s="201">
        <f t="shared" si="9"/>
        <v>-0.07953629298</v>
      </c>
      <c r="J38" s="201">
        <f t="shared" si="10"/>
        <v>0.001080226584</v>
      </c>
    </row>
  </sheetData>
  <mergeCells count="19">
    <mergeCell ref="B5:B9"/>
    <mergeCell ref="D5:D9"/>
    <mergeCell ref="E5:F5"/>
    <mergeCell ref="E6:F6"/>
    <mergeCell ref="E7:F7"/>
    <mergeCell ref="E8:F8"/>
    <mergeCell ref="E9:F9"/>
    <mergeCell ref="B23:B31"/>
    <mergeCell ref="B34:B36"/>
    <mergeCell ref="C34:C36"/>
    <mergeCell ref="B37:D37"/>
    <mergeCell ref="B38:D38"/>
    <mergeCell ref="B14:B22"/>
    <mergeCell ref="C14:C17"/>
    <mergeCell ref="E16:E17"/>
    <mergeCell ref="C18:C19"/>
    <mergeCell ref="C20:C22"/>
    <mergeCell ref="C23:C31"/>
    <mergeCell ref="B32:D3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hidden="1" min="7" max="7" width="12.63"/>
    <col customWidth="1" hidden="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v>1.0</v>
      </c>
      <c r="B5" s="705" t="s">
        <v>1290</v>
      </c>
      <c r="C5" s="694" t="s">
        <v>153</v>
      </c>
      <c r="D5" s="695" t="s">
        <v>774</v>
      </c>
      <c r="E5" s="636" t="s">
        <v>775</v>
      </c>
      <c r="F5" s="707"/>
    </row>
    <row r="6">
      <c r="A6" s="693">
        <v>2.0</v>
      </c>
      <c r="B6" s="27"/>
      <c r="C6" s="694" t="s">
        <v>157</v>
      </c>
      <c r="D6" s="27"/>
      <c r="E6" s="697" t="s">
        <v>1008</v>
      </c>
      <c r="F6" s="707"/>
    </row>
    <row r="7">
      <c r="A7" s="693">
        <v>3.0</v>
      </c>
      <c r="B7" s="27"/>
      <c r="C7" s="694" t="s">
        <v>160</v>
      </c>
      <c r="D7" s="27"/>
      <c r="E7" s="697" t="s">
        <v>1011</v>
      </c>
      <c r="F7" s="707"/>
    </row>
    <row r="8" ht="20.25" customHeight="1">
      <c r="A8" s="693">
        <v>4.0</v>
      </c>
      <c r="B8" s="27"/>
      <c r="C8" s="694" t="s">
        <v>162</v>
      </c>
      <c r="D8" s="27"/>
      <c r="E8" s="697" t="s">
        <v>1014</v>
      </c>
      <c r="F8" s="707"/>
    </row>
    <row r="9">
      <c r="A9" s="693">
        <v>5.0</v>
      </c>
      <c r="B9" s="40"/>
      <c r="C9" s="694" t="s">
        <v>164</v>
      </c>
      <c r="D9" s="40"/>
      <c r="E9" s="697" t="s">
        <v>1016</v>
      </c>
      <c r="F9" s="707"/>
    </row>
    <row r="10">
      <c r="A10" s="690"/>
      <c r="B10" s="690"/>
      <c r="C10" s="690"/>
      <c r="D10" s="690"/>
      <c r="E10" s="690"/>
    </row>
    <row r="11">
      <c r="A11" s="690"/>
      <c r="B11" s="690"/>
      <c r="C11" s="690"/>
      <c r="D11" s="690"/>
      <c r="E11" s="690"/>
    </row>
    <row r="12">
      <c r="A12" s="690"/>
      <c r="B12" s="690"/>
      <c r="C12" s="690"/>
      <c r="D12" s="690"/>
      <c r="E12" s="690"/>
    </row>
    <row r="13">
      <c r="A13" s="690"/>
      <c r="B13" s="151" t="s">
        <v>494</v>
      </c>
      <c r="C13" s="152" t="s">
        <v>495</v>
      </c>
      <c r="D13" s="152" t="s">
        <v>15</v>
      </c>
      <c r="E13" s="152" t="s">
        <v>496</v>
      </c>
      <c r="F13" s="152" t="s">
        <v>497</v>
      </c>
      <c r="G13" s="152" t="s">
        <v>498</v>
      </c>
      <c r="H13" s="152" t="s">
        <v>499</v>
      </c>
      <c r="I13" s="152" t="s">
        <v>500</v>
      </c>
      <c r="J13" s="152" t="s">
        <v>501</v>
      </c>
    </row>
    <row r="14">
      <c r="A14" s="690"/>
      <c r="B14" s="156" t="s">
        <v>2</v>
      </c>
      <c r="C14" s="157" t="s">
        <v>505</v>
      </c>
      <c r="D14" s="158" t="s">
        <v>506</v>
      </c>
      <c r="E14" s="159">
        <v>518.0</v>
      </c>
      <c r="F14" s="159">
        <v>0.0</v>
      </c>
      <c r="G14" s="160">
        <f t="shared" ref="G14:G31" si="1">H14-F14</f>
        <v>0</v>
      </c>
      <c r="H14" s="160">
        <f>sum('PENDATAAN PERUMAHAN'!J70:J74)</f>
        <v>0</v>
      </c>
      <c r="I14" s="161">
        <f>(H14-F14)/E14</f>
        <v>0</v>
      </c>
      <c r="J14" s="161" t="str">
        <f t="shared" ref="J14:J15" si="2">H14/$E$2</f>
        <v>#DIV/0!</v>
      </c>
    </row>
    <row r="15">
      <c r="B15" s="27"/>
      <c r="C15" s="27"/>
      <c r="D15" s="164" t="s">
        <v>508</v>
      </c>
      <c r="E15" s="159">
        <v>0.0</v>
      </c>
      <c r="F15" s="159">
        <v>138.0</v>
      </c>
      <c r="G15" s="160">
        <f t="shared" si="1"/>
        <v>-138</v>
      </c>
      <c r="H15" s="160">
        <f>sum('PENDATAAN PERUMAHAN'!K70:K74)</f>
        <v>0</v>
      </c>
      <c r="I15" s="161"/>
      <c r="J15" s="161" t="str">
        <f t="shared" si="2"/>
        <v>#DIV/0!</v>
      </c>
    </row>
    <row r="16">
      <c r="B16" s="27"/>
      <c r="C16" s="27"/>
      <c r="D16" s="164" t="s">
        <v>25</v>
      </c>
      <c r="E16" s="166">
        <v>2500.0</v>
      </c>
      <c r="F16" s="159">
        <v>4668.0</v>
      </c>
      <c r="G16" s="160">
        <f t="shared" si="1"/>
        <v>-4668</v>
      </c>
      <c r="H16" s="160">
        <f>sum('PENDATAAN PERUMAHAN'!M70:M74)</f>
        <v>0</v>
      </c>
      <c r="I16" s="161">
        <f>(H16-F16)/E16</f>
        <v>-1.8672</v>
      </c>
      <c r="J16" s="161">
        <f>H16/E16</f>
        <v>0</v>
      </c>
    </row>
    <row r="17">
      <c r="B17" s="27"/>
      <c r="C17" s="40"/>
      <c r="D17" s="164" t="s">
        <v>24</v>
      </c>
      <c r="E17" s="40"/>
      <c r="F17" s="159">
        <v>407.0</v>
      </c>
      <c r="G17" s="160">
        <f t="shared" si="1"/>
        <v>-407</v>
      </c>
      <c r="H17" s="160">
        <f>sum('PENDATAAN PERUMAHAN'!L70:L74)</f>
        <v>0</v>
      </c>
      <c r="I17" s="161"/>
      <c r="J17" s="161"/>
    </row>
    <row r="18">
      <c r="B18" s="27"/>
      <c r="C18" s="157" t="s">
        <v>13</v>
      </c>
      <c r="D18" s="164" t="s">
        <v>512</v>
      </c>
      <c r="E18" s="159">
        <v>160000.0</v>
      </c>
      <c r="F18" s="159">
        <v>11206.0</v>
      </c>
      <c r="G18" s="160">
        <f t="shared" si="1"/>
        <v>-11149</v>
      </c>
      <c r="H18" s="160">
        <f>sum('PENDATAAN PERUMAHAN'!F70:F74)</f>
        <v>57</v>
      </c>
      <c r="I18" s="161">
        <f t="shared" ref="I18:I21" si="3">(H18-F18)/E18</f>
        <v>-0.06968125</v>
      </c>
      <c r="J18" s="161">
        <f t="shared" ref="J18:J27" si="4">H18/E18</f>
        <v>0.00035625</v>
      </c>
    </row>
    <row r="19">
      <c r="B19" s="27"/>
      <c r="C19" s="40"/>
      <c r="D19" s="164" t="s">
        <v>514</v>
      </c>
      <c r="E19" s="159">
        <v>80000.0</v>
      </c>
      <c r="F19" s="159">
        <v>346.0</v>
      </c>
      <c r="G19" s="160">
        <f t="shared" si="1"/>
        <v>-346</v>
      </c>
      <c r="H19" s="160">
        <f>sum('PENDATAAN PERUMAHAN'!G70:G74)</f>
        <v>0</v>
      </c>
      <c r="I19" s="161">
        <f t="shared" si="3"/>
        <v>-0.004325</v>
      </c>
      <c r="J19" s="161">
        <f t="shared" si="4"/>
        <v>0</v>
      </c>
    </row>
    <row r="20">
      <c r="B20" s="27"/>
      <c r="C20" s="157" t="s">
        <v>14</v>
      </c>
      <c r="D20" s="158" t="s">
        <v>21</v>
      </c>
      <c r="E20" s="159">
        <v>197500.0</v>
      </c>
      <c r="F20" s="159">
        <v>6706.0</v>
      </c>
      <c r="G20" s="160">
        <f t="shared" si="1"/>
        <v>-6469</v>
      </c>
      <c r="H20" s="160">
        <f>sum('PENDATAAN PERUMAHAN'!H70:H74)</f>
        <v>237</v>
      </c>
      <c r="I20" s="161">
        <f t="shared" si="3"/>
        <v>-0.03275443038</v>
      </c>
      <c r="J20" s="161">
        <f t="shared" si="4"/>
        <v>0.0012</v>
      </c>
    </row>
    <row r="21">
      <c r="B21" s="27"/>
      <c r="C21" s="27"/>
      <c r="D21" s="158" t="s">
        <v>517</v>
      </c>
      <c r="E21" s="166">
        <v>850.0</v>
      </c>
      <c r="F21" s="166">
        <v>397.0</v>
      </c>
      <c r="G21" s="160">
        <f t="shared" si="1"/>
        <v>-397</v>
      </c>
      <c r="H21" s="160">
        <f>sum('PENDATAAN PERUMAHAN'!I70:I74)</f>
        <v>0</v>
      </c>
      <c r="I21" s="161">
        <f t="shared" si="3"/>
        <v>-0.4670588235</v>
      </c>
      <c r="J21" s="161">
        <f t="shared" si="4"/>
        <v>0</v>
      </c>
    </row>
    <row r="22">
      <c r="B22" s="40"/>
      <c r="C22" s="40"/>
      <c r="D22" s="171" t="s">
        <v>519</v>
      </c>
      <c r="E22" s="166">
        <v>50.0</v>
      </c>
      <c r="F22" s="166">
        <v>16.0</v>
      </c>
      <c r="G22" s="160">
        <f t="shared" si="1"/>
        <v>-16</v>
      </c>
      <c r="H22" s="160"/>
      <c r="I22" s="161"/>
      <c r="J22" s="161">
        <f t="shared" si="4"/>
        <v>0</v>
      </c>
    </row>
    <row r="23">
      <c r="B23" s="156" t="s">
        <v>521</v>
      </c>
      <c r="C23" s="157" t="s">
        <v>522</v>
      </c>
      <c r="D23" s="171" t="s">
        <v>506</v>
      </c>
      <c r="E23" s="159">
        <v>15110.0</v>
      </c>
      <c r="F23" s="166">
        <v>0.0</v>
      </c>
      <c r="G23" s="160">
        <f t="shared" si="1"/>
        <v>0</v>
      </c>
      <c r="H23" s="160">
        <f>sum('PENDATAAN PERUMAHAN'!N70:N74)</f>
        <v>0</v>
      </c>
      <c r="I23" s="161">
        <f>(H23-F23)/E23</f>
        <v>0</v>
      </c>
      <c r="J23" s="161">
        <f t="shared" si="4"/>
        <v>0</v>
      </c>
    </row>
    <row r="24">
      <c r="B24" s="27"/>
      <c r="C24" s="27"/>
      <c r="D24" s="171" t="s">
        <v>508</v>
      </c>
      <c r="E24" s="159">
        <v>100.0</v>
      </c>
      <c r="F24" s="166">
        <v>848.0</v>
      </c>
      <c r="G24" s="160">
        <f t="shared" si="1"/>
        <v>-423</v>
      </c>
      <c r="H24" s="160">
        <f>sum('PENDATAAN PERUMAHAN'!O70:O74)</f>
        <v>425</v>
      </c>
      <c r="I24" s="161"/>
      <c r="J24" s="161">
        <f t="shared" si="4"/>
        <v>4.25</v>
      </c>
    </row>
    <row r="25">
      <c r="B25" s="27"/>
      <c r="C25" s="27"/>
      <c r="D25" s="171" t="s">
        <v>525</v>
      </c>
      <c r="E25" s="159">
        <v>675.0</v>
      </c>
      <c r="F25" s="159">
        <v>0.0</v>
      </c>
      <c r="G25" s="160">
        <f t="shared" si="1"/>
        <v>0</v>
      </c>
      <c r="H25" s="160">
        <f>sum('PENDATAAN PERUMAHAN'!P70:P74)</f>
        <v>0</v>
      </c>
      <c r="I25" s="161">
        <f t="shared" ref="I25:I30" si="5">(H25-F25)/E25</f>
        <v>0</v>
      </c>
      <c r="J25" s="161">
        <f t="shared" si="4"/>
        <v>0</v>
      </c>
    </row>
    <row r="26">
      <c r="B26" s="27"/>
      <c r="C26" s="27"/>
      <c r="D26" s="171" t="s">
        <v>25</v>
      </c>
      <c r="E26" s="159">
        <v>13500.0</v>
      </c>
      <c r="F26" s="159">
        <v>24219.0</v>
      </c>
      <c r="G26" s="160">
        <f t="shared" si="1"/>
        <v>-23926</v>
      </c>
      <c r="H26" s="160">
        <f>sum('PENDATAAN PERUMAHAN'!R70:R74)</f>
        <v>293</v>
      </c>
      <c r="I26" s="161">
        <f t="shared" si="5"/>
        <v>-1.772296296</v>
      </c>
      <c r="J26" s="161">
        <f t="shared" si="4"/>
        <v>0.0217037037</v>
      </c>
    </row>
    <row r="27">
      <c r="B27" s="27"/>
      <c r="C27" s="27"/>
      <c r="D27" s="158" t="s">
        <v>24</v>
      </c>
      <c r="E27" s="159">
        <v>42200.0</v>
      </c>
      <c r="F27" s="159">
        <v>2272.0</v>
      </c>
      <c r="G27" s="160">
        <f t="shared" si="1"/>
        <v>-2272</v>
      </c>
      <c r="H27" s="160">
        <f>sum('PENDATAAN PERUMAHAN'!Q70:Q74)</f>
        <v>0</v>
      </c>
      <c r="I27" s="161">
        <f t="shared" si="5"/>
        <v>-0.05383886256</v>
      </c>
      <c r="J27" s="161">
        <f t="shared" si="4"/>
        <v>0</v>
      </c>
    </row>
    <row r="28">
      <c r="B28" s="27"/>
      <c r="C28" s="27"/>
      <c r="D28" s="158" t="s">
        <v>28</v>
      </c>
      <c r="E28" s="159">
        <v>0.0</v>
      </c>
      <c r="F28" s="159">
        <v>0.0</v>
      </c>
      <c r="G28" s="160">
        <f t="shared" si="1"/>
        <v>0</v>
      </c>
      <c r="H28" s="160">
        <f>sum('PENDATAAN PERUMAHAN'!T70:T74)</f>
        <v>0</v>
      </c>
      <c r="I28" s="161" t="str">
        <f t="shared" si="5"/>
        <v>#DIV/0!</v>
      </c>
      <c r="J28" s="161">
        <f>H28/36</f>
        <v>0</v>
      </c>
    </row>
    <row r="29">
      <c r="B29" s="27"/>
      <c r="C29" s="27"/>
      <c r="D29" s="158" t="s">
        <v>517</v>
      </c>
      <c r="E29" s="159">
        <v>600.0</v>
      </c>
      <c r="F29" s="159">
        <v>2104.0</v>
      </c>
      <c r="G29" s="160">
        <f t="shared" si="1"/>
        <v>-2104</v>
      </c>
      <c r="H29" s="160">
        <f>sum('PENDATAAN PERUMAHAN'!S70:S74)</f>
        <v>0</v>
      </c>
      <c r="I29" s="161">
        <f t="shared" si="5"/>
        <v>-3.506666667</v>
      </c>
      <c r="J29" s="161">
        <f t="shared" ref="J29:J32" si="6">H29/E29</f>
        <v>0</v>
      </c>
    </row>
    <row r="30">
      <c r="B30" s="27"/>
      <c r="C30" s="27"/>
      <c r="D30" s="158" t="s">
        <v>29</v>
      </c>
      <c r="E30" s="159">
        <v>486897.0</v>
      </c>
      <c r="F30" s="159">
        <v>1105.0</v>
      </c>
      <c r="G30" s="160">
        <f t="shared" si="1"/>
        <v>-1051</v>
      </c>
      <c r="H30" s="160">
        <f>sum('PENDATAAN PERUMAHAN'!U70:U74)</f>
        <v>54</v>
      </c>
      <c r="I30" s="161">
        <f t="shared" si="5"/>
        <v>-0.002158567418</v>
      </c>
      <c r="J30" s="161">
        <f t="shared" si="6"/>
        <v>0.0001109064135</v>
      </c>
    </row>
    <row r="31">
      <c r="B31" s="40"/>
      <c r="C31" s="40"/>
      <c r="D31" s="174" t="s">
        <v>519</v>
      </c>
      <c r="E31" s="175">
        <v>200.0</v>
      </c>
      <c r="F31" s="175">
        <v>169.0</v>
      </c>
      <c r="G31" s="698">
        <f t="shared" si="1"/>
        <v>-169</v>
      </c>
      <c r="H31" s="160"/>
      <c r="I31" s="175"/>
      <c r="J31" s="161">
        <f t="shared" si="6"/>
        <v>0</v>
      </c>
    </row>
    <row r="32">
      <c r="B32" s="182" t="s">
        <v>533</v>
      </c>
      <c r="C32" s="183"/>
      <c r="D32" s="31"/>
      <c r="E32" s="184">
        <f t="shared" ref="E32:F32" si="7">SUM(E14:E31)</f>
        <v>1000700</v>
      </c>
      <c r="F32" s="184">
        <f t="shared" si="7"/>
        <v>54601</v>
      </c>
      <c r="G32" s="185"/>
      <c r="H32" s="185">
        <f>SUM(H14:H31)</f>
        <v>1066</v>
      </c>
      <c r="I32" s="186">
        <f>(H32-F32)/E32</f>
        <v>-0.05349755171</v>
      </c>
      <c r="J32" s="186">
        <f t="shared" si="6"/>
        <v>0.001065254322</v>
      </c>
    </row>
    <row r="33">
      <c r="B33" s="187"/>
      <c r="C33" s="188"/>
      <c r="D33" s="189"/>
      <c r="E33" s="159"/>
      <c r="F33" s="160"/>
      <c r="G33" s="160"/>
      <c r="H33" s="160"/>
      <c r="I33" s="161"/>
      <c r="J33" s="161"/>
    </row>
    <row r="34">
      <c r="B34" s="156" t="s">
        <v>6</v>
      </c>
      <c r="C34" s="157" t="s">
        <v>8</v>
      </c>
      <c r="D34" s="158" t="s">
        <v>536</v>
      </c>
      <c r="E34" s="159">
        <v>217500.0</v>
      </c>
      <c r="F34" s="159">
        <v>67791.0</v>
      </c>
      <c r="G34" s="160">
        <f t="shared" ref="G34:G35" si="8">H34-F34</f>
        <v>-67502</v>
      </c>
      <c r="H34" s="160">
        <f>sum('PENDATAAN PERUMAHAN'!E70:E74)</f>
        <v>289</v>
      </c>
      <c r="I34" s="161">
        <f t="shared" ref="I34:I38" si="9">(H34-F34)/E34</f>
        <v>-0.310354023</v>
      </c>
      <c r="J34" s="161">
        <f t="shared" ref="J34:J38" si="10">H34/E34</f>
        <v>0.001328735632</v>
      </c>
    </row>
    <row r="35">
      <c r="B35" s="27"/>
      <c r="C35" s="27"/>
      <c r="D35" s="158" t="s">
        <v>538</v>
      </c>
      <c r="E35" s="159">
        <v>300000.0</v>
      </c>
      <c r="F35" s="159">
        <v>0.0</v>
      </c>
      <c r="G35" s="160">
        <f t="shared" si="8"/>
        <v>0</v>
      </c>
      <c r="H35" s="160" t="str">
        <f>'PENDATAAN PERUMAHAN'!V243</f>
        <v/>
      </c>
      <c r="I35" s="161">
        <f t="shared" si="9"/>
        <v>0</v>
      </c>
      <c r="J35" s="161">
        <f t="shared" si="10"/>
        <v>0</v>
      </c>
    </row>
    <row r="36">
      <c r="B36" s="40"/>
      <c r="C36" s="40"/>
      <c r="D36" s="158" t="s">
        <v>541</v>
      </c>
      <c r="E36" s="159">
        <v>0.0</v>
      </c>
      <c r="F36" s="159">
        <v>0.0</v>
      </c>
      <c r="G36" s="160"/>
      <c r="H36" s="160" t="str">
        <f>'PENDATAAN PERUMAHAN'!W243</f>
        <v/>
      </c>
      <c r="I36" s="161" t="str">
        <f t="shared" si="9"/>
        <v>#DIV/0!</v>
      </c>
      <c r="J36" s="161" t="str">
        <f t="shared" si="10"/>
        <v>#DIV/0!</v>
      </c>
    </row>
    <row r="37">
      <c r="B37" s="193" t="s">
        <v>542</v>
      </c>
      <c r="C37" s="19"/>
      <c r="D37" s="20"/>
      <c r="E37" s="194">
        <f>E34+E35+E36</f>
        <v>517500</v>
      </c>
      <c r="F37" s="195">
        <f>SUM(F34:F36)</f>
        <v>67791</v>
      </c>
      <c r="G37" s="195">
        <f t="shared" ref="G37:G38" si="11">H37-F37</f>
        <v>-67502</v>
      </c>
      <c r="H37" s="195">
        <f>H34+H35+H36</f>
        <v>289</v>
      </c>
      <c r="I37" s="186">
        <f t="shared" si="9"/>
        <v>-0.1304386473</v>
      </c>
      <c r="J37" s="186">
        <f t="shared" si="10"/>
        <v>0.0005584541063</v>
      </c>
    </row>
    <row r="38">
      <c r="B38" s="197" t="s">
        <v>544</v>
      </c>
      <c r="C38" s="19"/>
      <c r="D38" s="20"/>
      <c r="E38" s="198">
        <f>E37+E32</f>
        <v>1518200</v>
      </c>
      <c r="F38" s="199">
        <f>F32+F37</f>
        <v>122392</v>
      </c>
      <c r="G38" s="200">
        <f t="shared" si="11"/>
        <v>-121037</v>
      </c>
      <c r="H38" s="199">
        <f>H37+H32</f>
        <v>1355</v>
      </c>
      <c r="I38" s="201">
        <f t="shared" si="9"/>
        <v>-0.07972401528</v>
      </c>
      <c r="J38" s="201">
        <f t="shared" si="10"/>
        <v>0.0008925042814</v>
      </c>
    </row>
  </sheetData>
  <mergeCells count="14">
    <mergeCell ref="B23:B31"/>
    <mergeCell ref="C23:C31"/>
    <mergeCell ref="B32:D32"/>
    <mergeCell ref="B34:B36"/>
    <mergeCell ref="C34:C36"/>
    <mergeCell ref="B37:D37"/>
    <mergeCell ref="B38:D38"/>
    <mergeCell ref="B5:B9"/>
    <mergeCell ref="D5:D9"/>
    <mergeCell ref="B14:B22"/>
    <mergeCell ref="C14:C17"/>
    <mergeCell ref="E16:E17"/>
    <mergeCell ref="C18:C19"/>
    <mergeCell ref="C20:C2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v>1.0</v>
      </c>
      <c r="B5" s="705" t="s">
        <v>1291</v>
      </c>
      <c r="C5" s="694" t="s">
        <v>249</v>
      </c>
      <c r="D5" s="695" t="s">
        <v>1074</v>
      </c>
      <c r="E5" s="636" t="s">
        <v>1075</v>
      </c>
      <c r="F5" s="707"/>
    </row>
    <row r="6">
      <c r="A6" s="693">
        <v>2.0</v>
      </c>
      <c r="B6" s="27"/>
      <c r="C6" s="694" t="s">
        <v>252</v>
      </c>
      <c r="D6" s="27"/>
      <c r="E6" s="697" t="s">
        <v>806</v>
      </c>
      <c r="F6" s="707"/>
    </row>
    <row r="7">
      <c r="A7" s="693">
        <v>3.0</v>
      </c>
      <c r="B7" s="27"/>
      <c r="C7" s="694" t="s">
        <v>254</v>
      </c>
      <c r="D7" s="27"/>
      <c r="E7" s="697" t="s">
        <v>807</v>
      </c>
      <c r="F7" s="707"/>
    </row>
    <row r="8" ht="33.0" customHeight="1">
      <c r="A8" s="693">
        <v>4.0</v>
      </c>
      <c r="B8" s="27"/>
      <c r="C8" s="694" t="s">
        <v>256</v>
      </c>
      <c r="D8" s="27"/>
      <c r="E8" s="697" t="s">
        <v>808</v>
      </c>
      <c r="F8" s="707"/>
    </row>
    <row r="9">
      <c r="A9" s="693">
        <v>5.0</v>
      </c>
      <c r="B9" s="40"/>
      <c r="C9" s="694" t="s">
        <v>258</v>
      </c>
      <c r="D9" s="27"/>
      <c r="E9" s="697" t="s">
        <v>1079</v>
      </c>
      <c r="F9" s="707"/>
    </row>
    <row r="10">
      <c r="A10" s="714"/>
      <c r="B10" s="714"/>
      <c r="C10" s="694" t="s">
        <v>260</v>
      </c>
      <c r="D10" s="40"/>
      <c r="E10" s="697" t="s">
        <v>810</v>
      </c>
      <c r="F10" s="679"/>
    </row>
    <row r="11">
      <c r="A11" s="690"/>
      <c r="B11" s="690"/>
      <c r="C11" s="690"/>
      <c r="D11" s="690"/>
      <c r="E11" s="690"/>
    </row>
    <row r="12">
      <c r="A12" s="690"/>
      <c r="B12" s="690"/>
      <c r="C12" s="690"/>
      <c r="D12" s="690"/>
      <c r="E12" s="690"/>
    </row>
    <row r="13">
      <c r="A13" s="690"/>
      <c r="B13" s="151" t="s">
        <v>494</v>
      </c>
      <c r="C13" s="152" t="s">
        <v>495</v>
      </c>
      <c r="D13" s="152" t="s">
        <v>15</v>
      </c>
      <c r="E13" s="152" t="s">
        <v>496</v>
      </c>
      <c r="F13" s="152" t="s">
        <v>497</v>
      </c>
      <c r="G13" s="152" t="s">
        <v>498</v>
      </c>
      <c r="H13" s="152" t="s">
        <v>499</v>
      </c>
      <c r="I13" s="152" t="s">
        <v>500</v>
      </c>
      <c r="J13" s="152" t="s">
        <v>501</v>
      </c>
    </row>
    <row r="14">
      <c r="A14" s="690"/>
      <c r="B14" s="156" t="s">
        <v>2</v>
      </c>
      <c r="C14" s="157" t="s">
        <v>505</v>
      </c>
      <c r="D14" s="158" t="s">
        <v>506</v>
      </c>
      <c r="E14" s="159">
        <v>518.0</v>
      </c>
      <c r="F14" s="159">
        <v>0.0</v>
      </c>
      <c r="G14" s="160">
        <f t="shared" ref="G14:G31" si="1">H14-F14</f>
        <v>0</v>
      </c>
      <c r="H14" s="160">
        <f>sum('PENDATAAN PERUMAHAN'!J112:J117)</f>
        <v>0</v>
      </c>
      <c r="I14" s="161">
        <f>(H14-F14)/E14</f>
        <v>0</v>
      </c>
      <c r="J14" s="161" t="str">
        <f t="shared" ref="J14:J15" si="2">H14/$E$2</f>
        <v>#DIV/0!</v>
      </c>
    </row>
    <row r="15">
      <c r="B15" s="27"/>
      <c r="C15" s="27"/>
      <c r="D15" s="164" t="s">
        <v>508</v>
      </c>
      <c r="E15" s="159">
        <v>0.0</v>
      </c>
      <c r="F15" s="159">
        <v>138.0</v>
      </c>
      <c r="G15" s="160">
        <f t="shared" si="1"/>
        <v>-138</v>
      </c>
      <c r="H15" s="160">
        <f>sum('PENDATAAN PERUMAHAN'!K112:K117)</f>
        <v>0</v>
      </c>
      <c r="I15" s="161"/>
      <c r="J15" s="161" t="str">
        <f t="shared" si="2"/>
        <v>#DIV/0!</v>
      </c>
    </row>
    <row r="16">
      <c r="B16" s="27"/>
      <c r="C16" s="27"/>
      <c r="D16" s="164" t="s">
        <v>25</v>
      </c>
      <c r="E16" s="166">
        <v>2500.0</v>
      </c>
      <c r="F16" s="159">
        <v>4668.0</v>
      </c>
      <c r="G16" s="160">
        <f t="shared" si="1"/>
        <v>-4666</v>
      </c>
      <c r="H16" s="160">
        <f>sum('PENDATAAN PERUMAHAN'!M112:M117)</f>
        <v>2</v>
      </c>
      <c r="I16" s="161">
        <f>(H16-F16)/E16</f>
        <v>-1.8664</v>
      </c>
      <c r="J16" s="161">
        <f>H16/E16</f>
        <v>0.0008</v>
      </c>
    </row>
    <row r="17">
      <c r="B17" s="27"/>
      <c r="C17" s="40"/>
      <c r="D17" s="164" t="s">
        <v>24</v>
      </c>
      <c r="E17" s="40"/>
      <c r="F17" s="159">
        <v>407.0</v>
      </c>
      <c r="G17" s="160">
        <f t="shared" si="1"/>
        <v>-386</v>
      </c>
      <c r="H17" s="160">
        <f>sum('PENDATAAN PERUMAHAN'!L112:L117)</f>
        <v>21</v>
      </c>
      <c r="I17" s="161"/>
      <c r="J17" s="161"/>
    </row>
    <row r="18">
      <c r="B18" s="27"/>
      <c r="C18" s="157" t="s">
        <v>13</v>
      </c>
      <c r="D18" s="164" t="s">
        <v>512</v>
      </c>
      <c r="E18" s="159">
        <v>160000.0</v>
      </c>
      <c r="F18" s="159">
        <v>11206.0</v>
      </c>
      <c r="G18" s="160">
        <f t="shared" si="1"/>
        <v>-9973</v>
      </c>
      <c r="H18" s="160">
        <f>sum('PENDATAAN PERUMAHAN'!F112:F117)</f>
        <v>1233</v>
      </c>
      <c r="I18" s="161">
        <f t="shared" ref="I18:I21" si="3">(H18-F18)/E18</f>
        <v>-0.06233125</v>
      </c>
      <c r="J18" s="161">
        <f t="shared" ref="J18:J27" si="4">H18/E18</f>
        <v>0.00770625</v>
      </c>
    </row>
    <row r="19">
      <c r="B19" s="27"/>
      <c r="C19" s="40"/>
      <c r="D19" s="164" t="s">
        <v>514</v>
      </c>
      <c r="E19" s="159">
        <v>80000.0</v>
      </c>
      <c r="F19" s="159">
        <v>346.0</v>
      </c>
      <c r="G19" s="160">
        <f t="shared" si="1"/>
        <v>-258</v>
      </c>
      <c r="H19" s="160">
        <f>sum('PENDATAAN PERUMAHAN'!G112:G117)</f>
        <v>88</v>
      </c>
      <c r="I19" s="161">
        <f t="shared" si="3"/>
        <v>-0.003225</v>
      </c>
      <c r="J19" s="161">
        <f t="shared" si="4"/>
        <v>0.0011</v>
      </c>
    </row>
    <row r="20">
      <c r="B20" s="27"/>
      <c r="C20" s="157" t="s">
        <v>14</v>
      </c>
      <c r="D20" s="158" t="s">
        <v>21</v>
      </c>
      <c r="E20" s="159">
        <v>197500.0</v>
      </c>
      <c r="F20" s="159">
        <v>6706.0</v>
      </c>
      <c r="G20" s="160">
        <f t="shared" si="1"/>
        <v>-6446</v>
      </c>
      <c r="H20" s="160">
        <f>sum('PENDATAAN PERUMAHAN'!H112:H117)</f>
        <v>260</v>
      </c>
      <c r="I20" s="161">
        <f t="shared" si="3"/>
        <v>-0.03263797468</v>
      </c>
      <c r="J20" s="161">
        <f t="shared" si="4"/>
        <v>0.001316455696</v>
      </c>
    </row>
    <row r="21">
      <c r="B21" s="27"/>
      <c r="C21" s="27"/>
      <c r="D21" s="158" t="s">
        <v>517</v>
      </c>
      <c r="E21" s="166">
        <v>850.0</v>
      </c>
      <c r="F21" s="166">
        <v>397.0</v>
      </c>
      <c r="G21" s="160">
        <f t="shared" si="1"/>
        <v>-305</v>
      </c>
      <c r="H21" s="160">
        <f>sum('PENDATAAN PERUMAHAN'!I112:I117)</f>
        <v>92</v>
      </c>
      <c r="I21" s="161">
        <f t="shared" si="3"/>
        <v>-0.3588235294</v>
      </c>
      <c r="J21" s="161">
        <f t="shared" si="4"/>
        <v>0.1082352941</v>
      </c>
    </row>
    <row r="22">
      <c r="B22" s="40"/>
      <c r="C22" s="40"/>
      <c r="D22" s="171" t="s">
        <v>519</v>
      </c>
      <c r="E22" s="166">
        <v>50.0</v>
      </c>
      <c r="F22" s="166">
        <v>16.0</v>
      </c>
      <c r="G22" s="160">
        <f t="shared" si="1"/>
        <v>-16</v>
      </c>
      <c r="H22" s="160"/>
      <c r="I22" s="161"/>
      <c r="J22" s="161">
        <f t="shared" si="4"/>
        <v>0</v>
      </c>
    </row>
    <row r="23">
      <c r="B23" s="156" t="s">
        <v>521</v>
      </c>
      <c r="C23" s="157" t="s">
        <v>522</v>
      </c>
      <c r="D23" s="171" t="s">
        <v>506</v>
      </c>
      <c r="E23" s="159">
        <v>15110.0</v>
      </c>
      <c r="F23" s="166">
        <v>0.0</v>
      </c>
      <c r="G23" s="160">
        <f t="shared" si="1"/>
        <v>0</v>
      </c>
      <c r="H23" s="160">
        <f>sum('PENDATAAN PERUMAHAN'!N112:N117)</f>
        <v>0</v>
      </c>
      <c r="I23" s="161">
        <f>(H23-F23)/E23</f>
        <v>0</v>
      </c>
      <c r="J23" s="161">
        <f t="shared" si="4"/>
        <v>0</v>
      </c>
    </row>
    <row r="24">
      <c r="B24" s="27"/>
      <c r="C24" s="27"/>
      <c r="D24" s="171" t="s">
        <v>508</v>
      </c>
      <c r="E24" s="159">
        <v>100.0</v>
      </c>
      <c r="F24" s="166">
        <v>848.0</v>
      </c>
      <c r="G24" s="160">
        <f t="shared" si="1"/>
        <v>-848</v>
      </c>
      <c r="H24" s="160">
        <f>sum('PENDATAAN PERUMAHAN'!O112:O117)</f>
        <v>0</v>
      </c>
      <c r="I24" s="161"/>
      <c r="J24" s="161">
        <f t="shared" si="4"/>
        <v>0</v>
      </c>
    </row>
    <row r="25">
      <c r="B25" s="27"/>
      <c r="C25" s="27"/>
      <c r="D25" s="171" t="s">
        <v>525</v>
      </c>
      <c r="E25" s="159">
        <v>675.0</v>
      </c>
      <c r="F25" s="159">
        <v>0.0</v>
      </c>
      <c r="G25" s="160">
        <f t="shared" si="1"/>
        <v>0</v>
      </c>
      <c r="H25" s="160">
        <f>sum('PENDATAAN PERUMAHAN'!P112:P117)</f>
        <v>0</v>
      </c>
      <c r="I25" s="161">
        <f t="shared" ref="I25:I30" si="5">(H25-F25)/E25</f>
        <v>0</v>
      </c>
      <c r="J25" s="161">
        <f t="shared" si="4"/>
        <v>0</v>
      </c>
    </row>
    <row r="26">
      <c r="B26" s="27"/>
      <c r="C26" s="27"/>
      <c r="D26" s="171" t="s">
        <v>25</v>
      </c>
      <c r="E26" s="159">
        <v>13500.0</v>
      </c>
      <c r="F26" s="159">
        <v>24219.0</v>
      </c>
      <c r="G26" s="160">
        <f t="shared" si="1"/>
        <v>-22995</v>
      </c>
      <c r="H26" s="160">
        <f>sum('PENDATAAN PERUMAHAN'!R112:R117)</f>
        <v>1224</v>
      </c>
      <c r="I26" s="161">
        <f t="shared" si="5"/>
        <v>-1.703333333</v>
      </c>
      <c r="J26" s="161">
        <f t="shared" si="4"/>
        <v>0.09066666667</v>
      </c>
    </row>
    <row r="27">
      <c r="B27" s="27"/>
      <c r="C27" s="27"/>
      <c r="D27" s="158" t="s">
        <v>24</v>
      </c>
      <c r="E27" s="159">
        <v>42200.0</v>
      </c>
      <c r="F27" s="159">
        <v>2272.0</v>
      </c>
      <c r="G27" s="160">
        <f t="shared" si="1"/>
        <v>-1890</v>
      </c>
      <c r="H27" s="160">
        <f>sum('PENDATAAN PERUMAHAN'!Q112:Q117)</f>
        <v>382</v>
      </c>
      <c r="I27" s="161">
        <f t="shared" si="5"/>
        <v>-0.04478672986</v>
      </c>
      <c r="J27" s="161">
        <f t="shared" si="4"/>
        <v>0.009052132701</v>
      </c>
    </row>
    <row r="28">
      <c r="B28" s="27"/>
      <c r="C28" s="27"/>
      <c r="D28" s="158" t="s">
        <v>28</v>
      </c>
      <c r="E28" s="159">
        <v>0.0</v>
      </c>
      <c r="F28" s="159">
        <v>0.0</v>
      </c>
      <c r="G28" s="160">
        <f t="shared" si="1"/>
        <v>0</v>
      </c>
      <c r="H28" s="160">
        <f>sum('PENDATAAN PERUMAHAN'!T112:T117)</f>
        <v>0</v>
      </c>
      <c r="I28" s="161" t="str">
        <f t="shared" si="5"/>
        <v>#DIV/0!</v>
      </c>
      <c r="J28" s="161">
        <f>H28/36</f>
        <v>0</v>
      </c>
    </row>
    <row r="29">
      <c r="B29" s="27"/>
      <c r="C29" s="27"/>
      <c r="D29" s="158" t="s">
        <v>517</v>
      </c>
      <c r="E29" s="159">
        <v>600.0</v>
      </c>
      <c r="F29" s="159">
        <v>2104.0</v>
      </c>
      <c r="G29" s="160">
        <f t="shared" si="1"/>
        <v>-1678</v>
      </c>
      <c r="H29" s="160">
        <f>sum('PENDATAAN PERUMAHAN'!S112:S117)</f>
        <v>426</v>
      </c>
      <c r="I29" s="161">
        <f t="shared" si="5"/>
        <v>-2.796666667</v>
      </c>
      <c r="J29" s="161">
        <f t="shared" ref="J29:J32" si="6">H29/E29</f>
        <v>0.71</v>
      </c>
    </row>
    <row r="30">
      <c r="B30" s="27"/>
      <c r="C30" s="27"/>
      <c r="D30" s="158" t="s">
        <v>29</v>
      </c>
      <c r="E30" s="159">
        <v>486897.0</v>
      </c>
      <c r="F30" s="159">
        <v>1105.0</v>
      </c>
      <c r="G30" s="160">
        <f t="shared" si="1"/>
        <v>44244</v>
      </c>
      <c r="H30" s="160">
        <f>sum('PENDATAAN PERUMAHAN'!U112:U117)</f>
        <v>45349</v>
      </c>
      <c r="I30" s="161">
        <f t="shared" si="5"/>
        <v>0.09086932144</v>
      </c>
      <c r="J30" s="161">
        <f t="shared" si="6"/>
        <v>0.09313879527</v>
      </c>
    </row>
    <row r="31">
      <c r="B31" s="40"/>
      <c r="C31" s="40"/>
      <c r="D31" s="174" t="s">
        <v>519</v>
      </c>
      <c r="E31" s="175">
        <v>200.0</v>
      </c>
      <c r="F31" s="175">
        <v>169.0</v>
      </c>
      <c r="G31" s="698">
        <f t="shared" si="1"/>
        <v>-169</v>
      </c>
      <c r="H31" s="160"/>
      <c r="I31" s="175"/>
      <c r="J31" s="161">
        <f t="shared" si="6"/>
        <v>0</v>
      </c>
    </row>
    <row r="32">
      <c r="B32" s="182" t="s">
        <v>533</v>
      </c>
      <c r="C32" s="183"/>
      <c r="D32" s="31"/>
      <c r="E32" s="184">
        <f t="shared" ref="E32:F32" si="7">SUM(E14:E31)</f>
        <v>1000700</v>
      </c>
      <c r="F32" s="184">
        <f t="shared" si="7"/>
        <v>54601</v>
      </c>
      <c r="G32" s="185"/>
      <c r="H32" s="185">
        <f>SUM(H14:H31)</f>
        <v>49077</v>
      </c>
      <c r="I32" s="186">
        <f>(H32-F32)/E32</f>
        <v>-0.005520135905</v>
      </c>
      <c r="J32" s="186">
        <f t="shared" si="6"/>
        <v>0.04904267013</v>
      </c>
    </row>
    <row r="33">
      <c r="B33" s="187"/>
      <c r="C33" s="188"/>
      <c r="D33" s="189"/>
      <c r="E33" s="159"/>
      <c r="F33" s="160"/>
      <c r="G33" s="160"/>
      <c r="H33" s="160"/>
      <c r="I33" s="161"/>
      <c r="J33" s="161"/>
    </row>
    <row r="34">
      <c r="B34" s="156" t="s">
        <v>6</v>
      </c>
      <c r="C34" s="157" t="s">
        <v>8</v>
      </c>
      <c r="D34" s="158" t="s">
        <v>536</v>
      </c>
      <c r="E34" s="159">
        <v>217500.0</v>
      </c>
      <c r="F34" s="159">
        <v>67791.0</v>
      </c>
      <c r="G34" s="160">
        <f t="shared" ref="G34:G35" si="8">H34-F34</f>
        <v>-63934</v>
      </c>
      <c r="H34" s="160">
        <f>sum('PENDATAAN PERUMAHAN'!E112:E117)</f>
        <v>3857</v>
      </c>
      <c r="I34" s="161">
        <f t="shared" ref="I34:I38" si="9">(H34-F34)/E34</f>
        <v>-0.2939494253</v>
      </c>
      <c r="J34" s="161">
        <f t="shared" ref="J34:J38" si="10">H34/E34</f>
        <v>0.01773333333</v>
      </c>
    </row>
    <row r="35">
      <c r="B35" s="27"/>
      <c r="C35" s="27"/>
      <c r="D35" s="158" t="s">
        <v>538</v>
      </c>
      <c r="E35" s="159">
        <v>300000.0</v>
      </c>
      <c r="F35" s="159">
        <v>0.0</v>
      </c>
      <c r="G35" s="160">
        <f t="shared" si="8"/>
        <v>0</v>
      </c>
      <c r="H35" s="160" t="str">
        <f>'PENDATAAN PERUMAHAN'!V243</f>
        <v/>
      </c>
      <c r="I35" s="161">
        <f t="shared" si="9"/>
        <v>0</v>
      </c>
      <c r="J35" s="161">
        <f t="shared" si="10"/>
        <v>0</v>
      </c>
    </row>
    <row r="36">
      <c r="B36" s="40"/>
      <c r="C36" s="40"/>
      <c r="D36" s="158" t="s">
        <v>541</v>
      </c>
      <c r="E36" s="159">
        <v>0.0</v>
      </c>
      <c r="F36" s="159">
        <v>0.0</v>
      </c>
      <c r="G36" s="160"/>
      <c r="H36" s="160" t="str">
        <f>'PENDATAAN PERUMAHAN'!W243</f>
        <v/>
      </c>
      <c r="I36" s="161" t="str">
        <f t="shared" si="9"/>
        <v>#DIV/0!</v>
      </c>
      <c r="J36" s="161" t="str">
        <f t="shared" si="10"/>
        <v>#DIV/0!</v>
      </c>
    </row>
    <row r="37">
      <c r="B37" s="193" t="s">
        <v>542</v>
      </c>
      <c r="C37" s="19"/>
      <c r="D37" s="20"/>
      <c r="E37" s="194">
        <f>E34+E35+E36</f>
        <v>517500</v>
      </c>
      <c r="F37" s="195">
        <f>SUM(F34:F36)</f>
        <v>67791</v>
      </c>
      <c r="G37" s="195">
        <f t="shared" ref="G37:G38" si="11">H37-F37</f>
        <v>-63934</v>
      </c>
      <c r="H37" s="195">
        <f>H34+H35+H36</f>
        <v>3857</v>
      </c>
      <c r="I37" s="186">
        <f t="shared" si="9"/>
        <v>-0.1235439614</v>
      </c>
      <c r="J37" s="186">
        <f t="shared" si="10"/>
        <v>0.007453140097</v>
      </c>
    </row>
    <row r="38">
      <c r="B38" s="197" t="s">
        <v>544</v>
      </c>
      <c r="C38" s="19"/>
      <c r="D38" s="20"/>
      <c r="E38" s="198">
        <f>E37+E32</f>
        <v>1518200</v>
      </c>
      <c r="F38" s="199">
        <f>F32+F37</f>
        <v>122392</v>
      </c>
      <c r="G38" s="200">
        <f t="shared" si="11"/>
        <v>-69458</v>
      </c>
      <c r="H38" s="199">
        <f>H37+H32</f>
        <v>52934</v>
      </c>
      <c r="I38" s="201">
        <f t="shared" si="9"/>
        <v>-0.04575023054</v>
      </c>
      <c r="J38" s="201">
        <f t="shared" si="10"/>
        <v>0.03486628903</v>
      </c>
    </row>
  </sheetData>
  <mergeCells count="14">
    <mergeCell ref="B23:B31"/>
    <mergeCell ref="C23:C31"/>
    <mergeCell ref="B32:D32"/>
    <mergeCell ref="B34:B36"/>
    <mergeCell ref="C34:C36"/>
    <mergeCell ref="B37:D37"/>
    <mergeCell ref="B38:D38"/>
    <mergeCell ref="B5:B9"/>
    <mergeCell ref="D5:D10"/>
    <mergeCell ref="B14:B22"/>
    <mergeCell ref="C14:C17"/>
    <mergeCell ref="E16:E17"/>
    <mergeCell ref="C18:C19"/>
    <mergeCell ref="C20:C2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705" t="s">
        <v>1292</v>
      </c>
      <c r="C5" s="694" t="s">
        <v>167</v>
      </c>
      <c r="D5" s="695" t="s">
        <v>780</v>
      </c>
      <c r="E5" s="636" t="s">
        <v>781</v>
      </c>
      <c r="F5" s="696"/>
    </row>
    <row r="6">
      <c r="A6" s="693">
        <v>2.0</v>
      </c>
      <c r="B6" s="27"/>
      <c r="C6" s="694" t="s">
        <v>169</v>
      </c>
      <c r="D6" s="27"/>
      <c r="E6" s="697" t="s">
        <v>782</v>
      </c>
      <c r="F6" s="696"/>
    </row>
    <row r="7">
      <c r="A7" s="693">
        <v>3.0</v>
      </c>
      <c r="B7" s="27"/>
      <c r="C7" s="694" t="s">
        <v>171</v>
      </c>
      <c r="D7" s="27"/>
      <c r="E7" s="697" t="s">
        <v>1020</v>
      </c>
      <c r="F7" s="696"/>
    </row>
    <row r="8" ht="37.5" customHeight="1">
      <c r="A8" s="693">
        <v>4.0</v>
      </c>
      <c r="B8" s="27"/>
      <c r="C8" s="694" t="s">
        <v>173</v>
      </c>
      <c r="D8" s="27"/>
      <c r="E8" s="697" t="s">
        <v>784</v>
      </c>
      <c r="F8" s="696"/>
    </row>
    <row r="9">
      <c r="A9" s="693">
        <v>5.0</v>
      </c>
      <c r="B9" s="40"/>
      <c r="C9" s="694" t="s">
        <v>175</v>
      </c>
      <c r="D9" s="40"/>
      <c r="E9" s="697" t="s">
        <v>785</v>
      </c>
      <c r="F9" s="696"/>
    </row>
    <row r="10">
      <c r="A10" s="690"/>
      <c r="B10" s="690"/>
      <c r="C10" s="690"/>
      <c r="D10" s="690"/>
      <c r="E10" s="690"/>
    </row>
    <row r="11">
      <c r="A11" s="690"/>
      <c r="B11" s="690"/>
      <c r="C11" s="690"/>
      <c r="D11" s="690"/>
      <c r="E11" s="690"/>
    </row>
    <row r="12">
      <c r="A12" s="690"/>
      <c r="B12" s="690"/>
      <c r="C12" s="690"/>
      <c r="D12" s="690"/>
      <c r="E12" s="690"/>
    </row>
    <row r="13">
      <c r="A13" s="690"/>
      <c r="B13" s="151" t="s">
        <v>494</v>
      </c>
      <c r="C13" s="152" t="s">
        <v>495</v>
      </c>
      <c r="D13" s="152" t="s">
        <v>15</v>
      </c>
      <c r="E13" s="152" t="s">
        <v>496</v>
      </c>
      <c r="F13" s="152" t="s">
        <v>497</v>
      </c>
      <c r="G13" s="152" t="s">
        <v>498</v>
      </c>
      <c r="H13" s="152" t="s">
        <v>499</v>
      </c>
      <c r="I13" s="152" t="s">
        <v>500</v>
      </c>
      <c r="J13" s="152" t="s">
        <v>501</v>
      </c>
    </row>
    <row r="14">
      <c r="A14" s="690"/>
      <c r="B14" s="156" t="s">
        <v>2</v>
      </c>
      <c r="C14" s="157" t="s">
        <v>505</v>
      </c>
      <c r="D14" s="158" t="s">
        <v>506</v>
      </c>
      <c r="E14" s="159">
        <v>518.0</v>
      </c>
      <c r="F14" s="159">
        <v>0.0</v>
      </c>
      <c r="G14" s="160">
        <f t="shared" ref="G14:G31" si="1">H14-F14</f>
        <v>0</v>
      </c>
      <c r="H14" s="160">
        <f>sum('PENDATAAN PERUMAHAN'!J75:J79)</f>
        <v>0</v>
      </c>
      <c r="I14" s="161">
        <f>(H14-F14)/E14</f>
        <v>0</v>
      </c>
      <c r="J14" s="161" t="str">
        <f t="shared" ref="J14:J15" si="2">H14/$E$2</f>
        <v>#DIV/0!</v>
      </c>
    </row>
    <row r="15">
      <c r="B15" s="27"/>
      <c r="C15" s="27"/>
      <c r="D15" s="164" t="s">
        <v>508</v>
      </c>
      <c r="E15" s="159">
        <v>0.0</v>
      </c>
      <c r="F15" s="159">
        <v>138.0</v>
      </c>
      <c r="G15" s="160">
        <f t="shared" si="1"/>
        <v>-138</v>
      </c>
      <c r="H15" s="160">
        <f>sum('PENDATAAN PERUMAHAN'!K75:K79)</f>
        <v>0</v>
      </c>
      <c r="I15" s="161"/>
      <c r="J15" s="161" t="str">
        <f t="shared" si="2"/>
        <v>#DIV/0!</v>
      </c>
    </row>
    <row r="16">
      <c r="B16" s="27"/>
      <c r="C16" s="27"/>
      <c r="D16" s="164" t="s">
        <v>25</v>
      </c>
      <c r="E16" s="166">
        <v>2500.0</v>
      </c>
      <c r="F16" s="159">
        <v>4668.0</v>
      </c>
      <c r="G16" s="160">
        <f t="shared" si="1"/>
        <v>-4664</v>
      </c>
      <c r="H16" s="160">
        <f>sum('PENDATAAN PERUMAHAN'!M75:M79)</f>
        <v>4</v>
      </c>
      <c r="I16" s="161">
        <f>(H16-F16)/E16</f>
        <v>-1.8656</v>
      </c>
      <c r="J16" s="161">
        <f>H16/E16</f>
        <v>0.0016</v>
      </c>
    </row>
    <row r="17">
      <c r="B17" s="27"/>
      <c r="C17" s="40"/>
      <c r="D17" s="164" t="s">
        <v>24</v>
      </c>
      <c r="E17" s="40"/>
      <c r="F17" s="159">
        <v>407.0</v>
      </c>
      <c r="G17" s="160">
        <f t="shared" si="1"/>
        <v>-406</v>
      </c>
      <c r="H17" s="160">
        <f>sum('PENDATAAN PERUMAHAN'!L75:L79)</f>
        <v>1</v>
      </c>
      <c r="I17" s="161"/>
      <c r="J17" s="161"/>
    </row>
    <row r="18">
      <c r="B18" s="27"/>
      <c r="C18" s="157" t="s">
        <v>13</v>
      </c>
      <c r="D18" s="164" t="s">
        <v>512</v>
      </c>
      <c r="E18" s="159">
        <v>160000.0</v>
      </c>
      <c r="F18" s="159">
        <v>11206.0</v>
      </c>
      <c r="G18" s="160">
        <f t="shared" si="1"/>
        <v>-11145</v>
      </c>
      <c r="H18" s="160">
        <f>sum('PENDATAAN PERUMAHAN'!F75:F79)</f>
        <v>61</v>
      </c>
      <c r="I18" s="161">
        <f t="shared" ref="I18:I21" si="3">(H18-F18)/E18</f>
        <v>-0.06965625</v>
      </c>
      <c r="J18" s="161">
        <f t="shared" ref="J18:J27" si="4">H18/E18</f>
        <v>0.00038125</v>
      </c>
    </row>
    <row r="19">
      <c r="B19" s="27"/>
      <c r="C19" s="40"/>
      <c r="D19" s="164" t="s">
        <v>514</v>
      </c>
      <c r="E19" s="159">
        <v>80000.0</v>
      </c>
      <c r="F19" s="159">
        <v>346.0</v>
      </c>
      <c r="G19" s="160">
        <f t="shared" si="1"/>
        <v>-336</v>
      </c>
      <c r="H19" s="160">
        <f>sum('PENDATAAN PERUMAHAN'!G75:G79)</f>
        <v>10</v>
      </c>
      <c r="I19" s="161">
        <f t="shared" si="3"/>
        <v>-0.0042</v>
      </c>
      <c r="J19" s="161">
        <f t="shared" si="4"/>
        <v>0.000125</v>
      </c>
    </row>
    <row r="20">
      <c r="B20" s="27"/>
      <c r="C20" s="157" t="s">
        <v>14</v>
      </c>
      <c r="D20" s="158" t="s">
        <v>21</v>
      </c>
      <c r="E20" s="159">
        <v>197500.0</v>
      </c>
      <c r="F20" s="159">
        <v>6706.0</v>
      </c>
      <c r="G20" s="160">
        <f t="shared" si="1"/>
        <v>-6679</v>
      </c>
      <c r="H20" s="160">
        <f>sum('PENDATAAN PERUMAHAN'!H75:H79)</f>
        <v>27</v>
      </c>
      <c r="I20" s="161">
        <f t="shared" si="3"/>
        <v>-0.03381772152</v>
      </c>
      <c r="J20" s="161">
        <f t="shared" si="4"/>
        <v>0.0001367088608</v>
      </c>
    </row>
    <row r="21">
      <c r="B21" s="27"/>
      <c r="C21" s="27"/>
      <c r="D21" s="158" t="s">
        <v>517</v>
      </c>
      <c r="E21" s="166">
        <v>850.0</v>
      </c>
      <c r="F21" s="166">
        <v>397.0</v>
      </c>
      <c r="G21" s="160">
        <f t="shared" si="1"/>
        <v>-396</v>
      </c>
      <c r="H21" s="160">
        <f>sum('PENDATAAN PERUMAHAN'!I75:I79)</f>
        <v>1</v>
      </c>
      <c r="I21" s="161">
        <f t="shared" si="3"/>
        <v>-0.4658823529</v>
      </c>
      <c r="J21" s="161">
        <f t="shared" si="4"/>
        <v>0.001176470588</v>
      </c>
    </row>
    <row r="22">
      <c r="B22" s="40"/>
      <c r="C22" s="40"/>
      <c r="D22" s="171" t="s">
        <v>519</v>
      </c>
      <c r="E22" s="166">
        <v>50.0</v>
      </c>
      <c r="F22" s="166">
        <v>16.0</v>
      </c>
      <c r="G22" s="160">
        <f t="shared" si="1"/>
        <v>-16</v>
      </c>
      <c r="H22" s="160"/>
      <c r="I22" s="161"/>
      <c r="J22" s="161">
        <f t="shared" si="4"/>
        <v>0</v>
      </c>
    </row>
    <row r="23">
      <c r="B23" s="156" t="s">
        <v>521</v>
      </c>
      <c r="C23" s="157" t="s">
        <v>522</v>
      </c>
      <c r="D23" s="171" t="s">
        <v>506</v>
      </c>
      <c r="E23" s="159">
        <v>15110.0</v>
      </c>
      <c r="F23" s="166">
        <v>0.0</v>
      </c>
      <c r="G23" s="160">
        <f t="shared" si="1"/>
        <v>0</v>
      </c>
      <c r="H23" s="160">
        <f>sum('PENDATAAN PERUMAHAN'!N75:N79)</f>
        <v>0</v>
      </c>
      <c r="I23" s="161">
        <f>(H23-F23)/E23</f>
        <v>0</v>
      </c>
      <c r="J23" s="161">
        <f t="shared" si="4"/>
        <v>0</v>
      </c>
    </row>
    <row r="24">
      <c r="B24" s="27"/>
      <c r="C24" s="27"/>
      <c r="D24" s="171" t="s">
        <v>508</v>
      </c>
      <c r="E24" s="159">
        <v>100.0</v>
      </c>
      <c r="F24" s="166">
        <v>848.0</v>
      </c>
      <c r="G24" s="160">
        <f t="shared" si="1"/>
        <v>-848</v>
      </c>
      <c r="H24" s="160">
        <f>sum('PENDATAAN PERUMAHAN'!O75:O79)</f>
        <v>0</v>
      </c>
      <c r="I24" s="161"/>
      <c r="J24" s="161">
        <f t="shared" si="4"/>
        <v>0</v>
      </c>
    </row>
    <row r="25">
      <c r="B25" s="27"/>
      <c r="C25" s="27"/>
      <c r="D25" s="171" t="s">
        <v>525</v>
      </c>
      <c r="E25" s="159">
        <v>675.0</v>
      </c>
      <c r="F25" s="159">
        <v>0.0</v>
      </c>
      <c r="G25" s="160">
        <f t="shared" si="1"/>
        <v>0</v>
      </c>
      <c r="H25" s="160">
        <f>sum('PENDATAAN PERUMAHAN'!P75:P79)</f>
        <v>0</v>
      </c>
      <c r="I25" s="161">
        <f t="shared" ref="I25:I30" si="5">(H25-F25)/E25</f>
        <v>0</v>
      </c>
      <c r="J25" s="161">
        <f t="shared" si="4"/>
        <v>0</v>
      </c>
    </row>
    <row r="26">
      <c r="B26" s="27"/>
      <c r="C26" s="27"/>
      <c r="D26" s="171" t="s">
        <v>25</v>
      </c>
      <c r="E26" s="159">
        <v>13500.0</v>
      </c>
      <c r="F26" s="159">
        <v>24219.0</v>
      </c>
      <c r="G26" s="160">
        <f t="shared" si="1"/>
        <v>-22694</v>
      </c>
      <c r="H26" s="160">
        <f>sum('PENDATAAN PERUMAHAN'!R75:R79)</f>
        <v>1525</v>
      </c>
      <c r="I26" s="161">
        <f t="shared" si="5"/>
        <v>-1.681037037</v>
      </c>
      <c r="J26" s="161">
        <f t="shared" si="4"/>
        <v>0.112962963</v>
      </c>
    </row>
    <row r="27">
      <c r="B27" s="27"/>
      <c r="C27" s="27"/>
      <c r="D27" s="158" t="s">
        <v>24</v>
      </c>
      <c r="E27" s="159">
        <v>42200.0</v>
      </c>
      <c r="F27" s="159">
        <v>2272.0</v>
      </c>
      <c r="G27" s="160">
        <f t="shared" si="1"/>
        <v>-2272</v>
      </c>
      <c r="H27" s="160">
        <f>sum('PENDATAAN PERUMAHAN'!Q75:Q79)</f>
        <v>0</v>
      </c>
      <c r="I27" s="161">
        <f t="shared" si="5"/>
        <v>-0.05383886256</v>
      </c>
      <c r="J27" s="161">
        <f t="shared" si="4"/>
        <v>0</v>
      </c>
    </row>
    <row r="28">
      <c r="B28" s="27"/>
      <c r="C28" s="27"/>
      <c r="D28" s="158" t="s">
        <v>28</v>
      </c>
      <c r="E28" s="159">
        <v>0.0</v>
      </c>
      <c r="F28" s="159">
        <v>0.0</v>
      </c>
      <c r="G28" s="160">
        <f t="shared" si="1"/>
        <v>0</v>
      </c>
      <c r="H28" s="160">
        <f>sum('PENDATAAN PERUMAHAN'!T75:T79)</f>
        <v>0</v>
      </c>
      <c r="I28" s="161" t="str">
        <f t="shared" si="5"/>
        <v>#DIV/0!</v>
      </c>
      <c r="J28" s="161">
        <f>H28/36</f>
        <v>0</v>
      </c>
    </row>
    <row r="29">
      <c r="B29" s="27"/>
      <c r="C29" s="27"/>
      <c r="D29" s="158" t="s">
        <v>517</v>
      </c>
      <c r="E29" s="159">
        <v>600.0</v>
      </c>
      <c r="F29" s="159">
        <v>2104.0</v>
      </c>
      <c r="G29" s="160">
        <f t="shared" si="1"/>
        <v>-1916</v>
      </c>
      <c r="H29" s="160">
        <f>sum('PENDATAAN PERUMAHAN'!S75:S79)</f>
        <v>188</v>
      </c>
      <c r="I29" s="161">
        <f t="shared" si="5"/>
        <v>-3.193333333</v>
      </c>
      <c r="J29" s="161">
        <f t="shared" ref="J29:J32" si="6">H29/E29</f>
        <v>0.3133333333</v>
      </c>
    </row>
    <row r="30">
      <c r="B30" s="27"/>
      <c r="C30" s="27"/>
      <c r="D30" s="158" t="s">
        <v>29</v>
      </c>
      <c r="E30" s="159">
        <v>486897.0</v>
      </c>
      <c r="F30" s="159">
        <v>1105.0</v>
      </c>
      <c r="G30" s="160">
        <f t="shared" si="1"/>
        <v>-1104</v>
      </c>
      <c r="H30" s="160">
        <f>sum('PENDATAAN PERUMAHAN'!U75:U79)</f>
        <v>1</v>
      </c>
      <c r="I30" s="161">
        <f t="shared" si="5"/>
        <v>-0.002267420009</v>
      </c>
      <c r="J30" s="161">
        <f t="shared" si="6"/>
        <v>0.000002053822472</v>
      </c>
    </row>
    <row r="31">
      <c r="B31" s="40"/>
      <c r="C31" s="40"/>
      <c r="D31" s="174" t="s">
        <v>519</v>
      </c>
      <c r="E31" s="175">
        <v>200.0</v>
      </c>
      <c r="F31" s="175">
        <v>169.0</v>
      </c>
      <c r="G31" s="698">
        <f t="shared" si="1"/>
        <v>-169</v>
      </c>
      <c r="H31" s="160"/>
      <c r="I31" s="175"/>
      <c r="J31" s="161">
        <f t="shared" si="6"/>
        <v>0</v>
      </c>
    </row>
    <row r="32">
      <c r="B32" s="182" t="s">
        <v>533</v>
      </c>
      <c r="C32" s="183"/>
      <c r="D32" s="31"/>
      <c r="E32" s="184">
        <f t="shared" ref="E32:F32" si="7">SUM(E14:E31)</f>
        <v>1000700</v>
      </c>
      <c r="F32" s="184">
        <f t="shared" si="7"/>
        <v>54601</v>
      </c>
      <c r="G32" s="185"/>
      <c r="H32" s="185">
        <f>SUM(H14:H31)</f>
        <v>1818</v>
      </c>
      <c r="I32" s="186">
        <f>(H32-F32)/E32</f>
        <v>-0.05274607775</v>
      </c>
      <c r="J32" s="186">
        <f t="shared" si="6"/>
        <v>0.00181672829</v>
      </c>
    </row>
    <row r="33">
      <c r="B33" s="187"/>
      <c r="C33" s="188"/>
      <c r="D33" s="189"/>
      <c r="E33" s="159"/>
      <c r="F33" s="160"/>
      <c r="G33" s="160"/>
      <c r="H33" s="160"/>
      <c r="I33" s="161"/>
      <c r="J33" s="161"/>
    </row>
    <row r="34">
      <c r="B34" s="156" t="s">
        <v>6</v>
      </c>
      <c r="C34" s="157" t="s">
        <v>8</v>
      </c>
      <c r="D34" s="158" t="s">
        <v>536</v>
      </c>
      <c r="E34" s="159">
        <v>217500.0</v>
      </c>
      <c r="F34" s="159">
        <v>67791.0</v>
      </c>
      <c r="G34" s="160">
        <f t="shared" ref="G34:G35" si="8">H34-F34</f>
        <v>-67511</v>
      </c>
      <c r="H34" s="160">
        <f>sum('PENDATAAN PERUMAHAN'!E75:E79)</f>
        <v>280</v>
      </c>
      <c r="I34" s="161">
        <f t="shared" ref="I34:I38" si="9">(H34-F34)/E34</f>
        <v>-0.3103954023</v>
      </c>
      <c r="J34" s="161">
        <f t="shared" ref="J34:J38" si="10">H34/E34</f>
        <v>0.001287356322</v>
      </c>
    </row>
    <row r="35">
      <c r="B35" s="27"/>
      <c r="C35" s="27"/>
      <c r="D35" s="158" t="s">
        <v>538</v>
      </c>
      <c r="E35" s="159">
        <v>300000.0</v>
      </c>
      <c r="F35" s="159">
        <v>0.0</v>
      </c>
      <c r="G35" s="160">
        <f t="shared" si="8"/>
        <v>0</v>
      </c>
      <c r="H35" s="160" t="str">
        <f>'PENDATAAN PERUMAHAN'!V243</f>
        <v/>
      </c>
      <c r="I35" s="161">
        <f t="shared" si="9"/>
        <v>0</v>
      </c>
      <c r="J35" s="161">
        <f t="shared" si="10"/>
        <v>0</v>
      </c>
    </row>
    <row r="36">
      <c r="B36" s="40"/>
      <c r="C36" s="40"/>
      <c r="D36" s="158" t="s">
        <v>541</v>
      </c>
      <c r="E36" s="159">
        <v>0.0</v>
      </c>
      <c r="F36" s="159">
        <v>0.0</v>
      </c>
      <c r="G36" s="160"/>
      <c r="H36" s="160" t="str">
        <f>'PENDATAAN PERUMAHAN'!W243</f>
        <v/>
      </c>
      <c r="I36" s="161" t="str">
        <f t="shared" si="9"/>
        <v>#DIV/0!</v>
      </c>
      <c r="J36" s="161" t="str">
        <f t="shared" si="10"/>
        <v>#DIV/0!</v>
      </c>
    </row>
    <row r="37">
      <c r="B37" s="193" t="s">
        <v>542</v>
      </c>
      <c r="C37" s="19"/>
      <c r="D37" s="20"/>
      <c r="E37" s="194">
        <f>E34+E35+E36</f>
        <v>517500</v>
      </c>
      <c r="F37" s="195">
        <f>SUM(F34:F36)</f>
        <v>67791</v>
      </c>
      <c r="G37" s="195">
        <f t="shared" ref="G37:G38" si="11">H37-F37</f>
        <v>-67511</v>
      </c>
      <c r="H37" s="195">
        <f>H34+H35+H36</f>
        <v>280</v>
      </c>
      <c r="I37" s="186">
        <f t="shared" si="9"/>
        <v>-0.1304560386</v>
      </c>
      <c r="J37" s="186">
        <f t="shared" si="10"/>
        <v>0.0005410628019</v>
      </c>
    </row>
    <row r="38">
      <c r="B38" s="197" t="s">
        <v>544</v>
      </c>
      <c r="C38" s="19"/>
      <c r="D38" s="20"/>
      <c r="E38" s="198">
        <f>E37+E32</f>
        <v>1518200</v>
      </c>
      <c r="F38" s="199">
        <f>F32+F37</f>
        <v>122392</v>
      </c>
      <c r="G38" s="200">
        <f t="shared" si="11"/>
        <v>-120294</v>
      </c>
      <c r="H38" s="199">
        <f>H37+H32</f>
        <v>2098</v>
      </c>
      <c r="I38" s="201">
        <f t="shared" si="9"/>
        <v>-0.07923461994</v>
      </c>
      <c r="J38" s="201">
        <f t="shared" si="10"/>
        <v>0.001381899618</v>
      </c>
    </row>
  </sheetData>
  <mergeCells count="14">
    <mergeCell ref="B23:B31"/>
    <mergeCell ref="C23:C31"/>
    <mergeCell ref="B32:D32"/>
    <mergeCell ref="B34:B36"/>
    <mergeCell ref="C34:C36"/>
    <mergeCell ref="B37:D37"/>
    <mergeCell ref="B38:D38"/>
    <mergeCell ref="B5:B9"/>
    <mergeCell ref="D5:D9"/>
    <mergeCell ref="B14:B22"/>
    <mergeCell ref="C14:C17"/>
    <mergeCell ref="E16:E17"/>
    <mergeCell ref="C18:C19"/>
    <mergeCell ref="C20:C2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705" t="s">
        <v>1291</v>
      </c>
      <c r="C5" s="694" t="s">
        <v>263</v>
      </c>
      <c r="D5" s="695" t="s">
        <v>811</v>
      </c>
      <c r="E5" s="636" t="s">
        <v>812</v>
      </c>
      <c r="F5" s="696"/>
    </row>
    <row r="6">
      <c r="A6" s="693">
        <v>2.0</v>
      </c>
      <c r="B6" s="27"/>
      <c r="C6" s="694" t="s">
        <v>265</v>
      </c>
      <c r="D6" s="27"/>
      <c r="E6" s="697" t="s">
        <v>1085</v>
      </c>
      <c r="F6" s="696"/>
    </row>
    <row r="7">
      <c r="A7" s="693">
        <v>3.0</v>
      </c>
      <c r="B7" s="27"/>
      <c r="C7" s="694" t="s">
        <v>268</v>
      </c>
      <c r="D7" s="27"/>
      <c r="E7" s="697" t="s">
        <v>814</v>
      </c>
      <c r="F7" s="696"/>
    </row>
    <row r="8" ht="34.5" customHeight="1">
      <c r="A8" s="693">
        <v>4.0</v>
      </c>
      <c r="B8" s="27"/>
      <c r="C8" s="694" t="s">
        <v>271</v>
      </c>
      <c r="D8" s="27"/>
      <c r="E8" s="697" t="s">
        <v>1088</v>
      </c>
      <c r="F8" s="696"/>
    </row>
    <row r="9">
      <c r="A9" s="693">
        <v>5.0</v>
      </c>
      <c r="B9" s="40"/>
      <c r="C9" s="694" t="s">
        <v>274</v>
      </c>
      <c r="D9" s="40"/>
      <c r="E9" s="697" t="s">
        <v>816</v>
      </c>
      <c r="F9" s="696"/>
    </row>
    <row r="10">
      <c r="A10" s="690"/>
      <c r="B10" s="690"/>
      <c r="C10" s="690"/>
      <c r="D10" s="690"/>
      <c r="E10" s="690"/>
    </row>
    <row r="11">
      <c r="A11" s="690"/>
      <c r="B11" s="690"/>
      <c r="C11" s="690"/>
      <c r="D11" s="690"/>
      <c r="E11" s="690"/>
    </row>
    <row r="12">
      <c r="A12" s="690"/>
      <c r="B12" s="151" t="s">
        <v>494</v>
      </c>
      <c r="C12" s="152" t="s">
        <v>495</v>
      </c>
      <c r="D12" s="152" t="s">
        <v>15</v>
      </c>
      <c r="E12" s="152" t="s">
        <v>496</v>
      </c>
      <c r="F12" s="152" t="s">
        <v>497</v>
      </c>
      <c r="G12" s="152" t="s">
        <v>498</v>
      </c>
      <c r="H12" s="152" t="s">
        <v>499</v>
      </c>
      <c r="I12" s="152" t="s">
        <v>500</v>
      </c>
      <c r="J12" s="152" t="s">
        <v>501</v>
      </c>
    </row>
    <row r="13">
      <c r="A13" s="690"/>
      <c r="B13" s="156" t="s">
        <v>2</v>
      </c>
      <c r="C13" s="157" t="s">
        <v>505</v>
      </c>
      <c r="D13" s="158" t="s">
        <v>506</v>
      </c>
      <c r="E13" s="159">
        <v>518.0</v>
      </c>
      <c r="F13" s="159">
        <v>0.0</v>
      </c>
      <c r="G13" s="160">
        <f t="shared" ref="G13:G30" si="1">H13-F13</f>
        <v>0</v>
      </c>
      <c r="H13" s="160">
        <f>sum('PENDATAAN PERUMAHAN'!J118:J122)</f>
        <v>0</v>
      </c>
      <c r="I13" s="161">
        <f>(H13-F13)/E13</f>
        <v>0</v>
      </c>
      <c r="J13" s="161" t="str">
        <f t="shared" ref="J13:J14" si="2">H13/$E$2</f>
        <v>#DIV/0!</v>
      </c>
    </row>
    <row r="14">
      <c r="B14" s="27"/>
      <c r="C14" s="27"/>
      <c r="D14" s="164" t="s">
        <v>508</v>
      </c>
      <c r="E14" s="159">
        <v>0.0</v>
      </c>
      <c r="F14" s="159">
        <v>138.0</v>
      </c>
      <c r="G14" s="160">
        <f t="shared" si="1"/>
        <v>-138</v>
      </c>
      <c r="H14" s="160">
        <f>sum('PENDATAAN PERUMAHAN'!K118:K122)</f>
        <v>0</v>
      </c>
      <c r="I14" s="161"/>
      <c r="J14" s="161" t="str">
        <f t="shared" si="2"/>
        <v>#DIV/0!</v>
      </c>
    </row>
    <row r="15">
      <c r="B15" s="27"/>
      <c r="C15" s="27"/>
      <c r="D15" s="164" t="s">
        <v>25</v>
      </c>
      <c r="E15" s="166">
        <v>2500.0</v>
      </c>
      <c r="F15" s="159">
        <v>4668.0</v>
      </c>
      <c r="G15" s="160">
        <f t="shared" si="1"/>
        <v>-4515</v>
      </c>
      <c r="H15" s="160">
        <f>sum('PENDATAAN PERUMAHAN'!M118:M122)</f>
        <v>153</v>
      </c>
      <c r="I15" s="161">
        <f>(H15-F15)/E15</f>
        <v>-1.806</v>
      </c>
      <c r="J15" s="161">
        <f>H15/E15</f>
        <v>0.0612</v>
      </c>
    </row>
    <row r="16">
      <c r="B16" s="27"/>
      <c r="C16" s="40"/>
      <c r="D16" s="164" t="s">
        <v>24</v>
      </c>
      <c r="E16" s="40"/>
      <c r="F16" s="159">
        <v>407.0</v>
      </c>
      <c r="G16" s="160">
        <f t="shared" si="1"/>
        <v>-386</v>
      </c>
      <c r="H16" s="160">
        <f>sum('PENDATAAN PERUMAHAN'!L111:L116)</f>
        <v>21</v>
      </c>
      <c r="I16" s="161"/>
      <c r="J16" s="161"/>
    </row>
    <row r="17">
      <c r="B17" s="27"/>
      <c r="C17" s="157" t="s">
        <v>13</v>
      </c>
      <c r="D17" s="164" t="s">
        <v>512</v>
      </c>
      <c r="E17" s="159">
        <v>160000.0</v>
      </c>
      <c r="F17" s="159">
        <v>11206.0</v>
      </c>
      <c r="G17" s="160">
        <f t="shared" si="1"/>
        <v>-10363</v>
      </c>
      <c r="H17" s="160">
        <f>sum('PENDATAAN PERUMAHAN'!F118:F122)</f>
        <v>843</v>
      </c>
      <c r="I17" s="161">
        <f t="shared" ref="I17:I20" si="3">(H17-F17)/E17</f>
        <v>-0.06476875</v>
      </c>
      <c r="J17" s="161">
        <f t="shared" ref="J17:J26" si="4">H17/E17</f>
        <v>0.00526875</v>
      </c>
    </row>
    <row r="18">
      <c r="B18" s="27"/>
      <c r="C18" s="40"/>
      <c r="D18" s="164" t="s">
        <v>514</v>
      </c>
      <c r="E18" s="159">
        <v>80000.0</v>
      </c>
      <c r="F18" s="159">
        <v>346.0</v>
      </c>
      <c r="G18" s="160">
        <f t="shared" si="1"/>
        <v>-346</v>
      </c>
      <c r="H18" s="160">
        <f>sum('PENDATAAN PERUMAHAN'!G118:G122)</f>
        <v>0</v>
      </c>
      <c r="I18" s="161">
        <f t="shared" si="3"/>
        <v>-0.004325</v>
      </c>
      <c r="J18" s="161">
        <f t="shared" si="4"/>
        <v>0</v>
      </c>
    </row>
    <row r="19">
      <c r="B19" s="27"/>
      <c r="C19" s="157" t="s">
        <v>14</v>
      </c>
      <c r="D19" s="158" t="s">
        <v>21</v>
      </c>
      <c r="E19" s="159">
        <v>197500.0</v>
      </c>
      <c r="F19" s="159">
        <v>6706.0</v>
      </c>
      <c r="G19" s="160">
        <f t="shared" si="1"/>
        <v>-6654</v>
      </c>
      <c r="H19" s="160">
        <f>sum('PENDATAAN PERUMAHAN'!H118:H122)</f>
        <v>52</v>
      </c>
      <c r="I19" s="161">
        <f t="shared" si="3"/>
        <v>-0.03369113924</v>
      </c>
      <c r="J19" s="161">
        <f t="shared" si="4"/>
        <v>0.0002632911392</v>
      </c>
    </row>
    <row r="20">
      <c r="B20" s="27"/>
      <c r="C20" s="27"/>
      <c r="D20" s="158" t="s">
        <v>517</v>
      </c>
      <c r="E20" s="166">
        <v>850.0</v>
      </c>
      <c r="F20" s="166">
        <v>397.0</v>
      </c>
      <c r="G20" s="160">
        <f t="shared" si="1"/>
        <v>-381</v>
      </c>
      <c r="H20" s="160">
        <f>sum('PENDATAAN PERUMAHAN'!I118:I122)</f>
        <v>16</v>
      </c>
      <c r="I20" s="161">
        <f t="shared" si="3"/>
        <v>-0.4482352941</v>
      </c>
      <c r="J20" s="161">
        <f t="shared" si="4"/>
        <v>0.01882352941</v>
      </c>
    </row>
    <row r="21">
      <c r="B21" s="40"/>
      <c r="C21" s="40"/>
      <c r="D21" s="171" t="s">
        <v>519</v>
      </c>
      <c r="E21" s="166">
        <v>50.0</v>
      </c>
      <c r="F21" s="166">
        <v>16.0</v>
      </c>
      <c r="G21" s="160">
        <f t="shared" si="1"/>
        <v>-16</v>
      </c>
      <c r="H21" s="160"/>
      <c r="I21" s="161"/>
      <c r="J21" s="161">
        <f t="shared" si="4"/>
        <v>0</v>
      </c>
    </row>
    <row r="22">
      <c r="B22" s="156" t="s">
        <v>521</v>
      </c>
      <c r="C22" s="157" t="s">
        <v>522</v>
      </c>
      <c r="D22" s="171" t="s">
        <v>506</v>
      </c>
      <c r="E22" s="159">
        <v>15110.0</v>
      </c>
      <c r="F22" s="166">
        <v>0.0</v>
      </c>
      <c r="G22" s="160">
        <f t="shared" si="1"/>
        <v>0</v>
      </c>
      <c r="H22" s="160">
        <f>sum('PENDATAAN PERUMAHAN'!N118:N122)</f>
        <v>0</v>
      </c>
      <c r="I22" s="161">
        <f>(H22-F22)/E22</f>
        <v>0</v>
      </c>
      <c r="J22" s="161">
        <f t="shared" si="4"/>
        <v>0</v>
      </c>
    </row>
    <row r="23">
      <c r="B23" s="27"/>
      <c r="C23" s="27"/>
      <c r="D23" s="171" t="s">
        <v>508</v>
      </c>
      <c r="E23" s="159">
        <v>100.0</v>
      </c>
      <c r="F23" s="166">
        <v>848.0</v>
      </c>
      <c r="G23" s="160">
        <f t="shared" si="1"/>
        <v>-848</v>
      </c>
      <c r="H23" s="160">
        <f>sum('PENDATAAN PERUMAHAN'!O118:O122)</f>
        <v>0</v>
      </c>
      <c r="I23" s="161"/>
      <c r="J23" s="161">
        <f t="shared" si="4"/>
        <v>0</v>
      </c>
    </row>
    <row r="24">
      <c r="B24" s="27"/>
      <c r="C24" s="27"/>
      <c r="D24" s="171" t="s">
        <v>525</v>
      </c>
      <c r="E24" s="159">
        <v>675.0</v>
      </c>
      <c r="F24" s="159">
        <v>0.0</v>
      </c>
      <c r="G24" s="160">
        <f t="shared" si="1"/>
        <v>0</v>
      </c>
      <c r="H24" s="160">
        <f>sum('PENDATAAN PERUMAHAN'!P118:P122)</f>
        <v>0</v>
      </c>
      <c r="I24" s="161">
        <f t="shared" ref="I24:I29" si="5">(H24-F24)/E24</f>
        <v>0</v>
      </c>
      <c r="J24" s="161">
        <f t="shared" si="4"/>
        <v>0</v>
      </c>
    </row>
    <row r="25">
      <c r="B25" s="27"/>
      <c r="C25" s="27"/>
      <c r="D25" s="171" t="s">
        <v>25</v>
      </c>
      <c r="E25" s="159">
        <v>13500.0</v>
      </c>
      <c r="F25" s="159">
        <v>24219.0</v>
      </c>
      <c r="G25" s="160">
        <f t="shared" si="1"/>
        <v>-22566</v>
      </c>
      <c r="H25" s="160">
        <f>sum('PENDATAAN PERUMAHAN'!R112:R122)</f>
        <v>1653</v>
      </c>
      <c r="I25" s="161">
        <f t="shared" si="5"/>
        <v>-1.671555556</v>
      </c>
      <c r="J25" s="161">
        <f t="shared" si="4"/>
        <v>0.1224444444</v>
      </c>
    </row>
    <row r="26">
      <c r="B26" s="27"/>
      <c r="C26" s="27"/>
      <c r="D26" s="158" t="s">
        <v>24</v>
      </c>
      <c r="E26" s="159">
        <v>42200.0</v>
      </c>
      <c r="F26" s="159">
        <v>2272.0</v>
      </c>
      <c r="G26" s="160">
        <f t="shared" si="1"/>
        <v>-2045</v>
      </c>
      <c r="H26" s="160">
        <f>sum('PENDATAAN PERUMAHAN'!Q118:Q122)</f>
        <v>227</v>
      </c>
      <c r="I26" s="161">
        <f t="shared" si="5"/>
        <v>-0.04845971564</v>
      </c>
      <c r="J26" s="161">
        <f t="shared" si="4"/>
        <v>0.005379146919</v>
      </c>
    </row>
    <row r="27">
      <c r="B27" s="27"/>
      <c r="C27" s="27"/>
      <c r="D27" s="158" t="s">
        <v>28</v>
      </c>
      <c r="E27" s="159">
        <v>0.0</v>
      </c>
      <c r="F27" s="159">
        <v>0.0</v>
      </c>
      <c r="G27" s="160">
        <f t="shared" si="1"/>
        <v>0</v>
      </c>
      <c r="H27" s="160">
        <f>sum('PENDATAAN PERUMAHAN'!T118:T122)</f>
        <v>0</v>
      </c>
      <c r="I27" s="161" t="str">
        <f t="shared" si="5"/>
        <v>#DIV/0!</v>
      </c>
      <c r="J27" s="161">
        <f>H27/36</f>
        <v>0</v>
      </c>
    </row>
    <row r="28">
      <c r="B28" s="27"/>
      <c r="C28" s="27"/>
      <c r="D28" s="158" t="s">
        <v>517</v>
      </c>
      <c r="E28" s="159">
        <v>600.0</v>
      </c>
      <c r="F28" s="159">
        <v>2104.0</v>
      </c>
      <c r="G28" s="160">
        <f t="shared" si="1"/>
        <v>-2046</v>
      </c>
      <c r="H28" s="160">
        <f>sum('PENDATAAN PERUMAHAN'!S118:S122)</f>
        <v>58</v>
      </c>
      <c r="I28" s="161">
        <f t="shared" si="5"/>
        <v>-3.41</v>
      </c>
      <c r="J28" s="161">
        <f t="shared" ref="J28:J31" si="6">H28/E28</f>
        <v>0.09666666667</v>
      </c>
    </row>
    <row r="29">
      <c r="B29" s="27"/>
      <c r="C29" s="27"/>
      <c r="D29" s="158" t="s">
        <v>29</v>
      </c>
      <c r="E29" s="159">
        <v>486897.0</v>
      </c>
      <c r="F29" s="159">
        <v>1105.0</v>
      </c>
      <c r="G29" s="160">
        <f t="shared" si="1"/>
        <v>11289</v>
      </c>
      <c r="H29" s="160">
        <f>sum('PENDATAAN PERUMAHAN'!U118:U122)</f>
        <v>12394</v>
      </c>
      <c r="I29" s="161">
        <f t="shared" si="5"/>
        <v>0.02318560188</v>
      </c>
      <c r="J29" s="161">
        <f t="shared" si="6"/>
        <v>0.02545507571</v>
      </c>
    </row>
    <row r="30">
      <c r="B30" s="40"/>
      <c r="C30" s="40"/>
      <c r="D30" s="174" t="s">
        <v>519</v>
      </c>
      <c r="E30" s="175">
        <v>200.0</v>
      </c>
      <c r="F30" s="175">
        <v>169.0</v>
      </c>
      <c r="G30" s="698">
        <f t="shared" si="1"/>
        <v>-169</v>
      </c>
      <c r="H30" s="160"/>
      <c r="I30" s="175"/>
      <c r="J30" s="161">
        <f t="shared" si="6"/>
        <v>0</v>
      </c>
    </row>
    <row r="31">
      <c r="B31" s="182" t="s">
        <v>533</v>
      </c>
      <c r="C31" s="183"/>
      <c r="D31" s="31"/>
      <c r="E31" s="184">
        <f t="shared" ref="E31:F31" si="7">SUM(E13:E30)</f>
        <v>1000700</v>
      </c>
      <c r="F31" s="184">
        <f t="shared" si="7"/>
        <v>54601</v>
      </c>
      <c r="G31" s="185"/>
      <c r="H31" s="185">
        <f>SUM(H13:H30)</f>
        <v>15417</v>
      </c>
      <c r="I31" s="186">
        <f>(H31-F31)/E31</f>
        <v>-0.03915659039</v>
      </c>
      <c r="J31" s="186">
        <f t="shared" si="6"/>
        <v>0.01540621565</v>
      </c>
    </row>
    <row r="32">
      <c r="B32" s="187"/>
      <c r="C32" s="188"/>
      <c r="D32" s="189"/>
      <c r="E32" s="159"/>
      <c r="F32" s="160"/>
      <c r="G32" s="160"/>
      <c r="H32" s="160"/>
      <c r="I32" s="161"/>
      <c r="J32" s="161"/>
    </row>
    <row r="33">
      <c r="B33" s="156" t="s">
        <v>6</v>
      </c>
      <c r="C33" s="157" t="s">
        <v>8</v>
      </c>
      <c r="D33" s="158" t="s">
        <v>536</v>
      </c>
      <c r="E33" s="159">
        <v>217500.0</v>
      </c>
      <c r="F33" s="159">
        <v>67791.0</v>
      </c>
      <c r="G33" s="160">
        <f t="shared" ref="G33:G34" si="8">H33-F33</f>
        <v>-60028</v>
      </c>
      <c r="H33" s="160">
        <f>sum('PENDATAAN PERUMAHAN'!E118:E122)</f>
        <v>7763</v>
      </c>
      <c r="I33" s="161">
        <f t="shared" ref="I33:I37" si="9">(H33-F33)/E33</f>
        <v>-0.2759908046</v>
      </c>
      <c r="J33" s="161">
        <f t="shared" ref="J33:J37" si="10">H33/E33</f>
        <v>0.03569195402</v>
      </c>
    </row>
    <row r="34">
      <c r="B34" s="27"/>
      <c r="C34" s="27"/>
      <c r="D34" s="158" t="s">
        <v>538</v>
      </c>
      <c r="E34" s="159">
        <v>300000.0</v>
      </c>
      <c r="F34" s="159">
        <v>0.0</v>
      </c>
      <c r="G34" s="160">
        <f t="shared" si="8"/>
        <v>0</v>
      </c>
      <c r="H34" s="160" t="str">
        <f>'PENDATAAN PERUMAHAN'!V243</f>
        <v/>
      </c>
      <c r="I34" s="161">
        <f t="shared" si="9"/>
        <v>0</v>
      </c>
      <c r="J34" s="161">
        <f t="shared" si="10"/>
        <v>0</v>
      </c>
    </row>
    <row r="35">
      <c r="B35" s="40"/>
      <c r="C35" s="40"/>
      <c r="D35" s="158" t="s">
        <v>541</v>
      </c>
      <c r="E35" s="159">
        <v>0.0</v>
      </c>
      <c r="F35" s="159">
        <v>0.0</v>
      </c>
      <c r="G35" s="160"/>
      <c r="H35" s="160" t="str">
        <f>'PENDATAAN PERUMAHAN'!W243</f>
        <v/>
      </c>
      <c r="I35" s="161" t="str">
        <f t="shared" si="9"/>
        <v>#DIV/0!</v>
      </c>
      <c r="J35" s="161" t="str">
        <f t="shared" si="10"/>
        <v>#DIV/0!</v>
      </c>
    </row>
    <row r="36">
      <c r="B36" s="193" t="s">
        <v>542</v>
      </c>
      <c r="C36" s="19"/>
      <c r="D36" s="20"/>
      <c r="E36" s="194">
        <f>E33+E34+E35</f>
        <v>517500</v>
      </c>
      <c r="F36" s="195">
        <f>SUM(F33:F35)</f>
        <v>67791</v>
      </c>
      <c r="G36" s="195">
        <f t="shared" ref="G36:G37" si="11">H36-F36</f>
        <v>-60028</v>
      </c>
      <c r="H36" s="195">
        <f>H33+H34+H35</f>
        <v>7763</v>
      </c>
      <c r="I36" s="186">
        <f t="shared" si="9"/>
        <v>-0.1159961353</v>
      </c>
      <c r="J36" s="186">
        <f t="shared" si="10"/>
        <v>0.01500096618</v>
      </c>
    </row>
    <row r="37">
      <c r="B37" s="197" t="s">
        <v>544</v>
      </c>
      <c r="C37" s="19"/>
      <c r="D37" s="20"/>
      <c r="E37" s="198">
        <f>E36+E31</f>
        <v>1518200</v>
      </c>
      <c r="F37" s="199">
        <f>F31+F36</f>
        <v>122392</v>
      </c>
      <c r="G37" s="200">
        <f t="shared" si="11"/>
        <v>-99212</v>
      </c>
      <c r="H37" s="199">
        <f>H36+H31</f>
        <v>23180</v>
      </c>
      <c r="I37" s="201">
        <f t="shared" si="9"/>
        <v>-0.06534843894</v>
      </c>
      <c r="J37" s="201">
        <f t="shared" si="10"/>
        <v>0.01526808062</v>
      </c>
    </row>
  </sheetData>
  <mergeCells count="14">
    <mergeCell ref="B22:B30"/>
    <mergeCell ref="C22:C30"/>
    <mergeCell ref="B31:D31"/>
    <mergeCell ref="B33:B35"/>
    <mergeCell ref="C33:C35"/>
    <mergeCell ref="B36:D36"/>
    <mergeCell ref="B37:D37"/>
    <mergeCell ref="B5:B9"/>
    <mergeCell ref="D5:D9"/>
    <mergeCell ref="B13:B21"/>
    <mergeCell ref="C13:C16"/>
    <mergeCell ref="E15:E16"/>
    <mergeCell ref="C17:C18"/>
    <mergeCell ref="C19:C2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705" t="s">
        <v>1291</v>
      </c>
      <c r="C5" s="694" t="s">
        <v>277</v>
      </c>
      <c r="D5" s="695" t="s">
        <v>1092</v>
      </c>
      <c r="E5" s="636" t="s">
        <v>1093</v>
      </c>
      <c r="F5" s="715" t="s">
        <v>1293</v>
      </c>
    </row>
    <row r="6">
      <c r="A6" s="693">
        <v>2.0</v>
      </c>
      <c r="B6" s="27"/>
      <c r="C6" s="694" t="s">
        <v>279</v>
      </c>
      <c r="D6" s="27"/>
      <c r="E6" s="697" t="s">
        <v>1097</v>
      </c>
      <c r="F6" s="716" t="s">
        <v>1294</v>
      </c>
    </row>
    <row r="7">
      <c r="A7" s="693">
        <v>3.0</v>
      </c>
      <c r="B7" s="27"/>
      <c r="C7" s="694" t="s">
        <v>282</v>
      </c>
      <c r="D7" s="27"/>
      <c r="E7" s="697" t="s">
        <v>1100</v>
      </c>
      <c r="F7" s="716" t="s">
        <v>1295</v>
      </c>
    </row>
    <row r="8" ht="20.25" customHeight="1">
      <c r="A8" s="693">
        <v>4.0</v>
      </c>
      <c r="B8" s="27"/>
      <c r="C8" s="694" t="s">
        <v>284</v>
      </c>
      <c r="D8" s="27"/>
      <c r="E8" s="697" t="s">
        <v>1103</v>
      </c>
      <c r="F8" s="717" t="s">
        <v>1296</v>
      </c>
    </row>
    <row r="9">
      <c r="A9" s="693">
        <v>5.0</v>
      </c>
      <c r="B9" s="40"/>
      <c r="C9" s="694" t="s">
        <v>286</v>
      </c>
      <c r="D9" s="40"/>
      <c r="E9" s="697" t="s">
        <v>822</v>
      </c>
      <c r="F9" s="717" t="s">
        <v>1297</v>
      </c>
    </row>
    <row r="10">
      <c r="A10" s="690"/>
      <c r="B10" s="690"/>
      <c r="C10" s="690"/>
      <c r="D10" s="690"/>
      <c r="E10" s="690"/>
    </row>
    <row r="11">
      <c r="A11" s="690"/>
      <c r="B11" s="690"/>
      <c r="C11" s="690"/>
      <c r="D11" s="690"/>
      <c r="E11" s="690"/>
    </row>
    <row r="12">
      <c r="A12" s="690"/>
      <c r="B12" s="151" t="s">
        <v>494</v>
      </c>
      <c r="C12" s="152" t="s">
        <v>495</v>
      </c>
      <c r="D12" s="152" t="s">
        <v>15</v>
      </c>
      <c r="E12" s="152" t="s">
        <v>496</v>
      </c>
      <c r="F12" s="152" t="s">
        <v>497</v>
      </c>
      <c r="G12" s="152" t="s">
        <v>498</v>
      </c>
      <c r="H12" s="152" t="s">
        <v>499</v>
      </c>
      <c r="I12" s="152" t="s">
        <v>500</v>
      </c>
      <c r="J12" s="152" t="s">
        <v>501</v>
      </c>
    </row>
    <row r="13">
      <c r="A13" s="690"/>
      <c r="B13" s="156" t="s">
        <v>2</v>
      </c>
      <c r="C13" s="157" t="s">
        <v>505</v>
      </c>
      <c r="D13" s="158" t="s">
        <v>506</v>
      </c>
      <c r="E13" s="159">
        <v>518.0</v>
      </c>
      <c r="F13" s="159">
        <v>0.0</v>
      </c>
      <c r="G13" s="160">
        <f t="shared" ref="G13:G30" si="1">H13-F13</f>
        <v>0</v>
      </c>
      <c r="H13" s="160">
        <f>sum('PENDATAAN PERUMAHAN'!J123:J127)</f>
        <v>0</v>
      </c>
      <c r="I13" s="161">
        <f>(H13-F13)/E13</f>
        <v>0</v>
      </c>
      <c r="J13" s="161" t="str">
        <f t="shared" ref="J13:J14" si="2">H13/$E$2</f>
        <v>#DIV/0!</v>
      </c>
    </row>
    <row r="14">
      <c r="B14" s="27"/>
      <c r="C14" s="27"/>
      <c r="D14" s="164" t="s">
        <v>508</v>
      </c>
      <c r="E14" s="159">
        <v>0.0</v>
      </c>
      <c r="F14" s="159">
        <v>138.0</v>
      </c>
      <c r="G14" s="160">
        <f t="shared" si="1"/>
        <v>-138</v>
      </c>
      <c r="H14" s="160">
        <f>sum('PENDATAAN PERUMAHAN'!K123:K127)</f>
        <v>0</v>
      </c>
      <c r="I14" s="161"/>
      <c r="J14" s="161" t="str">
        <f t="shared" si="2"/>
        <v>#DIV/0!</v>
      </c>
    </row>
    <row r="15">
      <c r="B15" s="27"/>
      <c r="C15" s="27"/>
      <c r="D15" s="164" t="s">
        <v>25</v>
      </c>
      <c r="E15" s="166">
        <v>2500.0</v>
      </c>
      <c r="F15" s="159">
        <v>4668.0</v>
      </c>
      <c r="G15" s="160">
        <f t="shared" si="1"/>
        <v>-4367</v>
      </c>
      <c r="H15" s="160">
        <f>sum('PENDATAAN PERUMAHAN'!M123:M127)</f>
        <v>301</v>
      </c>
      <c r="I15" s="161">
        <f>(H15-F15)/E15</f>
        <v>-1.7468</v>
      </c>
      <c r="J15" s="161">
        <f>H15/E15</f>
        <v>0.1204</v>
      </c>
    </row>
    <row r="16">
      <c r="B16" s="27"/>
      <c r="C16" s="40"/>
      <c r="D16" s="164" t="s">
        <v>24</v>
      </c>
      <c r="E16" s="40"/>
      <c r="F16" s="159">
        <v>407.0</v>
      </c>
      <c r="G16" s="160">
        <f t="shared" si="1"/>
        <v>-401</v>
      </c>
      <c r="H16" s="160">
        <f>sum('PENDATAAN PERUMAHAN'!L123:L127)</f>
        <v>6</v>
      </c>
      <c r="I16" s="161"/>
      <c r="J16" s="161"/>
    </row>
    <row r="17">
      <c r="B17" s="27"/>
      <c r="C17" s="157" t="s">
        <v>13</v>
      </c>
      <c r="D17" s="164" t="s">
        <v>512</v>
      </c>
      <c r="E17" s="159">
        <v>160000.0</v>
      </c>
      <c r="F17" s="159">
        <v>11206.0</v>
      </c>
      <c r="G17" s="160">
        <f t="shared" si="1"/>
        <v>-10982</v>
      </c>
      <c r="H17" s="160">
        <f>sum('PENDATAAN PERUMAHAN'!F123:F127)</f>
        <v>224</v>
      </c>
      <c r="I17" s="161">
        <f t="shared" ref="I17:I20" si="3">(H17-F17)/E17</f>
        <v>-0.0686375</v>
      </c>
      <c r="J17" s="161">
        <f t="shared" ref="J17:J26" si="4">H17/E17</f>
        <v>0.0014</v>
      </c>
    </row>
    <row r="18">
      <c r="B18" s="27"/>
      <c r="C18" s="40"/>
      <c r="D18" s="164" t="s">
        <v>514</v>
      </c>
      <c r="E18" s="159">
        <v>80000.0</v>
      </c>
      <c r="F18" s="159">
        <v>346.0</v>
      </c>
      <c r="G18" s="160">
        <f t="shared" si="1"/>
        <v>-346</v>
      </c>
      <c r="H18" s="160">
        <f>sum('PENDATAAN PERUMAHAN'!G123:G127)</f>
        <v>0</v>
      </c>
      <c r="I18" s="161">
        <f t="shared" si="3"/>
        <v>-0.004325</v>
      </c>
      <c r="J18" s="161">
        <f t="shared" si="4"/>
        <v>0</v>
      </c>
    </row>
    <row r="19">
      <c r="B19" s="27"/>
      <c r="C19" s="157" t="s">
        <v>14</v>
      </c>
      <c r="D19" s="158" t="s">
        <v>21</v>
      </c>
      <c r="E19" s="159">
        <v>197500.0</v>
      </c>
      <c r="F19" s="159">
        <v>6706.0</v>
      </c>
      <c r="G19" s="160">
        <f t="shared" si="1"/>
        <v>-6643</v>
      </c>
      <c r="H19" s="160">
        <f>sum('PENDATAAN PERUMAHAN'!H123:H127)</f>
        <v>63</v>
      </c>
      <c r="I19" s="161">
        <f t="shared" si="3"/>
        <v>-0.03363544304</v>
      </c>
      <c r="J19" s="161">
        <f t="shared" si="4"/>
        <v>0.0003189873418</v>
      </c>
    </row>
    <row r="20">
      <c r="B20" s="27"/>
      <c r="C20" s="27"/>
      <c r="D20" s="158" t="s">
        <v>517</v>
      </c>
      <c r="E20" s="166">
        <v>850.0</v>
      </c>
      <c r="F20" s="166">
        <v>397.0</v>
      </c>
      <c r="G20" s="160">
        <f t="shared" si="1"/>
        <v>-241</v>
      </c>
      <c r="H20" s="160">
        <f>sum('PENDATAAN PERUMAHAN'!I123:I127)</f>
        <v>156</v>
      </c>
      <c r="I20" s="161">
        <f t="shared" si="3"/>
        <v>-0.2835294118</v>
      </c>
      <c r="J20" s="161">
        <f t="shared" si="4"/>
        <v>0.1835294118</v>
      </c>
    </row>
    <row r="21">
      <c r="B21" s="40"/>
      <c r="C21" s="40"/>
      <c r="D21" s="171" t="s">
        <v>519</v>
      </c>
      <c r="E21" s="166">
        <v>50.0</v>
      </c>
      <c r="F21" s="166">
        <v>16.0</v>
      </c>
      <c r="G21" s="160">
        <f t="shared" si="1"/>
        <v>-16</v>
      </c>
      <c r="H21" s="160"/>
      <c r="I21" s="161"/>
      <c r="J21" s="161">
        <f t="shared" si="4"/>
        <v>0</v>
      </c>
    </row>
    <row r="22">
      <c r="B22" s="156" t="s">
        <v>521</v>
      </c>
      <c r="C22" s="157" t="s">
        <v>522</v>
      </c>
      <c r="D22" s="171" t="s">
        <v>506</v>
      </c>
      <c r="E22" s="159">
        <v>15110.0</v>
      </c>
      <c r="F22" s="166">
        <v>0.0</v>
      </c>
      <c r="G22" s="160">
        <f t="shared" si="1"/>
        <v>0</v>
      </c>
      <c r="H22" s="160">
        <f>sum('PENDATAAN PERUMAHAN'!N123:N127)</f>
        <v>0</v>
      </c>
      <c r="I22" s="161">
        <f>(H22-F22)/E22</f>
        <v>0</v>
      </c>
      <c r="J22" s="161">
        <f t="shared" si="4"/>
        <v>0</v>
      </c>
    </row>
    <row r="23">
      <c r="B23" s="27"/>
      <c r="C23" s="27"/>
      <c r="D23" s="171" t="s">
        <v>508</v>
      </c>
      <c r="E23" s="159">
        <v>100.0</v>
      </c>
      <c r="F23" s="166">
        <v>848.0</v>
      </c>
      <c r="G23" s="160">
        <f t="shared" si="1"/>
        <v>-848</v>
      </c>
      <c r="H23" s="160">
        <f>sum('PENDATAAN PERUMAHAN'!O123:O127)</f>
        <v>0</v>
      </c>
      <c r="I23" s="161"/>
      <c r="J23" s="161">
        <f t="shared" si="4"/>
        <v>0</v>
      </c>
    </row>
    <row r="24">
      <c r="B24" s="27"/>
      <c r="C24" s="27"/>
      <c r="D24" s="171" t="s">
        <v>525</v>
      </c>
      <c r="E24" s="159">
        <v>675.0</v>
      </c>
      <c r="F24" s="159">
        <v>0.0</v>
      </c>
      <c r="G24" s="160">
        <f t="shared" si="1"/>
        <v>0</v>
      </c>
      <c r="H24" s="160">
        <f>sum('PENDATAAN PERUMAHAN'!P123:P127)</f>
        <v>0</v>
      </c>
      <c r="I24" s="161">
        <f t="shared" ref="I24:I29" si="5">(H24-F24)/E24</f>
        <v>0</v>
      </c>
      <c r="J24" s="161">
        <f t="shared" si="4"/>
        <v>0</v>
      </c>
    </row>
    <row r="25">
      <c r="B25" s="27"/>
      <c r="C25" s="27"/>
      <c r="D25" s="171" t="s">
        <v>25</v>
      </c>
      <c r="E25" s="159">
        <v>13500.0</v>
      </c>
      <c r="F25" s="159">
        <v>24219.0</v>
      </c>
      <c r="G25" s="160">
        <f t="shared" si="1"/>
        <v>-23688</v>
      </c>
      <c r="H25" s="160">
        <f>sum('PENDATAAN PERUMAHAN'!R123:R127)</f>
        <v>531</v>
      </c>
      <c r="I25" s="161">
        <f t="shared" si="5"/>
        <v>-1.754666667</v>
      </c>
      <c r="J25" s="161">
        <f t="shared" si="4"/>
        <v>0.03933333333</v>
      </c>
    </row>
    <row r="26">
      <c r="B26" s="27"/>
      <c r="C26" s="27"/>
      <c r="D26" s="158" t="s">
        <v>24</v>
      </c>
      <c r="E26" s="159">
        <v>42200.0</v>
      </c>
      <c r="F26" s="159">
        <v>2272.0</v>
      </c>
      <c r="G26" s="160">
        <f t="shared" si="1"/>
        <v>-2247</v>
      </c>
      <c r="H26" s="160">
        <f>sum('PENDATAAN PERUMAHAN'!Q123:Q127)</f>
        <v>25</v>
      </c>
      <c r="I26" s="161">
        <f t="shared" si="5"/>
        <v>-0.0532464455</v>
      </c>
      <c r="J26" s="161">
        <f t="shared" si="4"/>
        <v>0.0005924170616</v>
      </c>
    </row>
    <row r="27">
      <c r="B27" s="27"/>
      <c r="C27" s="27"/>
      <c r="D27" s="158" t="s">
        <v>28</v>
      </c>
      <c r="E27" s="159">
        <v>0.0</v>
      </c>
      <c r="F27" s="159">
        <v>0.0</v>
      </c>
      <c r="G27" s="160">
        <f t="shared" si="1"/>
        <v>0</v>
      </c>
      <c r="H27" s="160">
        <f>sum('PENDATAAN PERUMAHAN'!T123:T127)</f>
        <v>0</v>
      </c>
      <c r="I27" s="161" t="str">
        <f t="shared" si="5"/>
        <v>#DIV/0!</v>
      </c>
      <c r="J27" s="161">
        <f>H27/36</f>
        <v>0</v>
      </c>
    </row>
    <row r="28">
      <c r="B28" s="27"/>
      <c r="C28" s="27"/>
      <c r="D28" s="158" t="s">
        <v>517</v>
      </c>
      <c r="E28" s="159">
        <v>600.0</v>
      </c>
      <c r="F28" s="159">
        <v>2104.0</v>
      </c>
      <c r="G28" s="160">
        <f t="shared" si="1"/>
        <v>-2034</v>
      </c>
      <c r="H28" s="160">
        <f>sum('PENDATAAN PERUMAHAN'!S123:S127)</f>
        <v>70</v>
      </c>
      <c r="I28" s="161">
        <f t="shared" si="5"/>
        <v>-3.39</v>
      </c>
      <c r="J28" s="161">
        <f t="shared" ref="J28:J31" si="6">H28/E28</f>
        <v>0.1166666667</v>
      </c>
    </row>
    <row r="29">
      <c r="B29" s="27"/>
      <c r="C29" s="27"/>
      <c r="D29" s="158" t="s">
        <v>29</v>
      </c>
      <c r="E29" s="159">
        <v>486897.0</v>
      </c>
      <c r="F29" s="159">
        <v>1105.0</v>
      </c>
      <c r="G29" s="160">
        <f t="shared" si="1"/>
        <v>3604</v>
      </c>
      <c r="H29" s="160">
        <f>sum('PENDATAAN PERUMAHAN'!U123:U127)</f>
        <v>4709</v>
      </c>
      <c r="I29" s="161">
        <f t="shared" si="5"/>
        <v>0.007401976188</v>
      </c>
      <c r="J29" s="161">
        <f t="shared" si="6"/>
        <v>0.009671450019</v>
      </c>
    </row>
    <row r="30">
      <c r="B30" s="40"/>
      <c r="C30" s="40"/>
      <c r="D30" s="174" t="s">
        <v>519</v>
      </c>
      <c r="E30" s="175">
        <v>200.0</v>
      </c>
      <c r="F30" s="175">
        <v>169.0</v>
      </c>
      <c r="G30" s="698">
        <f t="shared" si="1"/>
        <v>-169</v>
      </c>
      <c r="H30" s="160"/>
      <c r="I30" s="175"/>
      <c r="J30" s="161">
        <f t="shared" si="6"/>
        <v>0</v>
      </c>
    </row>
    <row r="31">
      <c r="B31" s="182" t="s">
        <v>533</v>
      </c>
      <c r="C31" s="183"/>
      <c r="D31" s="31"/>
      <c r="E31" s="184">
        <f t="shared" ref="E31:F31" si="7">SUM(E13:E30)</f>
        <v>1000700</v>
      </c>
      <c r="F31" s="184">
        <f t="shared" si="7"/>
        <v>54601</v>
      </c>
      <c r="G31" s="185"/>
      <c r="H31" s="185">
        <f>SUM(H13:H30)</f>
        <v>6085</v>
      </c>
      <c r="I31" s="186">
        <f>(H31-F31)/E31</f>
        <v>-0.04848206256</v>
      </c>
      <c r="J31" s="186">
        <f t="shared" si="6"/>
        <v>0.00608074348</v>
      </c>
    </row>
    <row r="32">
      <c r="B32" s="187"/>
      <c r="C32" s="188"/>
      <c r="D32" s="189"/>
      <c r="E32" s="159"/>
      <c r="F32" s="160"/>
      <c r="G32" s="160"/>
      <c r="H32" s="283"/>
      <c r="I32" s="161"/>
      <c r="J32" s="161"/>
    </row>
    <row r="33">
      <c r="B33" s="156" t="s">
        <v>6</v>
      </c>
      <c r="C33" s="157" t="s">
        <v>8</v>
      </c>
      <c r="D33" s="158" t="s">
        <v>536</v>
      </c>
      <c r="E33" s="159">
        <v>217500.0</v>
      </c>
      <c r="F33" s="159">
        <v>67791.0</v>
      </c>
      <c r="G33" s="160">
        <f t="shared" ref="G33:G34" si="8">H33-F33</f>
        <v>-65167</v>
      </c>
      <c r="H33" s="266">
        <f>sum('PENDATAAN PERUMAHAN'!E123:E127)</f>
        <v>2624</v>
      </c>
      <c r="I33" s="161">
        <f t="shared" ref="I33:I37" si="9">(H33-F33)/E33</f>
        <v>-0.2996183908</v>
      </c>
      <c r="J33" s="161">
        <f t="shared" ref="J33:J37" si="10">H33/E33</f>
        <v>0.01206436782</v>
      </c>
    </row>
    <row r="34">
      <c r="B34" s="27"/>
      <c r="C34" s="27"/>
      <c r="D34" s="158" t="s">
        <v>538</v>
      </c>
      <c r="E34" s="159">
        <v>300000.0</v>
      </c>
      <c r="F34" s="159">
        <v>0.0</v>
      </c>
      <c r="G34" s="160">
        <f t="shared" si="8"/>
        <v>0</v>
      </c>
      <c r="H34" s="283" t="str">
        <f>'PENDATAAN PERUMAHAN'!V240</f>
        <v/>
      </c>
      <c r="I34" s="161">
        <f t="shared" si="9"/>
        <v>0</v>
      </c>
      <c r="J34" s="161">
        <f t="shared" si="10"/>
        <v>0</v>
      </c>
    </row>
    <row r="35">
      <c r="B35" s="40"/>
      <c r="C35" s="40"/>
      <c r="D35" s="158" t="s">
        <v>541</v>
      </c>
      <c r="E35" s="159">
        <v>0.0</v>
      </c>
      <c r="F35" s="159">
        <v>0.0</v>
      </c>
      <c r="G35" s="160"/>
      <c r="H35" s="283" t="str">
        <f>'PENDATAAN PERUMAHAN'!W240</f>
        <v/>
      </c>
      <c r="I35" s="161" t="str">
        <f t="shared" si="9"/>
        <v>#DIV/0!</v>
      </c>
      <c r="J35" s="161" t="str">
        <f t="shared" si="10"/>
        <v>#DIV/0!</v>
      </c>
    </row>
    <row r="36">
      <c r="B36" s="193" t="s">
        <v>542</v>
      </c>
      <c r="C36" s="19"/>
      <c r="D36" s="20"/>
      <c r="E36" s="194">
        <f>E33+E34+E35</f>
        <v>517500</v>
      </c>
      <c r="F36" s="195">
        <f>SUM(F33:F35)</f>
        <v>67791</v>
      </c>
      <c r="G36" s="195">
        <f t="shared" ref="G36:G37" si="11">H36-F36</f>
        <v>-65167</v>
      </c>
      <c r="H36" s="195">
        <f>H33+H34+H35</f>
        <v>2624</v>
      </c>
      <c r="I36" s="186">
        <f t="shared" si="9"/>
        <v>-0.12592657</v>
      </c>
      <c r="J36" s="186">
        <f t="shared" si="10"/>
        <v>0.005070531401</v>
      </c>
    </row>
    <row r="37">
      <c r="B37" s="197" t="s">
        <v>544</v>
      </c>
      <c r="C37" s="19"/>
      <c r="D37" s="20"/>
      <c r="E37" s="198">
        <f>E36+E31</f>
        <v>1518200</v>
      </c>
      <c r="F37" s="199">
        <f>F31+F36</f>
        <v>122392</v>
      </c>
      <c r="G37" s="200">
        <f t="shared" si="11"/>
        <v>-113683</v>
      </c>
      <c r="H37" s="199">
        <f>H36+H31</f>
        <v>8709</v>
      </c>
      <c r="I37" s="201">
        <f t="shared" si="9"/>
        <v>-0.0748801212</v>
      </c>
      <c r="J37" s="201">
        <f t="shared" si="10"/>
        <v>0.005736398366</v>
      </c>
    </row>
  </sheetData>
  <mergeCells count="14">
    <mergeCell ref="B22:B30"/>
    <mergeCell ref="C22:C30"/>
    <mergeCell ref="B31:D31"/>
    <mergeCell ref="B33:B35"/>
    <mergeCell ref="C33:C35"/>
    <mergeCell ref="B36:D36"/>
    <mergeCell ref="B37:D37"/>
    <mergeCell ref="B5:B9"/>
    <mergeCell ref="D5:D9"/>
    <mergeCell ref="B13:B21"/>
    <mergeCell ref="C13:C16"/>
    <mergeCell ref="E15:E16"/>
    <mergeCell ref="C17:C18"/>
    <mergeCell ref="C19:C21"/>
  </mergeCells>
  <hyperlinks>
    <hyperlink r:id="rId1" ref="F5"/>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705" t="s">
        <v>1298</v>
      </c>
      <c r="C5" s="694" t="s">
        <v>368</v>
      </c>
      <c r="D5" s="695" t="s">
        <v>1192</v>
      </c>
      <c r="E5" s="636" t="s">
        <v>898</v>
      </c>
      <c r="F5" s="718" t="s">
        <v>1299</v>
      </c>
    </row>
    <row r="6">
      <c r="A6" s="693">
        <v>2.0</v>
      </c>
      <c r="B6" s="27"/>
      <c r="C6" s="694" t="s">
        <v>371</v>
      </c>
      <c r="D6" s="27"/>
      <c r="E6" s="719" t="s">
        <v>1300</v>
      </c>
      <c r="F6" s="717" t="s">
        <v>1301</v>
      </c>
    </row>
    <row r="7">
      <c r="A7" s="693">
        <v>3.0</v>
      </c>
      <c r="B7" s="27"/>
      <c r="C7" s="694" t="s">
        <v>373</v>
      </c>
      <c r="D7" s="27"/>
      <c r="E7" s="697" t="s">
        <v>1196</v>
      </c>
      <c r="F7" s="717" t="s">
        <v>1302</v>
      </c>
    </row>
    <row r="8" ht="20.25" customHeight="1">
      <c r="A8" s="693">
        <v>4.0</v>
      </c>
      <c r="B8" s="27"/>
      <c r="C8" s="694" t="s">
        <v>375</v>
      </c>
      <c r="D8" s="27"/>
      <c r="E8" s="697" t="s">
        <v>1197</v>
      </c>
      <c r="F8" s="717" t="s">
        <v>1303</v>
      </c>
    </row>
    <row r="9">
      <c r="A9" s="693">
        <v>5.0</v>
      </c>
      <c r="B9" s="40"/>
      <c r="C9" s="694" t="s">
        <v>377</v>
      </c>
      <c r="D9" s="27"/>
      <c r="E9" s="697" t="s">
        <v>903</v>
      </c>
      <c r="F9" s="717" t="s">
        <v>1304</v>
      </c>
    </row>
    <row r="10">
      <c r="A10" s="714"/>
      <c r="B10" s="714"/>
      <c r="C10" s="694" t="s">
        <v>379</v>
      </c>
      <c r="D10" s="40"/>
      <c r="E10" s="697" t="s">
        <v>904</v>
      </c>
      <c r="F10" s="720" t="s">
        <v>1305</v>
      </c>
    </row>
    <row r="11">
      <c r="A11" s="690"/>
      <c r="B11" s="690"/>
      <c r="C11" s="690"/>
      <c r="D11" s="690"/>
      <c r="E11" s="690"/>
    </row>
    <row r="12">
      <c r="A12" s="690"/>
      <c r="B12" s="151" t="s">
        <v>494</v>
      </c>
      <c r="C12" s="152" t="s">
        <v>495</v>
      </c>
      <c r="D12" s="152" t="s">
        <v>15</v>
      </c>
      <c r="E12" s="152" t="s">
        <v>496</v>
      </c>
      <c r="F12" s="152" t="s">
        <v>497</v>
      </c>
      <c r="G12" s="152" t="s">
        <v>498</v>
      </c>
      <c r="H12" s="152" t="s">
        <v>499</v>
      </c>
      <c r="I12" s="152" t="s">
        <v>500</v>
      </c>
      <c r="J12" s="152" t="s">
        <v>501</v>
      </c>
    </row>
    <row r="13">
      <c r="A13" s="690"/>
      <c r="B13" s="156" t="s">
        <v>2</v>
      </c>
      <c r="C13" s="157" t="s">
        <v>505</v>
      </c>
      <c r="D13" s="158" t="s">
        <v>506</v>
      </c>
      <c r="E13" s="159">
        <v>518.0</v>
      </c>
      <c r="F13" s="159">
        <v>0.0</v>
      </c>
      <c r="G13" s="160">
        <f t="shared" ref="G13:G30" si="1">H13-F13</f>
        <v>0</v>
      </c>
      <c r="H13" s="160">
        <f>sum('PENDATAAN PERUMAHAN'!J166:J171)</f>
        <v>0</v>
      </c>
      <c r="I13" s="161">
        <f>(H13-F13)/E13</f>
        <v>0</v>
      </c>
      <c r="J13" s="161" t="str">
        <f t="shared" ref="J13:J14" si="2">H13/$E$2</f>
        <v>#DIV/0!</v>
      </c>
    </row>
    <row r="14">
      <c r="B14" s="27"/>
      <c r="C14" s="27"/>
      <c r="D14" s="164" t="s">
        <v>508</v>
      </c>
      <c r="E14" s="159">
        <v>0.0</v>
      </c>
      <c r="F14" s="159">
        <v>138.0</v>
      </c>
      <c r="G14" s="160">
        <f t="shared" si="1"/>
        <v>-138</v>
      </c>
      <c r="H14" s="160">
        <f>sum('PENDATAAN PERUMAHAN'!K166:K171)</f>
        <v>0</v>
      </c>
      <c r="I14" s="161"/>
      <c r="J14" s="161" t="str">
        <f t="shared" si="2"/>
        <v>#DIV/0!</v>
      </c>
    </row>
    <row r="15">
      <c r="B15" s="27"/>
      <c r="C15" s="27"/>
      <c r="D15" s="164" t="s">
        <v>25</v>
      </c>
      <c r="E15" s="166">
        <v>2500.0</v>
      </c>
      <c r="F15" s="159">
        <v>4668.0</v>
      </c>
      <c r="G15" s="160">
        <f t="shared" si="1"/>
        <v>-4639</v>
      </c>
      <c r="H15" s="160">
        <f>sum('PENDATAAN PERUMAHAN'!M166:M171)</f>
        <v>29</v>
      </c>
      <c r="I15" s="161">
        <f>(H15-F15)/E15</f>
        <v>-1.8556</v>
      </c>
      <c r="J15" s="161">
        <f>H15/E15</f>
        <v>0.0116</v>
      </c>
    </row>
    <row r="16">
      <c r="B16" s="27"/>
      <c r="C16" s="40"/>
      <c r="D16" s="164" t="s">
        <v>24</v>
      </c>
      <c r="E16" s="40"/>
      <c r="F16" s="159">
        <v>407.0</v>
      </c>
      <c r="G16" s="160">
        <f t="shared" si="1"/>
        <v>-396</v>
      </c>
      <c r="H16" s="160">
        <f>sum('PENDATAAN PERUMAHAN'!L166:L171)</f>
        <v>11</v>
      </c>
      <c r="I16" s="161"/>
      <c r="J16" s="161"/>
    </row>
    <row r="17">
      <c r="B17" s="27"/>
      <c r="C17" s="157" t="s">
        <v>13</v>
      </c>
      <c r="D17" s="164" t="s">
        <v>512</v>
      </c>
      <c r="E17" s="159">
        <v>160000.0</v>
      </c>
      <c r="F17" s="159">
        <v>11206.0</v>
      </c>
      <c r="G17" s="160">
        <f t="shared" si="1"/>
        <v>-10947</v>
      </c>
      <c r="H17" s="160">
        <f>sum('PENDATAAN PERUMAHAN'!F166:F171)</f>
        <v>259</v>
      </c>
      <c r="I17" s="161">
        <f t="shared" ref="I17:I20" si="3">(H17-F17)/E17</f>
        <v>-0.06841875</v>
      </c>
      <c r="J17" s="161">
        <f t="shared" ref="J17:J26" si="4">H17/E17</f>
        <v>0.00161875</v>
      </c>
    </row>
    <row r="18">
      <c r="B18" s="27"/>
      <c r="C18" s="40"/>
      <c r="D18" s="164" t="s">
        <v>514</v>
      </c>
      <c r="E18" s="159">
        <v>80000.0</v>
      </c>
      <c r="F18" s="159">
        <v>346.0</v>
      </c>
      <c r="G18" s="160">
        <f t="shared" si="1"/>
        <v>-346</v>
      </c>
      <c r="H18" s="160">
        <f>sum('PENDATAAN PERUMAHAN'!G166:G171)</f>
        <v>0</v>
      </c>
      <c r="I18" s="161">
        <f t="shared" si="3"/>
        <v>-0.004325</v>
      </c>
      <c r="J18" s="161">
        <f t="shared" si="4"/>
        <v>0</v>
      </c>
    </row>
    <row r="19">
      <c r="B19" s="27"/>
      <c r="C19" s="157" t="s">
        <v>14</v>
      </c>
      <c r="D19" s="158" t="s">
        <v>21</v>
      </c>
      <c r="E19" s="159">
        <v>197500.0</v>
      </c>
      <c r="F19" s="159">
        <v>6706.0</v>
      </c>
      <c r="G19" s="160">
        <f t="shared" si="1"/>
        <v>-6571</v>
      </c>
      <c r="H19" s="160">
        <f>sum('PENDATAAN PERUMAHAN'!H166:H171)</f>
        <v>135</v>
      </c>
      <c r="I19" s="161">
        <f t="shared" si="3"/>
        <v>-0.03327088608</v>
      </c>
      <c r="J19" s="161">
        <f t="shared" si="4"/>
        <v>0.0006835443038</v>
      </c>
    </row>
    <row r="20">
      <c r="B20" s="27"/>
      <c r="C20" s="27"/>
      <c r="D20" s="158" t="s">
        <v>517</v>
      </c>
      <c r="E20" s="166">
        <v>850.0</v>
      </c>
      <c r="F20" s="166">
        <v>397.0</v>
      </c>
      <c r="G20" s="160">
        <f t="shared" si="1"/>
        <v>-397</v>
      </c>
      <c r="H20" s="160">
        <f>sum('PENDATAAN PERUMAHAN'!I166:I171)</f>
        <v>0</v>
      </c>
      <c r="I20" s="161">
        <f t="shared" si="3"/>
        <v>-0.4670588235</v>
      </c>
      <c r="J20" s="161">
        <f t="shared" si="4"/>
        <v>0</v>
      </c>
    </row>
    <row r="21">
      <c r="B21" s="40"/>
      <c r="C21" s="40"/>
      <c r="D21" s="171" t="s">
        <v>519</v>
      </c>
      <c r="E21" s="166">
        <v>50.0</v>
      </c>
      <c r="F21" s="166">
        <v>16.0</v>
      </c>
      <c r="G21" s="160">
        <f t="shared" si="1"/>
        <v>-16</v>
      </c>
      <c r="H21" s="160"/>
      <c r="I21" s="161"/>
      <c r="J21" s="161">
        <f t="shared" si="4"/>
        <v>0</v>
      </c>
    </row>
    <row r="22">
      <c r="B22" s="156" t="s">
        <v>521</v>
      </c>
      <c r="C22" s="157" t="s">
        <v>522</v>
      </c>
      <c r="D22" s="171" t="s">
        <v>506</v>
      </c>
      <c r="E22" s="159">
        <v>15110.0</v>
      </c>
      <c r="F22" s="166">
        <v>0.0</v>
      </c>
      <c r="G22" s="160">
        <f t="shared" si="1"/>
        <v>0</v>
      </c>
      <c r="H22" s="160">
        <f>sum('PENDATAAN PERUMAHAN'!N166:N171)</f>
        <v>0</v>
      </c>
      <c r="I22" s="161">
        <f>(H22-F22)/E22</f>
        <v>0</v>
      </c>
      <c r="J22" s="161">
        <f t="shared" si="4"/>
        <v>0</v>
      </c>
    </row>
    <row r="23">
      <c r="B23" s="27"/>
      <c r="C23" s="27"/>
      <c r="D23" s="171" t="s">
        <v>508</v>
      </c>
      <c r="E23" s="159">
        <v>100.0</v>
      </c>
      <c r="F23" s="166">
        <v>848.0</v>
      </c>
      <c r="G23" s="160">
        <f t="shared" si="1"/>
        <v>-848</v>
      </c>
      <c r="H23" s="160">
        <f>sum('PENDATAAN PERUMAHAN'!O166:O171)</f>
        <v>0</v>
      </c>
      <c r="I23" s="161"/>
      <c r="J23" s="161">
        <f t="shared" si="4"/>
        <v>0</v>
      </c>
    </row>
    <row r="24">
      <c r="B24" s="27"/>
      <c r="C24" s="27"/>
      <c r="D24" s="171" t="s">
        <v>525</v>
      </c>
      <c r="E24" s="159">
        <v>675.0</v>
      </c>
      <c r="F24" s="159">
        <v>0.0</v>
      </c>
      <c r="G24" s="160">
        <f t="shared" si="1"/>
        <v>0</v>
      </c>
      <c r="H24" s="160">
        <f>sum('PENDATAAN PERUMAHAN'!P166:P171)</f>
        <v>0</v>
      </c>
      <c r="I24" s="161">
        <f t="shared" ref="I24:I29" si="5">(H24-F24)/E24</f>
        <v>0</v>
      </c>
      <c r="J24" s="161">
        <f t="shared" si="4"/>
        <v>0</v>
      </c>
    </row>
    <row r="25">
      <c r="B25" s="27"/>
      <c r="C25" s="27"/>
      <c r="D25" s="171" t="s">
        <v>25</v>
      </c>
      <c r="E25" s="159">
        <v>13500.0</v>
      </c>
      <c r="F25" s="159">
        <v>24219.0</v>
      </c>
      <c r="G25" s="160">
        <f t="shared" si="1"/>
        <v>-23933</v>
      </c>
      <c r="H25" s="160">
        <f>sum('PENDATAAN PERUMAHAN'!R166:R171)</f>
        <v>286</v>
      </c>
      <c r="I25" s="161">
        <f t="shared" si="5"/>
        <v>-1.772814815</v>
      </c>
      <c r="J25" s="161">
        <f t="shared" si="4"/>
        <v>0.02118518519</v>
      </c>
    </row>
    <row r="26">
      <c r="B26" s="27"/>
      <c r="C26" s="27"/>
      <c r="D26" s="158" t="s">
        <v>24</v>
      </c>
      <c r="E26" s="159">
        <v>42200.0</v>
      </c>
      <c r="F26" s="159">
        <v>2272.0</v>
      </c>
      <c r="G26" s="160">
        <f t="shared" si="1"/>
        <v>-2209</v>
      </c>
      <c r="H26" s="160">
        <f>sum('PENDATAAN PERUMAHAN'!Q166:Q171)</f>
        <v>63</v>
      </c>
      <c r="I26" s="161">
        <f t="shared" si="5"/>
        <v>-0.05234597156</v>
      </c>
      <c r="J26" s="161">
        <f t="shared" si="4"/>
        <v>0.001492890995</v>
      </c>
    </row>
    <row r="27">
      <c r="B27" s="27"/>
      <c r="C27" s="27"/>
      <c r="D27" s="158" t="s">
        <v>28</v>
      </c>
      <c r="E27" s="159">
        <v>0.0</v>
      </c>
      <c r="F27" s="159">
        <v>0.0</v>
      </c>
      <c r="G27" s="160">
        <f t="shared" si="1"/>
        <v>0</v>
      </c>
      <c r="H27" s="160">
        <f>sum('PENDATAAN PERUMAHAN'!T166:T171)</f>
        <v>0</v>
      </c>
      <c r="I27" s="161" t="str">
        <f t="shared" si="5"/>
        <v>#DIV/0!</v>
      </c>
      <c r="J27" s="161">
        <f>H27/36</f>
        <v>0</v>
      </c>
    </row>
    <row r="28">
      <c r="B28" s="27"/>
      <c r="C28" s="27"/>
      <c r="D28" s="158" t="s">
        <v>517</v>
      </c>
      <c r="E28" s="159">
        <v>600.0</v>
      </c>
      <c r="F28" s="159">
        <v>2104.0</v>
      </c>
      <c r="G28" s="160">
        <f t="shared" si="1"/>
        <v>-2069</v>
      </c>
      <c r="H28" s="160">
        <f>sum('PENDATAAN PERUMAHAN'!S166:S171)</f>
        <v>35</v>
      </c>
      <c r="I28" s="161">
        <f t="shared" si="5"/>
        <v>-3.448333333</v>
      </c>
      <c r="J28" s="161">
        <f t="shared" ref="J28:J31" si="6">H28/E28</f>
        <v>0.05833333333</v>
      </c>
    </row>
    <row r="29">
      <c r="B29" s="27"/>
      <c r="C29" s="27"/>
      <c r="D29" s="158" t="s">
        <v>29</v>
      </c>
      <c r="E29" s="159">
        <v>486897.0</v>
      </c>
      <c r="F29" s="159">
        <v>1105.0</v>
      </c>
      <c r="G29" s="160">
        <f t="shared" si="1"/>
        <v>-835</v>
      </c>
      <c r="H29" s="160">
        <f>sum('PENDATAAN PERUMAHAN'!U166:U171)</f>
        <v>270</v>
      </c>
      <c r="I29" s="161">
        <f t="shared" si="5"/>
        <v>-0.001714941764</v>
      </c>
      <c r="J29" s="161">
        <f t="shared" si="6"/>
        <v>0.0005545320674</v>
      </c>
    </row>
    <row r="30">
      <c r="B30" s="40"/>
      <c r="C30" s="40"/>
      <c r="D30" s="174" t="s">
        <v>519</v>
      </c>
      <c r="E30" s="175">
        <v>200.0</v>
      </c>
      <c r="F30" s="175">
        <v>169.0</v>
      </c>
      <c r="G30" s="698">
        <f t="shared" si="1"/>
        <v>-169</v>
      </c>
      <c r="H30" s="160"/>
      <c r="I30" s="175"/>
      <c r="J30" s="161">
        <f t="shared" si="6"/>
        <v>0</v>
      </c>
    </row>
    <row r="31">
      <c r="B31" s="182" t="s">
        <v>533</v>
      </c>
      <c r="C31" s="183"/>
      <c r="D31" s="31"/>
      <c r="E31" s="184">
        <f t="shared" ref="E31:F31" si="7">SUM(E13:E30)</f>
        <v>1000700</v>
      </c>
      <c r="F31" s="184">
        <f t="shared" si="7"/>
        <v>54601</v>
      </c>
      <c r="G31" s="185"/>
      <c r="H31" s="185">
        <f>SUM(H13:H30)</f>
        <v>1088</v>
      </c>
      <c r="I31" s="186">
        <f>(H31-F31)/E31</f>
        <v>-0.0534755671</v>
      </c>
      <c r="J31" s="186">
        <f t="shared" si="6"/>
        <v>0.001087238933</v>
      </c>
    </row>
    <row r="32">
      <c r="B32" s="187"/>
      <c r="C32" s="188"/>
      <c r="D32" s="189"/>
      <c r="E32" s="159"/>
      <c r="F32" s="160"/>
      <c r="G32" s="160"/>
      <c r="H32" s="283"/>
      <c r="I32" s="161"/>
      <c r="J32" s="161"/>
    </row>
    <row r="33">
      <c r="B33" s="156" t="s">
        <v>6</v>
      </c>
      <c r="C33" s="157" t="s">
        <v>8</v>
      </c>
      <c r="D33" s="158" t="s">
        <v>536</v>
      </c>
      <c r="E33" s="159">
        <v>217500.0</v>
      </c>
      <c r="F33" s="159">
        <v>67791.0</v>
      </c>
      <c r="G33" s="160">
        <f t="shared" ref="G33:G34" si="8">H33-F33</f>
        <v>-66229</v>
      </c>
      <c r="H33" s="266">
        <f>sum('PENDATAAN PERUMAHAN'!E166:E171)</f>
        <v>1562</v>
      </c>
      <c r="I33" s="161">
        <f t="shared" ref="I33:I37" si="9">(H33-F33)/E33</f>
        <v>-0.3045011494</v>
      </c>
      <c r="J33" s="161">
        <f t="shared" ref="J33:J37" si="10">H33/E33</f>
        <v>0.007181609195</v>
      </c>
    </row>
    <row r="34">
      <c r="B34" s="27"/>
      <c r="C34" s="27"/>
      <c r="D34" s="158" t="s">
        <v>538</v>
      </c>
      <c r="E34" s="159">
        <v>300000.0</v>
      </c>
      <c r="F34" s="159">
        <v>0.0</v>
      </c>
      <c r="G34" s="160">
        <f t="shared" si="8"/>
        <v>0</v>
      </c>
      <c r="H34" s="283" t="str">
        <f>'PENDATAAN PERUMAHAN'!V240</f>
        <v/>
      </c>
      <c r="I34" s="161">
        <f t="shared" si="9"/>
        <v>0</v>
      </c>
      <c r="J34" s="161">
        <f t="shared" si="10"/>
        <v>0</v>
      </c>
    </row>
    <row r="35">
      <c r="B35" s="40"/>
      <c r="C35" s="40"/>
      <c r="D35" s="158" t="s">
        <v>541</v>
      </c>
      <c r="E35" s="159">
        <v>0.0</v>
      </c>
      <c r="F35" s="159">
        <v>0.0</v>
      </c>
      <c r="G35" s="160"/>
      <c r="H35" s="283" t="str">
        <f>'PENDATAAN PERUMAHAN'!W240</f>
        <v/>
      </c>
      <c r="I35" s="161" t="str">
        <f t="shared" si="9"/>
        <v>#DIV/0!</v>
      </c>
      <c r="J35" s="161" t="str">
        <f t="shared" si="10"/>
        <v>#DIV/0!</v>
      </c>
    </row>
    <row r="36">
      <c r="B36" s="193" t="s">
        <v>542</v>
      </c>
      <c r="C36" s="19"/>
      <c r="D36" s="20"/>
      <c r="E36" s="194">
        <f>E33+E34+E35</f>
        <v>517500</v>
      </c>
      <c r="F36" s="195">
        <f>SUM(F33:F35)</f>
        <v>67791</v>
      </c>
      <c r="G36" s="195">
        <f t="shared" ref="G36:G37" si="11">H36-F36</f>
        <v>-66229</v>
      </c>
      <c r="H36" s="195">
        <f>H33+H34+H35</f>
        <v>1562</v>
      </c>
      <c r="I36" s="186">
        <f t="shared" si="9"/>
        <v>-0.127978744</v>
      </c>
      <c r="J36" s="186">
        <f t="shared" si="10"/>
        <v>0.003018357488</v>
      </c>
    </row>
    <row r="37">
      <c r="B37" s="197" t="s">
        <v>544</v>
      </c>
      <c r="C37" s="19"/>
      <c r="D37" s="20"/>
      <c r="E37" s="198">
        <f>E36+E31</f>
        <v>1518200</v>
      </c>
      <c r="F37" s="199">
        <f>F31+F36</f>
        <v>122392</v>
      </c>
      <c r="G37" s="200">
        <f t="shared" si="11"/>
        <v>-119742</v>
      </c>
      <c r="H37" s="199">
        <f>H36+H31</f>
        <v>2650</v>
      </c>
      <c r="I37" s="201">
        <f t="shared" si="9"/>
        <v>-0.07887103148</v>
      </c>
      <c r="J37" s="201">
        <f t="shared" si="10"/>
        <v>0.001745488078</v>
      </c>
    </row>
  </sheetData>
  <mergeCells count="14">
    <mergeCell ref="B22:B30"/>
    <mergeCell ref="C22:C30"/>
    <mergeCell ref="B31:D31"/>
    <mergeCell ref="B33:B35"/>
    <mergeCell ref="C33:C35"/>
    <mergeCell ref="B36:D36"/>
    <mergeCell ref="B37:D37"/>
    <mergeCell ref="B5:B9"/>
    <mergeCell ref="D5:D10"/>
    <mergeCell ref="B13:B21"/>
    <mergeCell ref="C13:C16"/>
    <mergeCell ref="E15:E16"/>
    <mergeCell ref="C17:C18"/>
    <mergeCell ref="C19:C21"/>
  </mergeCells>
  <hyperlinks>
    <hyperlink r:id="rId1" ref="F5"/>
    <hyperlink r:id="rId2" ref="E6"/>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694" t="s">
        <v>79</v>
      </c>
      <c r="C5" s="694" t="s">
        <v>80</v>
      </c>
      <c r="D5" s="695" t="s">
        <v>754</v>
      </c>
      <c r="E5" s="695" t="s">
        <v>755</v>
      </c>
      <c r="F5" s="721" t="s">
        <v>1306</v>
      </c>
    </row>
    <row r="6">
      <c r="A6" s="693">
        <v>2.0</v>
      </c>
      <c r="B6" s="722"/>
      <c r="C6" s="694" t="s">
        <v>82</v>
      </c>
      <c r="D6" s="27"/>
      <c r="E6" s="27"/>
      <c r="F6" s="27"/>
    </row>
    <row r="7">
      <c r="A7" s="693">
        <v>3.0</v>
      </c>
      <c r="B7" s="722"/>
      <c r="C7" s="694" t="s">
        <v>84</v>
      </c>
      <c r="D7" s="27"/>
      <c r="E7" s="27"/>
      <c r="F7" s="27"/>
    </row>
    <row r="8" ht="20.25" customHeight="1">
      <c r="A8" s="693">
        <v>4.0</v>
      </c>
      <c r="B8" s="722"/>
      <c r="C8" s="694" t="s">
        <v>86</v>
      </c>
      <c r="D8" s="27"/>
      <c r="E8" s="27"/>
      <c r="F8" s="27"/>
    </row>
    <row r="9">
      <c r="A9" s="693">
        <v>5.0</v>
      </c>
      <c r="B9" s="722"/>
      <c r="C9" s="694" t="s">
        <v>88</v>
      </c>
      <c r="D9" s="27"/>
      <c r="E9" s="40"/>
      <c r="F9" s="40"/>
    </row>
    <row r="10">
      <c r="A10" s="714"/>
      <c r="B10" s="723"/>
      <c r="C10" s="694" t="s">
        <v>90</v>
      </c>
      <c r="D10" s="27"/>
      <c r="E10" s="587" t="s">
        <v>756</v>
      </c>
      <c r="F10" s="721" t="s">
        <v>1307</v>
      </c>
    </row>
    <row r="11">
      <c r="A11" s="714"/>
      <c r="B11" s="723"/>
      <c r="C11" s="694" t="s">
        <v>92</v>
      </c>
      <c r="D11" s="27"/>
      <c r="E11" s="27"/>
      <c r="F11" s="27"/>
    </row>
    <row r="12">
      <c r="A12" s="714"/>
      <c r="B12" s="723"/>
      <c r="C12" s="694" t="s">
        <v>94</v>
      </c>
      <c r="D12" s="27"/>
      <c r="E12" s="27"/>
      <c r="F12" s="27"/>
    </row>
    <row r="13">
      <c r="A13" s="714"/>
      <c r="B13" s="694" t="s">
        <v>96</v>
      </c>
      <c r="C13" s="694" t="s">
        <v>97</v>
      </c>
      <c r="D13" s="27"/>
      <c r="E13" s="27"/>
      <c r="F13" s="27"/>
    </row>
    <row r="14">
      <c r="A14" s="714"/>
      <c r="B14" s="723"/>
      <c r="C14" s="694" t="s">
        <v>100</v>
      </c>
      <c r="D14" s="27"/>
      <c r="E14" s="40"/>
      <c r="F14" s="40"/>
    </row>
    <row r="15">
      <c r="A15" s="714"/>
      <c r="B15" s="723"/>
      <c r="C15" s="694" t="s">
        <v>102</v>
      </c>
      <c r="D15" s="27"/>
      <c r="E15" s="587" t="s">
        <v>757</v>
      </c>
      <c r="F15" s="724" t="s">
        <v>1308</v>
      </c>
    </row>
    <row r="16">
      <c r="A16" s="714"/>
      <c r="B16" s="723"/>
      <c r="C16" s="694" t="s">
        <v>104</v>
      </c>
      <c r="D16" s="27"/>
      <c r="E16" s="27"/>
      <c r="F16" s="27"/>
    </row>
    <row r="17">
      <c r="A17" s="714"/>
      <c r="B17" s="723"/>
      <c r="C17" s="694" t="s">
        <v>105</v>
      </c>
      <c r="D17" s="27"/>
      <c r="E17" s="27"/>
      <c r="F17" s="27"/>
    </row>
    <row r="18">
      <c r="A18" s="714"/>
      <c r="B18" s="723"/>
      <c r="C18" s="694" t="s">
        <v>107</v>
      </c>
      <c r="D18" s="27"/>
      <c r="E18" s="27"/>
      <c r="F18" s="27"/>
    </row>
    <row r="19">
      <c r="A19" s="714"/>
      <c r="B19" s="723"/>
      <c r="C19" s="694" t="s">
        <v>109</v>
      </c>
      <c r="D19" s="27"/>
      <c r="E19" s="40"/>
      <c r="F19" s="40"/>
    </row>
    <row r="20">
      <c r="A20" s="714"/>
      <c r="B20" s="723"/>
      <c r="C20" s="694" t="s">
        <v>111</v>
      </c>
      <c r="D20" s="27"/>
      <c r="E20" s="587" t="s">
        <v>758</v>
      </c>
      <c r="F20" s="721" t="s">
        <v>1309</v>
      </c>
    </row>
    <row r="21">
      <c r="A21" s="714"/>
      <c r="B21" s="723"/>
      <c r="C21" s="694" t="s">
        <v>113</v>
      </c>
      <c r="D21" s="27"/>
      <c r="E21" s="27"/>
      <c r="F21" s="27"/>
    </row>
    <row r="22">
      <c r="A22" s="714"/>
      <c r="B22" s="694" t="s">
        <v>115</v>
      </c>
      <c r="C22" s="694" t="s">
        <v>116</v>
      </c>
      <c r="D22" s="27"/>
      <c r="E22" s="27"/>
      <c r="F22" s="27"/>
    </row>
    <row r="23">
      <c r="A23" s="714"/>
      <c r="B23" s="723"/>
      <c r="C23" s="694" t="s">
        <v>118</v>
      </c>
      <c r="D23" s="27"/>
      <c r="E23" s="27"/>
      <c r="F23" s="27"/>
    </row>
    <row r="24">
      <c r="A24" s="714"/>
      <c r="B24" s="723"/>
      <c r="C24" s="694" t="s">
        <v>120</v>
      </c>
      <c r="D24" s="27"/>
      <c r="E24" s="40"/>
      <c r="F24" s="40"/>
    </row>
    <row r="25">
      <c r="A25" s="714"/>
      <c r="B25" s="723"/>
      <c r="C25" s="694" t="s">
        <v>122</v>
      </c>
      <c r="D25" s="27"/>
      <c r="E25" s="587" t="s">
        <v>759</v>
      </c>
      <c r="F25" s="721" t="s">
        <v>1310</v>
      </c>
    </row>
    <row r="26">
      <c r="A26" s="714"/>
      <c r="B26" s="723"/>
      <c r="C26" s="694" t="s">
        <v>123</v>
      </c>
      <c r="D26" s="27"/>
      <c r="E26" s="27"/>
      <c r="F26" s="27"/>
    </row>
    <row r="27">
      <c r="A27" s="714"/>
      <c r="B27" s="723"/>
      <c r="C27" s="694" t="s">
        <v>125</v>
      </c>
      <c r="D27" s="27"/>
      <c r="E27" s="27"/>
      <c r="F27" s="27"/>
    </row>
    <row r="28">
      <c r="A28" s="714"/>
      <c r="B28" s="723"/>
      <c r="C28" s="694" t="s">
        <v>127</v>
      </c>
      <c r="D28" s="27"/>
      <c r="E28" s="27"/>
      <c r="F28" s="27"/>
    </row>
    <row r="29">
      <c r="A29" s="714"/>
      <c r="B29" s="723"/>
      <c r="C29" s="694" t="s">
        <v>129</v>
      </c>
      <c r="D29" s="40"/>
      <c r="E29" s="40"/>
      <c r="F29" s="40"/>
    </row>
    <row r="30">
      <c r="A30" s="690"/>
      <c r="B30" s="725"/>
      <c r="C30" s="726"/>
      <c r="D30" s="727"/>
      <c r="E30" s="728"/>
    </row>
    <row r="31">
      <c r="A31" s="690"/>
      <c r="B31" s="151" t="s">
        <v>494</v>
      </c>
      <c r="C31" s="152" t="s">
        <v>495</v>
      </c>
      <c r="D31" s="152" t="s">
        <v>15</v>
      </c>
      <c r="E31" s="152" t="s">
        <v>496</v>
      </c>
      <c r="F31" s="152" t="s">
        <v>497</v>
      </c>
      <c r="G31" s="152" t="s">
        <v>498</v>
      </c>
      <c r="H31" s="152" t="s">
        <v>499</v>
      </c>
      <c r="I31" s="152" t="s">
        <v>500</v>
      </c>
      <c r="J31" s="152" t="s">
        <v>501</v>
      </c>
    </row>
    <row r="32">
      <c r="A32" s="690"/>
      <c r="B32" s="156" t="s">
        <v>2</v>
      </c>
      <c r="C32" s="157" t="s">
        <v>505</v>
      </c>
      <c r="D32" s="158" t="s">
        <v>506</v>
      </c>
      <c r="E32" s="159">
        <v>518.0</v>
      </c>
      <c r="F32" s="159">
        <v>0.0</v>
      </c>
      <c r="G32" s="160">
        <f t="shared" ref="G32:G49" si="1">H32-F32</f>
        <v>0</v>
      </c>
      <c r="H32" s="266">
        <f>sum('PENDATAAN PERUMAHAN'!J33:J57)</f>
        <v>0</v>
      </c>
      <c r="I32" s="161">
        <f>(H32-F32)/E32</f>
        <v>0</v>
      </c>
      <c r="J32" s="161" t="str">
        <f t="shared" ref="J32:J33" si="2">H32/$E$2</f>
        <v>#DIV/0!</v>
      </c>
    </row>
    <row r="33">
      <c r="B33" s="27"/>
      <c r="C33" s="27"/>
      <c r="D33" s="164" t="s">
        <v>508</v>
      </c>
      <c r="E33" s="159">
        <v>0.0</v>
      </c>
      <c r="F33" s="159">
        <v>138.0</v>
      </c>
      <c r="G33" s="160">
        <f t="shared" si="1"/>
        <v>-138</v>
      </c>
      <c r="H33" s="266">
        <f>sum('PENDATAAN PERUMAHAN'!K33:K57)</f>
        <v>0</v>
      </c>
      <c r="I33" s="161"/>
      <c r="J33" s="161" t="str">
        <f t="shared" si="2"/>
        <v>#DIV/0!</v>
      </c>
    </row>
    <row r="34">
      <c r="B34" s="27"/>
      <c r="C34" s="27"/>
      <c r="D34" s="164" t="s">
        <v>25</v>
      </c>
      <c r="E34" s="166">
        <v>2500.0</v>
      </c>
      <c r="F34" s="159">
        <v>4668.0</v>
      </c>
      <c r="G34" s="160">
        <f t="shared" si="1"/>
        <v>-4573</v>
      </c>
      <c r="H34" s="266">
        <f>sum('PENDATAAN PERUMAHAN'!M33:M57)</f>
        <v>95</v>
      </c>
      <c r="I34" s="161">
        <f>(H34-F34)/E34</f>
        <v>-1.8292</v>
      </c>
      <c r="J34" s="161">
        <f>H34/E34</f>
        <v>0.038</v>
      </c>
    </row>
    <row r="35">
      <c r="B35" s="27"/>
      <c r="C35" s="40"/>
      <c r="D35" s="164" t="s">
        <v>24</v>
      </c>
      <c r="E35" s="40"/>
      <c r="F35" s="159">
        <v>407.0</v>
      </c>
      <c r="G35" s="160">
        <f t="shared" si="1"/>
        <v>-177</v>
      </c>
      <c r="H35" s="266">
        <f>sum('PENDATAAN PERUMAHAN'!L33:L57)</f>
        <v>230</v>
      </c>
      <c r="I35" s="161"/>
      <c r="J35" s="161"/>
    </row>
    <row r="36">
      <c r="B36" s="27"/>
      <c r="C36" s="157" t="s">
        <v>13</v>
      </c>
      <c r="D36" s="164" t="s">
        <v>512</v>
      </c>
      <c r="E36" s="159">
        <v>160000.0</v>
      </c>
      <c r="F36" s="159">
        <v>11206.0</v>
      </c>
      <c r="G36" s="160">
        <f t="shared" si="1"/>
        <v>-10058</v>
      </c>
      <c r="H36" s="266">
        <f>sum('PENDATAAN PERUMAHAN'!F33:F57)</f>
        <v>1148</v>
      </c>
      <c r="I36" s="161">
        <f t="shared" ref="I36:I39" si="3">(H36-F36)/E36</f>
        <v>-0.0628625</v>
      </c>
      <c r="J36" s="161">
        <f t="shared" ref="J36:J45" si="4">H36/E36</f>
        <v>0.007175</v>
      </c>
    </row>
    <row r="37">
      <c r="B37" s="27"/>
      <c r="C37" s="40"/>
      <c r="D37" s="164" t="s">
        <v>514</v>
      </c>
      <c r="E37" s="159">
        <v>80000.0</v>
      </c>
      <c r="F37" s="159">
        <v>346.0</v>
      </c>
      <c r="G37" s="160">
        <f t="shared" si="1"/>
        <v>-345</v>
      </c>
      <c r="H37" s="266">
        <f>sum('PENDATAAN PERUMAHAN'!G33:G57)</f>
        <v>1</v>
      </c>
      <c r="I37" s="161">
        <f t="shared" si="3"/>
        <v>-0.0043125</v>
      </c>
      <c r="J37" s="161">
        <f t="shared" si="4"/>
        <v>0.0000125</v>
      </c>
    </row>
    <row r="38">
      <c r="B38" s="27"/>
      <c r="C38" s="157" t="s">
        <v>14</v>
      </c>
      <c r="D38" s="158" t="s">
        <v>21</v>
      </c>
      <c r="E38" s="159">
        <v>197500.0</v>
      </c>
      <c r="F38" s="159">
        <v>6706.0</v>
      </c>
      <c r="G38" s="160">
        <f t="shared" si="1"/>
        <v>-5742</v>
      </c>
      <c r="H38" s="266">
        <f>sum('PENDATAAN PERUMAHAN'!H33:H57)</f>
        <v>964</v>
      </c>
      <c r="I38" s="161">
        <f t="shared" si="3"/>
        <v>-0.02907341772</v>
      </c>
      <c r="J38" s="161">
        <f t="shared" si="4"/>
        <v>0.004881012658</v>
      </c>
    </row>
    <row r="39">
      <c r="B39" s="27"/>
      <c r="C39" s="27"/>
      <c r="D39" s="158" t="s">
        <v>517</v>
      </c>
      <c r="E39" s="166">
        <v>850.0</v>
      </c>
      <c r="F39" s="166">
        <v>397.0</v>
      </c>
      <c r="G39" s="160">
        <f t="shared" si="1"/>
        <v>-130</v>
      </c>
      <c r="H39" s="266">
        <f>sum('PENDATAAN PERUMAHAN'!I33:I57)</f>
        <v>267</v>
      </c>
      <c r="I39" s="161">
        <f t="shared" si="3"/>
        <v>-0.1529411765</v>
      </c>
      <c r="J39" s="161">
        <f t="shared" si="4"/>
        <v>0.3141176471</v>
      </c>
    </row>
    <row r="40">
      <c r="B40" s="40"/>
      <c r="C40" s="40"/>
      <c r="D40" s="171" t="s">
        <v>519</v>
      </c>
      <c r="E40" s="166">
        <v>50.0</v>
      </c>
      <c r="F40" s="166">
        <v>16.0</v>
      </c>
      <c r="G40" s="160">
        <f t="shared" si="1"/>
        <v>-16</v>
      </c>
      <c r="H40" s="283"/>
      <c r="I40" s="161"/>
      <c r="J40" s="161">
        <f t="shared" si="4"/>
        <v>0</v>
      </c>
    </row>
    <row r="41">
      <c r="B41" s="156" t="s">
        <v>521</v>
      </c>
      <c r="C41" s="157" t="s">
        <v>522</v>
      </c>
      <c r="D41" s="171" t="s">
        <v>506</v>
      </c>
      <c r="E41" s="159">
        <v>15110.0</v>
      </c>
      <c r="F41" s="166">
        <v>0.0</v>
      </c>
      <c r="G41" s="160">
        <f t="shared" si="1"/>
        <v>0</v>
      </c>
      <c r="H41" s="266">
        <f>sum('PENDATAAN PERUMAHAN'!N33:N57)</f>
        <v>0</v>
      </c>
      <c r="I41" s="161">
        <f>(H41-F41)/E41</f>
        <v>0</v>
      </c>
      <c r="J41" s="161">
        <f t="shared" si="4"/>
        <v>0</v>
      </c>
    </row>
    <row r="42">
      <c r="B42" s="27"/>
      <c r="C42" s="27"/>
      <c r="D42" s="171" t="s">
        <v>508</v>
      </c>
      <c r="E42" s="159">
        <v>100.0</v>
      </c>
      <c r="F42" s="166">
        <v>848.0</v>
      </c>
      <c r="G42" s="160">
        <f t="shared" si="1"/>
        <v>-848</v>
      </c>
      <c r="H42" s="266">
        <f>sum('PENDATAAN PERUMAHAN'!O33:O57)</f>
        <v>0</v>
      </c>
      <c r="I42" s="161"/>
      <c r="J42" s="161">
        <f t="shared" si="4"/>
        <v>0</v>
      </c>
    </row>
    <row r="43">
      <c r="B43" s="27"/>
      <c r="C43" s="27"/>
      <c r="D43" s="171" t="s">
        <v>525</v>
      </c>
      <c r="E43" s="159">
        <v>675.0</v>
      </c>
      <c r="F43" s="159">
        <v>0.0</v>
      </c>
      <c r="G43" s="160">
        <f t="shared" si="1"/>
        <v>0</v>
      </c>
      <c r="H43" s="266">
        <f>sum('PENDATAAN PERUMAHAN'!P33:P57)</f>
        <v>0</v>
      </c>
      <c r="I43" s="161">
        <f t="shared" ref="I43:I48" si="5">(H43-F43)/E43</f>
        <v>0</v>
      </c>
      <c r="J43" s="161">
        <f t="shared" si="4"/>
        <v>0</v>
      </c>
    </row>
    <row r="44">
      <c r="B44" s="27"/>
      <c r="C44" s="27"/>
      <c r="D44" s="171" t="s">
        <v>25</v>
      </c>
      <c r="E44" s="159">
        <v>13500.0</v>
      </c>
      <c r="F44" s="159">
        <v>24219.0</v>
      </c>
      <c r="G44" s="160">
        <f t="shared" si="1"/>
        <v>-23052</v>
      </c>
      <c r="H44" s="266">
        <f>sum('PENDATAAN PERUMAHAN'!R33:R57)</f>
        <v>1167</v>
      </c>
      <c r="I44" s="161">
        <f t="shared" si="5"/>
        <v>-1.707555556</v>
      </c>
      <c r="J44" s="161">
        <f t="shared" si="4"/>
        <v>0.08644444444</v>
      </c>
    </row>
    <row r="45">
      <c r="B45" s="27"/>
      <c r="C45" s="27"/>
      <c r="D45" s="158" t="s">
        <v>24</v>
      </c>
      <c r="E45" s="159">
        <v>42200.0</v>
      </c>
      <c r="F45" s="159">
        <v>2272.0</v>
      </c>
      <c r="G45" s="160">
        <f t="shared" si="1"/>
        <v>-2180</v>
      </c>
      <c r="H45" s="266">
        <f>sum('PENDATAAN PERUMAHAN'!Q33:Q57)</f>
        <v>92</v>
      </c>
      <c r="I45" s="161">
        <f t="shared" si="5"/>
        <v>-0.05165876777</v>
      </c>
      <c r="J45" s="161">
        <f t="shared" si="4"/>
        <v>0.002180094787</v>
      </c>
    </row>
    <row r="46">
      <c r="B46" s="27"/>
      <c r="C46" s="27"/>
      <c r="D46" s="158" t="s">
        <v>28</v>
      </c>
      <c r="E46" s="159">
        <v>0.0</v>
      </c>
      <c r="F46" s="159">
        <v>0.0</v>
      </c>
      <c r="G46" s="160">
        <f t="shared" si="1"/>
        <v>0</v>
      </c>
      <c r="H46" s="266">
        <f>sum('PENDATAAN PERUMAHAN'!T33:T57)</f>
        <v>0</v>
      </c>
      <c r="I46" s="161" t="str">
        <f t="shared" si="5"/>
        <v>#DIV/0!</v>
      </c>
      <c r="J46" s="161">
        <f>H46/36</f>
        <v>0</v>
      </c>
    </row>
    <row r="47">
      <c r="B47" s="27"/>
      <c r="C47" s="27"/>
      <c r="D47" s="158" t="s">
        <v>517</v>
      </c>
      <c r="E47" s="159">
        <v>600.0</v>
      </c>
      <c r="F47" s="159">
        <v>2104.0</v>
      </c>
      <c r="G47" s="160">
        <f t="shared" si="1"/>
        <v>-2061</v>
      </c>
      <c r="H47" s="266">
        <f>sum('PENDATAAN PERUMAHAN'!S33:S57)</f>
        <v>43</v>
      </c>
      <c r="I47" s="161">
        <f t="shared" si="5"/>
        <v>-3.435</v>
      </c>
      <c r="J47" s="161">
        <f t="shared" ref="J47:J50" si="6">H47/E47</f>
        <v>0.07166666667</v>
      </c>
    </row>
    <row r="48">
      <c r="B48" s="27"/>
      <c r="C48" s="27"/>
      <c r="D48" s="158" t="s">
        <v>29</v>
      </c>
      <c r="E48" s="159">
        <v>486897.0</v>
      </c>
      <c r="F48" s="159">
        <v>1105.0</v>
      </c>
      <c r="G48" s="160">
        <f t="shared" si="1"/>
        <v>-536</v>
      </c>
      <c r="H48" s="266">
        <f>sum('PENDATAAN PERUMAHAN'!U33:U57)</f>
        <v>569</v>
      </c>
      <c r="I48" s="161">
        <f t="shared" si="5"/>
        <v>-0.001100848845</v>
      </c>
      <c r="J48" s="161">
        <f t="shared" si="6"/>
        <v>0.001168624986</v>
      </c>
    </row>
    <row r="49">
      <c r="B49" s="40"/>
      <c r="C49" s="40"/>
      <c r="D49" s="174" t="s">
        <v>519</v>
      </c>
      <c r="E49" s="175">
        <v>200.0</v>
      </c>
      <c r="F49" s="175">
        <v>169.0</v>
      </c>
      <c r="G49" s="698">
        <f t="shared" si="1"/>
        <v>-169</v>
      </c>
      <c r="H49" s="283"/>
      <c r="I49" s="175"/>
      <c r="J49" s="161">
        <f t="shared" si="6"/>
        <v>0</v>
      </c>
    </row>
    <row r="50">
      <c r="B50" s="182" t="s">
        <v>533</v>
      </c>
      <c r="C50" s="183"/>
      <c r="D50" s="31"/>
      <c r="E50" s="184">
        <f t="shared" ref="E50:F50" si="7">SUM(E32:E49)</f>
        <v>1000700</v>
      </c>
      <c r="F50" s="184">
        <f t="shared" si="7"/>
        <v>54601</v>
      </c>
      <c r="G50" s="185"/>
      <c r="H50" s="185">
        <f>SUM(H32:H49)</f>
        <v>4576</v>
      </c>
      <c r="I50" s="186">
        <f>(H50-F50)/E50</f>
        <v>-0.049990007</v>
      </c>
      <c r="J50" s="186">
        <f t="shared" si="6"/>
        <v>0.004572799041</v>
      </c>
    </row>
    <row r="51">
      <c r="B51" s="187"/>
      <c r="C51" s="188"/>
      <c r="D51" s="189"/>
      <c r="E51" s="159"/>
      <c r="F51" s="160"/>
      <c r="G51" s="160"/>
      <c r="H51" s="283"/>
      <c r="I51" s="161"/>
      <c r="J51" s="161"/>
    </row>
    <row r="52">
      <c r="B52" s="156" t="s">
        <v>6</v>
      </c>
      <c r="C52" s="157" t="s">
        <v>8</v>
      </c>
      <c r="D52" s="158" t="s">
        <v>536</v>
      </c>
      <c r="E52" s="159">
        <v>217500.0</v>
      </c>
      <c r="F52" s="159">
        <v>67791.0</v>
      </c>
      <c r="G52" s="160">
        <f t="shared" ref="G52:G53" si="8">H52-F52</f>
        <v>-59115</v>
      </c>
      <c r="H52" s="266">
        <f>sum('PENDATAAN PERUMAHAN'!E33:E57)</f>
        <v>8676</v>
      </c>
      <c r="I52" s="161">
        <f t="shared" ref="I52:I56" si="9">(H52-F52)/E52</f>
        <v>-0.2717931034</v>
      </c>
      <c r="J52" s="161">
        <f t="shared" ref="J52:J56" si="10">H52/E52</f>
        <v>0.03988965517</v>
      </c>
    </row>
    <row r="53">
      <c r="B53" s="27"/>
      <c r="C53" s="27"/>
      <c r="D53" s="158" t="s">
        <v>538</v>
      </c>
      <c r="E53" s="159">
        <v>300000.0</v>
      </c>
      <c r="F53" s="159">
        <v>0.0</v>
      </c>
      <c r="G53" s="160">
        <f t="shared" si="8"/>
        <v>0</v>
      </c>
      <c r="H53" s="160" t="str">
        <f>'PENDATAAN PERUMAHAN'!V243</f>
        <v/>
      </c>
      <c r="I53" s="161">
        <f t="shared" si="9"/>
        <v>0</v>
      </c>
      <c r="J53" s="161">
        <f t="shared" si="10"/>
        <v>0</v>
      </c>
    </row>
    <row r="54">
      <c r="B54" s="40"/>
      <c r="C54" s="40"/>
      <c r="D54" s="158" t="s">
        <v>541</v>
      </c>
      <c r="E54" s="159">
        <v>0.0</v>
      </c>
      <c r="F54" s="159">
        <v>0.0</v>
      </c>
      <c r="G54" s="160"/>
      <c r="H54" s="160" t="str">
        <f>'PENDATAAN PERUMAHAN'!W243</f>
        <v/>
      </c>
      <c r="I54" s="161" t="str">
        <f t="shared" si="9"/>
        <v>#DIV/0!</v>
      </c>
      <c r="J54" s="161" t="str">
        <f t="shared" si="10"/>
        <v>#DIV/0!</v>
      </c>
    </row>
    <row r="55">
      <c r="B55" s="193" t="s">
        <v>542</v>
      </c>
      <c r="C55" s="19"/>
      <c r="D55" s="20"/>
      <c r="E55" s="194">
        <f>E52+E53+E54</f>
        <v>517500</v>
      </c>
      <c r="F55" s="195">
        <f>SUM(F52:F54)</f>
        <v>67791</v>
      </c>
      <c r="G55" s="195">
        <f t="shared" ref="G55:G56" si="11">H55-F55</f>
        <v>-59115</v>
      </c>
      <c r="H55" s="195">
        <f>H52+H53+H54</f>
        <v>8676</v>
      </c>
      <c r="I55" s="186">
        <f t="shared" si="9"/>
        <v>-0.1142318841</v>
      </c>
      <c r="J55" s="186">
        <f t="shared" si="10"/>
        <v>0.01676521739</v>
      </c>
    </row>
    <row r="56">
      <c r="B56" s="197" t="s">
        <v>544</v>
      </c>
      <c r="C56" s="19"/>
      <c r="D56" s="20"/>
      <c r="E56" s="198">
        <f>E55+E50</f>
        <v>1518200</v>
      </c>
      <c r="F56" s="199">
        <f>F50+F55</f>
        <v>122392</v>
      </c>
      <c r="G56" s="200">
        <f t="shared" si="11"/>
        <v>-109140</v>
      </c>
      <c r="H56" s="199">
        <f>H55+H50</f>
        <v>13252</v>
      </c>
      <c r="I56" s="201">
        <f t="shared" si="9"/>
        <v>-0.07188776182</v>
      </c>
      <c r="J56" s="201">
        <f t="shared" si="10"/>
        <v>0.008728757739</v>
      </c>
    </row>
  </sheetData>
  <mergeCells count="23">
    <mergeCell ref="E20:E24"/>
    <mergeCell ref="F20:F24"/>
    <mergeCell ref="D5:D29"/>
    <mergeCell ref="E5:E9"/>
    <mergeCell ref="F5:F9"/>
    <mergeCell ref="E10:E14"/>
    <mergeCell ref="F10:F14"/>
    <mergeCell ref="E15:E19"/>
    <mergeCell ref="F15:F19"/>
    <mergeCell ref="B41:B49"/>
    <mergeCell ref="C41:C49"/>
    <mergeCell ref="B50:D50"/>
    <mergeCell ref="B52:B54"/>
    <mergeCell ref="C52:C54"/>
    <mergeCell ref="B55:D55"/>
    <mergeCell ref="B56:D56"/>
    <mergeCell ref="E25:E29"/>
    <mergeCell ref="F25:F29"/>
    <mergeCell ref="B32:B40"/>
    <mergeCell ref="C32:C35"/>
    <mergeCell ref="E34:E35"/>
    <mergeCell ref="C36:C37"/>
    <mergeCell ref="C38:C40"/>
  </mergeCells>
  <hyperlinks>
    <hyperlink r:id="rId1" ref="F15"/>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705" t="s">
        <v>1311</v>
      </c>
      <c r="C5" s="694" t="s">
        <v>187</v>
      </c>
      <c r="D5" s="695" t="s">
        <v>791</v>
      </c>
      <c r="E5" s="695" t="s">
        <v>792</v>
      </c>
      <c r="F5" s="721" t="s">
        <v>1312</v>
      </c>
    </row>
    <row r="6">
      <c r="A6" s="693">
        <v>2.0</v>
      </c>
      <c r="B6" s="27"/>
      <c r="C6" s="694" t="s">
        <v>189</v>
      </c>
      <c r="D6" s="27"/>
      <c r="E6" s="27"/>
      <c r="F6" s="27"/>
    </row>
    <row r="7">
      <c r="A7" s="693">
        <v>3.0</v>
      </c>
      <c r="B7" s="27"/>
      <c r="C7" s="694" t="s">
        <v>190</v>
      </c>
      <c r="D7" s="27"/>
      <c r="E7" s="40"/>
      <c r="F7" s="40"/>
    </row>
    <row r="8" ht="20.25" customHeight="1">
      <c r="A8" s="693">
        <v>4.0</v>
      </c>
      <c r="B8" s="27"/>
      <c r="C8" s="694" t="s">
        <v>191</v>
      </c>
      <c r="D8" s="27"/>
      <c r="E8" s="587" t="s">
        <v>793</v>
      </c>
      <c r="F8" s="721" t="s">
        <v>1313</v>
      </c>
    </row>
    <row r="9">
      <c r="A9" s="693">
        <v>5.0</v>
      </c>
      <c r="B9" s="40"/>
      <c r="C9" s="694" t="s">
        <v>193</v>
      </c>
      <c r="D9" s="27"/>
      <c r="E9" s="27"/>
      <c r="F9" s="27"/>
    </row>
    <row r="10">
      <c r="A10" s="714"/>
      <c r="B10" s="714"/>
      <c r="C10" s="694" t="s">
        <v>194</v>
      </c>
      <c r="D10" s="27"/>
      <c r="E10" s="40"/>
      <c r="F10" s="40"/>
    </row>
    <row r="11">
      <c r="A11" s="714"/>
      <c r="B11" s="714"/>
      <c r="C11" s="694" t="s">
        <v>196</v>
      </c>
      <c r="D11" s="27"/>
      <c r="E11" s="587" t="s">
        <v>794</v>
      </c>
      <c r="F11" s="721" t="s">
        <v>1314</v>
      </c>
    </row>
    <row r="12">
      <c r="A12" s="714"/>
      <c r="B12" s="714"/>
      <c r="C12" s="694" t="s">
        <v>198</v>
      </c>
      <c r="D12" s="27"/>
      <c r="E12" s="27"/>
      <c r="F12" s="27"/>
    </row>
    <row r="13">
      <c r="A13" s="714"/>
      <c r="B13" s="714"/>
      <c r="C13" s="694" t="s">
        <v>200</v>
      </c>
      <c r="D13" s="27"/>
      <c r="E13" s="40"/>
      <c r="F13" s="40"/>
    </row>
    <row r="14">
      <c r="A14" s="714"/>
      <c r="B14" s="714"/>
      <c r="C14" s="694" t="s">
        <v>202</v>
      </c>
      <c r="D14" s="27"/>
      <c r="E14" s="587" t="s">
        <v>795</v>
      </c>
      <c r="F14" s="721" t="s">
        <v>1315</v>
      </c>
    </row>
    <row r="15">
      <c r="A15" s="714"/>
      <c r="B15" s="714"/>
      <c r="C15" s="694" t="s">
        <v>203</v>
      </c>
      <c r="D15" s="27"/>
      <c r="E15" s="27"/>
      <c r="F15" s="27"/>
    </row>
    <row r="16">
      <c r="A16" s="714"/>
      <c r="B16" s="714"/>
      <c r="C16" s="694" t="s">
        <v>205</v>
      </c>
      <c r="D16" s="40"/>
      <c r="E16" s="40"/>
      <c r="F16" s="40"/>
    </row>
    <row r="17">
      <c r="A17" s="690"/>
      <c r="B17" s="690"/>
      <c r="C17" s="690"/>
      <c r="D17" s="690"/>
      <c r="E17" s="690"/>
    </row>
    <row r="18">
      <c r="A18" s="690"/>
      <c r="B18" s="151" t="s">
        <v>494</v>
      </c>
      <c r="C18" s="152" t="s">
        <v>495</v>
      </c>
      <c r="D18" s="152" t="s">
        <v>15</v>
      </c>
      <c r="E18" s="152" t="s">
        <v>496</v>
      </c>
      <c r="F18" s="152" t="s">
        <v>497</v>
      </c>
      <c r="G18" s="152" t="s">
        <v>498</v>
      </c>
      <c r="H18" s="152" t="s">
        <v>499</v>
      </c>
      <c r="I18" s="152" t="s">
        <v>500</v>
      </c>
      <c r="J18" s="152" t="s">
        <v>501</v>
      </c>
    </row>
    <row r="19">
      <c r="A19" s="690"/>
      <c r="B19" s="156" t="s">
        <v>2</v>
      </c>
      <c r="C19" s="157" t="s">
        <v>505</v>
      </c>
      <c r="D19" s="158" t="s">
        <v>506</v>
      </c>
      <c r="E19" s="159">
        <v>518.0</v>
      </c>
      <c r="F19" s="159">
        <v>0.0</v>
      </c>
      <c r="G19" s="160">
        <f t="shared" ref="G19:G36" si="1">H19-F19</f>
        <v>0</v>
      </c>
      <c r="H19" s="266">
        <f>sum('PENDATAAN PERUMAHAN'!J84:J95)</f>
        <v>0</v>
      </c>
      <c r="I19" s="161">
        <f>(H19-F19)/E19</f>
        <v>0</v>
      </c>
      <c r="J19" s="161" t="str">
        <f t="shared" ref="J19:J20" si="2">H19/$E$2</f>
        <v>#DIV/0!</v>
      </c>
    </row>
    <row r="20">
      <c r="B20" s="27"/>
      <c r="C20" s="27"/>
      <c r="D20" s="164" t="s">
        <v>508</v>
      </c>
      <c r="E20" s="159">
        <v>0.0</v>
      </c>
      <c r="F20" s="159">
        <v>138.0</v>
      </c>
      <c r="G20" s="160">
        <f t="shared" si="1"/>
        <v>-138</v>
      </c>
      <c r="H20" s="266">
        <f>sum('PENDATAAN PERUMAHAN'!K84:K95)</f>
        <v>0</v>
      </c>
      <c r="I20" s="161"/>
      <c r="J20" s="161" t="str">
        <f t="shared" si="2"/>
        <v>#DIV/0!</v>
      </c>
    </row>
    <row r="21">
      <c r="B21" s="27"/>
      <c r="C21" s="27"/>
      <c r="D21" s="164" t="s">
        <v>25</v>
      </c>
      <c r="E21" s="166">
        <v>2500.0</v>
      </c>
      <c r="F21" s="159">
        <v>4668.0</v>
      </c>
      <c r="G21" s="160">
        <f t="shared" si="1"/>
        <v>-3979</v>
      </c>
      <c r="H21" s="266">
        <f>sum('PENDATAAN PERUMAHAN'!M84:M95)</f>
        <v>689</v>
      </c>
      <c r="I21" s="161">
        <f>(H21-F21)/E21</f>
        <v>-1.5916</v>
      </c>
      <c r="J21" s="161">
        <f>H21/E21</f>
        <v>0.2756</v>
      </c>
    </row>
    <row r="22">
      <c r="B22" s="27"/>
      <c r="C22" s="40"/>
      <c r="D22" s="164" t="s">
        <v>24</v>
      </c>
      <c r="E22" s="40"/>
      <c r="F22" s="159">
        <v>407.0</v>
      </c>
      <c r="G22" s="160">
        <f t="shared" si="1"/>
        <v>-240</v>
      </c>
      <c r="H22" s="266">
        <f>sum('PENDATAAN PERUMAHAN'!L84:L95)</f>
        <v>167</v>
      </c>
      <c r="I22" s="161"/>
      <c r="J22" s="161"/>
    </row>
    <row r="23">
      <c r="B23" s="27"/>
      <c r="C23" s="157" t="s">
        <v>13</v>
      </c>
      <c r="D23" s="164" t="s">
        <v>512</v>
      </c>
      <c r="E23" s="159">
        <v>160000.0</v>
      </c>
      <c r="F23" s="159">
        <v>11206.0</v>
      </c>
      <c r="G23" s="160">
        <f t="shared" si="1"/>
        <v>-8651</v>
      </c>
      <c r="H23" s="266">
        <f>sum('PENDATAAN PERUMAHAN'!F84:F95)</f>
        <v>2555</v>
      </c>
      <c r="I23" s="161">
        <f t="shared" ref="I23:I26" si="3">(H23-F23)/E23</f>
        <v>-0.05406875</v>
      </c>
      <c r="J23" s="161">
        <f t="shared" ref="J23:J32" si="4">H23/E23</f>
        <v>0.01596875</v>
      </c>
    </row>
    <row r="24">
      <c r="B24" s="27"/>
      <c r="C24" s="40"/>
      <c r="D24" s="164" t="s">
        <v>514</v>
      </c>
      <c r="E24" s="159">
        <v>80000.0</v>
      </c>
      <c r="F24" s="159">
        <v>346.0</v>
      </c>
      <c r="G24" s="160">
        <f t="shared" si="1"/>
        <v>-346</v>
      </c>
      <c r="H24" s="266">
        <f>sum('PENDATAAN PERUMAHAN'!G84:G95)</f>
        <v>0</v>
      </c>
      <c r="I24" s="161">
        <f t="shared" si="3"/>
        <v>-0.004325</v>
      </c>
      <c r="J24" s="161">
        <f t="shared" si="4"/>
        <v>0</v>
      </c>
    </row>
    <row r="25">
      <c r="B25" s="27"/>
      <c r="C25" s="157" t="s">
        <v>14</v>
      </c>
      <c r="D25" s="158" t="s">
        <v>21</v>
      </c>
      <c r="E25" s="159">
        <v>197500.0</v>
      </c>
      <c r="F25" s="159">
        <v>6706.0</v>
      </c>
      <c r="G25" s="160">
        <f t="shared" si="1"/>
        <v>-3472</v>
      </c>
      <c r="H25" s="266">
        <f>sum('PENDATAAN PERUMAHAN'!H84:H95)</f>
        <v>3234</v>
      </c>
      <c r="I25" s="161">
        <f t="shared" si="3"/>
        <v>-0.01757974684</v>
      </c>
      <c r="J25" s="161">
        <f t="shared" si="4"/>
        <v>0.01637468354</v>
      </c>
    </row>
    <row r="26">
      <c r="B26" s="27"/>
      <c r="C26" s="27"/>
      <c r="D26" s="158" t="s">
        <v>517</v>
      </c>
      <c r="E26" s="166">
        <v>850.0</v>
      </c>
      <c r="F26" s="166">
        <v>397.0</v>
      </c>
      <c r="G26" s="160">
        <f t="shared" si="1"/>
        <v>-387</v>
      </c>
      <c r="H26" s="266">
        <f>sum('PENDATAAN PERUMAHAN'!I84:I95)</f>
        <v>10</v>
      </c>
      <c r="I26" s="161">
        <f t="shared" si="3"/>
        <v>-0.4552941176</v>
      </c>
      <c r="J26" s="161">
        <f t="shared" si="4"/>
        <v>0.01176470588</v>
      </c>
    </row>
    <row r="27">
      <c r="B27" s="40"/>
      <c r="C27" s="40"/>
      <c r="D27" s="171" t="s">
        <v>519</v>
      </c>
      <c r="E27" s="166">
        <v>50.0</v>
      </c>
      <c r="F27" s="166">
        <v>16.0</v>
      </c>
      <c r="G27" s="160">
        <f t="shared" si="1"/>
        <v>-16</v>
      </c>
      <c r="H27" s="283"/>
      <c r="I27" s="161"/>
      <c r="J27" s="161">
        <f t="shared" si="4"/>
        <v>0</v>
      </c>
    </row>
    <row r="28">
      <c r="B28" s="156" t="s">
        <v>521</v>
      </c>
      <c r="C28" s="157" t="s">
        <v>522</v>
      </c>
      <c r="D28" s="171" t="s">
        <v>506</v>
      </c>
      <c r="E28" s="159">
        <v>15110.0</v>
      </c>
      <c r="F28" s="166">
        <v>0.0</v>
      </c>
      <c r="G28" s="160">
        <f t="shared" si="1"/>
        <v>0</v>
      </c>
      <c r="H28" s="266">
        <f>sum('PENDATAAN PERUMAHAN'!N84:N95)</f>
        <v>0</v>
      </c>
      <c r="I28" s="161">
        <f>(H28-F28)/E28</f>
        <v>0</v>
      </c>
      <c r="J28" s="161">
        <f t="shared" si="4"/>
        <v>0</v>
      </c>
    </row>
    <row r="29">
      <c r="B29" s="27"/>
      <c r="C29" s="27"/>
      <c r="D29" s="171" t="s">
        <v>508</v>
      </c>
      <c r="E29" s="159">
        <v>100.0</v>
      </c>
      <c r="F29" s="166">
        <v>848.0</v>
      </c>
      <c r="G29" s="160">
        <f t="shared" si="1"/>
        <v>-848</v>
      </c>
      <c r="H29" s="266">
        <f>sum('PENDATAAN PERUMAHAN'!O84:O95)</f>
        <v>0</v>
      </c>
      <c r="I29" s="161"/>
      <c r="J29" s="161">
        <f t="shared" si="4"/>
        <v>0</v>
      </c>
    </row>
    <row r="30">
      <c r="B30" s="27"/>
      <c r="C30" s="27"/>
      <c r="D30" s="171" t="s">
        <v>525</v>
      </c>
      <c r="E30" s="159">
        <v>675.0</v>
      </c>
      <c r="F30" s="159">
        <v>0.0</v>
      </c>
      <c r="G30" s="160">
        <f t="shared" si="1"/>
        <v>0</v>
      </c>
      <c r="H30" s="266">
        <f>sum('PENDATAAN PERUMAHAN'!P84:P95)</f>
        <v>0</v>
      </c>
      <c r="I30" s="161">
        <f t="shared" ref="I30:I35" si="5">(H30-F30)/E30</f>
        <v>0</v>
      </c>
      <c r="J30" s="161">
        <f t="shared" si="4"/>
        <v>0</v>
      </c>
    </row>
    <row r="31">
      <c r="B31" s="27"/>
      <c r="C31" s="27"/>
      <c r="D31" s="171" t="s">
        <v>25</v>
      </c>
      <c r="E31" s="159">
        <v>13500.0</v>
      </c>
      <c r="F31" s="159">
        <v>24219.0</v>
      </c>
      <c r="G31" s="160">
        <f t="shared" si="1"/>
        <v>-21902</v>
      </c>
      <c r="H31" s="266">
        <f>sum('PENDATAAN PERUMAHAN'!R84:R95)</f>
        <v>2317</v>
      </c>
      <c r="I31" s="161">
        <f t="shared" si="5"/>
        <v>-1.62237037</v>
      </c>
      <c r="J31" s="161">
        <f t="shared" si="4"/>
        <v>0.1716296296</v>
      </c>
    </row>
    <row r="32">
      <c r="B32" s="27"/>
      <c r="C32" s="27"/>
      <c r="D32" s="158" t="s">
        <v>24</v>
      </c>
      <c r="E32" s="159">
        <v>42200.0</v>
      </c>
      <c r="F32" s="159">
        <v>2272.0</v>
      </c>
      <c r="G32" s="160">
        <f t="shared" si="1"/>
        <v>-1701</v>
      </c>
      <c r="H32" s="266">
        <f>sum('PENDATAAN PERUMAHAN'!Q84:Q95)</f>
        <v>571</v>
      </c>
      <c r="I32" s="161">
        <f t="shared" si="5"/>
        <v>-0.04030805687</v>
      </c>
      <c r="J32" s="161">
        <f t="shared" si="4"/>
        <v>0.01353080569</v>
      </c>
    </row>
    <row r="33">
      <c r="B33" s="27"/>
      <c r="C33" s="27"/>
      <c r="D33" s="158" t="s">
        <v>28</v>
      </c>
      <c r="E33" s="159">
        <v>0.0</v>
      </c>
      <c r="F33" s="159">
        <v>0.0</v>
      </c>
      <c r="G33" s="160">
        <f t="shared" si="1"/>
        <v>0</v>
      </c>
      <c r="H33" s="266">
        <f>sum('PENDATAAN PERUMAHAN'!T84:T95)</f>
        <v>0</v>
      </c>
      <c r="I33" s="161" t="str">
        <f t="shared" si="5"/>
        <v>#DIV/0!</v>
      </c>
      <c r="J33" s="161">
        <f>H33/36</f>
        <v>0</v>
      </c>
    </row>
    <row r="34">
      <c r="B34" s="27"/>
      <c r="C34" s="27"/>
      <c r="D34" s="158" t="s">
        <v>517</v>
      </c>
      <c r="E34" s="159">
        <v>600.0</v>
      </c>
      <c r="F34" s="159">
        <v>2104.0</v>
      </c>
      <c r="G34" s="160">
        <f t="shared" si="1"/>
        <v>-1962</v>
      </c>
      <c r="H34" s="266">
        <f>sum('PENDATAAN PERUMAHAN'!S84:S95)</f>
        <v>142</v>
      </c>
      <c r="I34" s="161">
        <f t="shared" si="5"/>
        <v>-3.27</v>
      </c>
      <c r="J34" s="161">
        <f t="shared" ref="J34:J37" si="6">H34/E34</f>
        <v>0.2366666667</v>
      </c>
    </row>
    <row r="35">
      <c r="B35" s="27"/>
      <c r="C35" s="27"/>
      <c r="D35" s="158" t="s">
        <v>29</v>
      </c>
      <c r="E35" s="159">
        <v>486897.0</v>
      </c>
      <c r="F35" s="159">
        <v>1105.0</v>
      </c>
      <c r="G35" s="160">
        <f t="shared" si="1"/>
        <v>-984</v>
      </c>
      <c r="H35" s="266">
        <f>sum('PENDATAAN PERUMAHAN'!U84:U95)</f>
        <v>121</v>
      </c>
      <c r="I35" s="161">
        <f t="shared" si="5"/>
        <v>-0.002020961312</v>
      </c>
      <c r="J35" s="161">
        <f t="shared" si="6"/>
        <v>0.0002485125191</v>
      </c>
    </row>
    <row r="36">
      <c r="B36" s="40"/>
      <c r="C36" s="40"/>
      <c r="D36" s="174" t="s">
        <v>519</v>
      </c>
      <c r="E36" s="175">
        <v>200.0</v>
      </c>
      <c r="F36" s="175">
        <v>169.0</v>
      </c>
      <c r="G36" s="698">
        <f t="shared" si="1"/>
        <v>-169</v>
      </c>
      <c r="H36" s="283"/>
      <c r="I36" s="175"/>
      <c r="J36" s="161">
        <f t="shared" si="6"/>
        <v>0</v>
      </c>
    </row>
    <row r="37">
      <c r="B37" s="182" t="s">
        <v>533</v>
      </c>
      <c r="C37" s="183"/>
      <c r="D37" s="31"/>
      <c r="E37" s="184">
        <f t="shared" ref="E37:F37" si="7">SUM(E19:E36)</f>
        <v>1000700</v>
      </c>
      <c r="F37" s="184">
        <f t="shared" si="7"/>
        <v>54601</v>
      </c>
      <c r="G37" s="185"/>
      <c r="H37" s="185">
        <f>SUM(H19:H36)</f>
        <v>9806</v>
      </c>
      <c r="I37" s="186">
        <f>(H37-F37)/E37</f>
        <v>-0.04476366543</v>
      </c>
      <c r="J37" s="186">
        <f t="shared" si="6"/>
        <v>0.009799140602</v>
      </c>
    </row>
    <row r="38">
      <c r="B38" s="187"/>
      <c r="C38" s="188"/>
      <c r="D38" s="189"/>
      <c r="E38" s="159"/>
      <c r="F38" s="160"/>
      <c r="G38" s="160"/>
      <c r="H38" s="283"/>
      <c r="I38" s="161"/>
      <c r="J38" s="161"/>
    </row>
    <row r="39">
      <c r="B39" s="156" t="s">
        <v>6</v>
      </c>
      <c r="C39" s="157" t="s">
        <v>8</v>
      </c>
      <c r="D39" s="158" t="s">
        <v>536</v>
      </c>
      <c r="E39" s="159">
        <v>217500.0</v>
      </c>
      <c r="F39" s="159">
        <v>67791.0</v>
      </c>
      <c r="G39" s="160">
        <f t="shared" ref="G39:G40" si="8">H39-F39</f>
        <v>-37204</v>
      </c>
      <c r="H39" s="266">
        <f>sum('PENDATAAN PERUMAHAN'!E84:E95)</f>
        <v>30587</v>
      </c>
      <c r="I39" s="161">
        <f t="shared" ref="I39:I43" si="9">(H39-F39)/E39</f>
        <v>-0.1710528736</v>
      </c>
      <c r="J39" s="161">
        <f t="shared" ref="J39:J43" si="10">H39/E39</f>
        <v>0.1406298851</v>
      </c>
    </row>
    <row r="40">
      <c r="B40" s="27"/>
      <c r="C40" s="27"/>
      <c r="D40" s="158" t="s">
        <v>538</v>
      </c>
      <c r="E40" s="159">
        <v>300000.0</v>
      </c>
      <c r="F40" s="159">
        <v>0.0</v>
      </c>
      <c r="G40" s="160">
        <f t="shared" si="8"/>
        <v>0</v>
      </c>
      <c r="H40" s="160" t="str">
        <f>'PENDATAAN PERUMAHAN'!V230</f>
        <v/>
      </c>
      <c r="I40" s="161">
        <f t="shared" si="9"/>
        <v>0</v>
      </c>
      <c r="J40" s="161">
        <f t="shared" si="10"/>
        <v>0</v>
      </c>
    </row>
    <row r="41">
      <c r="B41" s="40"/>
      <c r="C41" s="40"/>
      <c r="D41" s="158" t="s">
        <v>541</v>
      </c>
      <c r="E41" s="159">
        <v>0.0</v>
      </c>
      <c r="F41" s="159">
        <v>0.0</v>
      </c>
      <c r="G41" s="160"/>
      <c r="H41" s="160" t="str">
        <f>'PENDATAAN PERUMAHAN'!W230</f>
        <v/>
      </c>
      <c r="I41" s="161" t="str">
        <f t="shared" si="9"/>
        <v>#DIV/0!</v>
      </c>
      <c r="J41" s="161" t="str">
        <f t="shared" si="10"/>
        <v>#DIV/0!</v>
      </c>
    </row>
    <row r="42">
      <c r="B42" s="193" t="s">
        <v>542</v>
      </c>
      <c r="C42" s="19"/>
      <c r="D42" s="20"/>
      <c r="E42" s="194">
        <f>E39+E40+E41</f>
        <v>517500</v>
      </c>
      <c r="F42" s="195">
        <f>SUM(F39:F41)</f>
        <v>67791</v>
      </c>
      <c r="G42" s="195">
        <f t="shared" ref="G42:G43" si="11">H42-F42</f>
        <v>-37204</v>
      </c>
      <c r="H42" s="195">
        <f>H39+H40+H41</f>
        <v>30587</v>
      </c>
      <c r="I42" s="186">
        <f t="shared" si="9"/>
        <v>-0.07189178744</v>
      </c>
      <c r="J42" s="186">
        <f t="shared" si="10"/>
        <v>0.05910531401</v>
      </c>
    </row>
    <row r="43">
      <c r="B43" s="197" t="s">
        <v>544</v>
      </c>
      <c r="C43" s="19"/>
      <c r="D43" s="20"/>
      <c r="E43" s="198">
        <f>E42+E37</f>
        <v>1518200</v>
      </c>
      <c r="F43" s="199">
        <f>F37+F42</f>
        <v>122392</v>
      </c>
      <c r="G43" s="200">
        <f t="shared" si="11"/>
        <v>-81999</v>
      </c>
      <c r="H43" s="199">
        <f>H42+H37</f>
        <v>40393</v>
      </c>
      <c r="I43" s="201">
        <f t="shared" si="9"/>
        <v>-0.05401067053</v>
      </c>
      <c r="J43" s="201">
        <f t="shared" si="10"/>
        <v>0.02660584903</v>
      </c>
    </row>
  </sheetData>
  <mergeCells count="22">
    <mergeCell ref="E11:E13"/>
    <mergeCell ref="E14:E16"/>
    <mergeCell ref="E21:E22"/>
    <mergeCell ref="D5:D16"/>
    <mergeCell ref="E5:E7"/>
    <mergeCell ref="F5:F7"/>
    <mergeCell ref="E8:E10"/>
    <mergeCell ref="F8:F10"/>
    <mergeCell ref="F11:F13"/>
    <mergeCell ref="F14:F16"/>
    <mergeCell ref="B28:B36"/>
    <mergeCell ref="B39:B41"/>
    <mergeCell ref="C39:C41"/>
    <mergeCell ref="B42:D42"/>
    <mergeCell ref="B43:D43"/>
    <mergeCell ref="B5:B9"/>
    <mergeCell ref="B19:B27"/>
    <mergeCell ref="C19:C22"/>
    <mergeCell ref="C23:C24"/>
    <mergeCell ref="C25:C27"/>
    <mergeCell ref="C28:C36"/>
    <mergeCell ref="B37:D3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hidden="1" min="7" max="7" width="12.63"/>
    <col customWidth="1" hidden="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722"/>
      <c r="C5" s="694" t="s">
        <v>884</v>
      </c>
      <c r="D5" s="695" t="s">
        <v>1235</v>
      </c>
      <c r="E5" s="695" t="s">
        <v>859</v>
      </c>
      <c r="F5" s="721" t="s">
        <v>1316</v>
      </c>
    </row>
    <row r="6">
      <c r="A6" s="693">
        <v>2.0</v>
      </c>
      <c r="B6" s="722"/>
      <c r="C6" s="694" t="s">
        <v>436</v>
      </c>
      <c r="D6" s="27"/>
      <c r="E6" s="27"/>
      <c r="F6" s="27"/>
    </row>
    <row r="7">
      <c r="A7" s="693">
        <v>3.0</v>
      </c>
      <c r="B7" s="722"/>
      <c r="C7" s="694" t="s">
        <v>438</v>
      </c>
      <c r="D7" s="27"/>
      <c r="E7" s="40"/>
      <c r="F7" s="40"/>
    </row>
    <row r="8" ht="20.25" customHeight="1">
      <c r="A8" s="693">
        <v>4.0</v>
      </c>
      <c r="B8" s="722"/>
      <c r="C8" s="694" t="s">
        <v>440</v>
      </c>
      <c r="D8" s="27"/>
      <c r="E8" s="587" t="s">
        <v>1240</v>
      </c>
      <c r="F8" s="721" t="s">
        <v>1317</v>
      </c>
    </row>
    <row r="9">
      <c r="A9" s="693">
        <v>5.0</v>
      </c>
      <c r="B9" s="694" t="s">
        <v>443</v>
      </c>
      <c r="C9" s="694" t="s">
        <v>444</v>
      </c>
      <c r="D9" s="27"/>
      <c r="E9" s="27"/>
      <c r="F9" s="40"/>
    </row>
    <row r="10">
      <c r="A10" s="714"/>
      <c r="B10" s="723"/>
      <c r="C10" s="694" t="s">
        <v>445</v>
      </c>
      <c r="D10" s="27"/>
      <c r="E10" s="40"/>
      <c r="F10" s="721" t="s">
        <v>1317</v>
      </c>
    </row>
    <row r="11">
      <c r="A11" s="714"/>
      <c r="B11" s="694" t="s">
        <v>446</v>
      </c>
      <c r="C11" s="694" t="s">
        <v>447</v>
      </c>
      <c r="D11" s="27"/>
      <c r="E11" s="587" t="s">
        <v>1243</v>
      </c>
      <c r="F11" s="729" t="s">
        <v>1318</v>
      </c>
    </row>
    <row r="12">
      <c r="A12" s="714"/>
      <c r="B12" s="694" t="s">
        <v>449</v>
      </c>
      <c r="C12" s="694" t="s">
        <v>450</v>
      </c>
      <c r="D12" s="27"/>
      <c r="E12" s="27"/>
      <c r="F12" s="576"/>
    </row>
    <row r="13">
      <c r="A13" s="714"/>
      <c r="B13" s="723"/>
      <c r="C13" s="694" t="s">
        <v>452</v>
      </c>
      <c r="D13" s="27"/>
      <c r="E13" s="40"/>
      <c r="F13" s="31"/>
    </row>
    <row r="14">
      <c r="A14" s="714"/>
      <c r="B14" s="694" t="s">
        <v>454</v>
      </c>
      <c r="C14" s="694" t="s">
        <v>455</v>
      </c>
      <c r="D14" s="27"/>
      <c r="E14" s="587" t="s">
        <v>864</v>
      </c>
      <c r="F14" s="721" t="s">
        <v>1319</v>
      </c>
    </row>
    <row r="15">
      <c r="A15" s="714"/>
      <c r="B15" s="723"/>
      <c r="C15" s="694" t="s">
        <v>899</v>
      </c>
      <c r="D15" s="27"/>
      <c r="E15" s="27"/>
      <c r="F15" s="27"/>
    </row>
    <row r="16">
      <c r="A16" s="714"/>
      <c r="B16" s="694" t="s">
        <v>458</v>
      </c>
      <c r="C16" s="694" t="s">
        <v>459</v>
      </c>
      <c r="D16" s="27"/>
      <c r="E16" s="40"/>
      <c r="F16" s="40"/>
    </row>
    <row r="17">
      <c r="A17" s="714"/>
      <c r="B17" s="694" t="s">
        <v>460</v>
      </c>
      <c r="C17" s="694" t="s">
        <v>461</v>
      </c>
      <c r="D17" s="27"/>
      <c r="E17" s="587" t="s">
        <v>860</v>
      </c>
      <c r="F17" s="721" t="s">
        <v>1320</v>
      </c>
    </row>
    <row r="18">
      <c r="A18" s="714"/>
      <c r="B18" s="723"/>
      <c r="C18" s="694" t="s">
        <v>464</v>
      </c>
      <c r="D18" s="27"/>
      <c r="E18" s="27"/>
      <c r="F18" s="27"/>
    </row>
    <row r="19">
      <c r="A19" s="714"/>
      <c r="B19" s="694" t="s">
        <v>465</v>
      </c>
      <c r="C19" s="694" t="s">
        <v>466</v>
      </c>
      <c r="D19" s="27"/>
      <c r="E19" s="40"/>
      <c r="F19" s="40"/>
    </row>
    <row r="20">
      <c r="A20" s="714"/>
      <c r="B20" s="723"/>
      <c r="C20" s="694" t="s">
        <v>467</v>
      </c>
      <c r="D20" s="27"/>
      <c r="E20" s="587" t="s">
        <v>859</v>
      </c>
      <c r="F20" s="721" t="s">
        <v>1316</v>
      </c>
    </row>
    <row r="21">
      <c r="A21" s="714"/>
      <c r="B21" s="723"/>
      <c r="C21" s="694" t="s">
        <v>468</v>
      </c>
      <c r="D21" s="27"/>
      <c r="E21" s="40"/>
      <c r="F21" s="40"/>
    </row>
    <row r="22">
      <c r="A22" s="714"/>
      <c r="B22" s="694" t="s">
        <v>469</v>
      </c>
      <c r="C22" s="694" t="s">
        <v>905</v>
      </c>
      <c r="D22" s="27"/>
      <c r="E22" s="587" t="s">
        <v>860</v>
      </c>
      <c r="F22" s="721" t="s">
        <v>1320</v>
      </c>
    </row>
    <row r="23">
      <c r="A23" s="714"/>
      <c r="B23" s="723"/>
      <c r="C23" s="694" t="s">
        <v>471</v>
      </c>
      <c r="D23" s="27"/>
      <c r="E23" s="40"/>
      <c r="F23" s="40"/>
    </row>
    <row r="24">
      <c r="A24" s="714"/>
      <c r="B24" s="723"/>
      <c r="C24" s="694" t="s">
        <v>473</v>
      </c>
      <c r="D24" s="27"/>
      <c r="E24" s="587" t="s">
        <v>864</v>
      </c>
      <c r="F24" s="721" t="s">
        <v>1319</v>
      </c>
    </row>
    <row r="25">
      <c r="A25" s="714"/>
      <c r="B25" s="723"/>
      <c r="C25" s="694" t="s">
        <v>474</v>
      </c>
      <c r="D25" s="27"/>
      <c r="E25" s="40"/>
      <c r="F25" s="40"/>
    </row>
    <row r="26">
      <c r="A26" s="714"/>
      <c r="B26" s="723"/>
      <c r="C26" s="694" t="s">
        <v>476</v>
      </c>
      <c r="D26" s="27"/>
      <c r="E26" s="587" t="s">
        <v>865</v>
      </c>
      <c r="F26" s="721" t="s">
        <v>1317</v>
      </c>
    </row>
    <row r="27">
      <c r="A27" s="714"/>
      <c r="B27" s="723"/>
      <c r="C27" s="694" t="s">
        <v>477</v>
      </c>
      <c r="D27" s="40"/>
      <c r="E27" s="40"/>
      <c r="F27" s="40"/>
    </row>
    <row r="28">
      <c r="A28" s="690"/>
      <c r="B28" s="690"/>
      <c r="C28" s="690"/>
      <c r="D28" s="690"/>
      <c r="E28" s="690"/>
    </row>
    <row r="29">
      <c r="A29" s="690"/>
      <c r="B29" s="151" t="s">
        <v>494</v>
      </c>
      <c r="C29" s="152" t="s">
        <v>495</v>
      </c>
      <c r="D29" s="152" t="s">
        <v>15</v>
      </c>
      <c r="E29" s="152" t="s">
        <v>496</v>
      </c>
      <c r="F29" s="152" t="s">
        <v>497</v>
      </c>
      <c r="G29" s="152" t="s">
        <v>498</v>
      </c>
      <c r="H29" s="152" t="s">
        <v>499</v>
      </c>
      <c r="I29" s="152" t="s">
        <v>500</v>
      </c>
      <c r="J29" s="152" t="s">
        <v>501</v>
      </c>
    </row>
    <row r="30">
      <c r="A30" s="690"/>
      <c r="B30" s="156" t="s">
        <v>2</v>
      </c>
      <c r="C30" s="157" t="s">
        <v>505</v>
      </c>
      <c r="D30" s="158" t="s">
        <v>506</v>
      </c>
      <c r="E30" s="159">
        <v>518.0</v>
      </c>
      <c r="F30" s="159">
        <v>0.0</v>
      </c>
      <c r="G30" s="160">
        <f t="shared" ref="G30:G47" si="1">H30-F30</f>
        <v>25</v>
      </c>
      <c r="H30" s="266">
        <f>sum('PENDATAAN PERUMAHAN'!J198:J1220)</f>
        <v>25</v>
      </c>
      <c r="I30" s="161">
        <f>(H30-F30)/E30</f>
        <v>0.04826254826</v>
      </c>
      <c r="J30" s="161" t="str">
        <f t="shared" ref="J30:J31" si="2">H30/$E$2</f>
        <v>#DIV/0!</v>
      </c>
    </row>
    <row r="31">
      <c r="B31" s="27"/>
      <c r="C31" s="27"/>
      <c r="D31" s="164" t="s">
        <v>508</v>
      </c>
      <c r="E31" s="159">
        <v>0.0</v>
      </c>
      <c r="F31" s="159">
        <v>138.0</v>
      </c>
      <c r="G31" s="160">
        <f t="shared" si="1"/>
        <v>-102</v>
      </c>
      <c r="H31" s="266">
        <f>sum('PENDATAAN PERUMAHAN'!K198:K220)</f>
        <v>36</v>
      </c>
      <c r="I31" s="161"/>
      <c r="J31" s="161" t="str">
        <f t="shared" si="2"/>
        <v>#DIV/0!</v>
      </c>
    </row>
    <row r="32">
      <c r="B32" s="27"/>
      <c r="C32" s="27"/>
      <c r="D32" s="164" t="s">
        <v>25</v>
      </c>
      <c r="E32" s="166">
        <v>2500.0</v>
      </c>
      <c r="F32" s="159">
        <v>4668.0</v>
      </c>
      <c r="G32" s="160">
        <f t="shared" si="1"/>
        <v>-3135</v>
      </c>
      <c r="H32" s="266">
        <f>sum('PENDATAAN PERUMAHAN'!M198:M220)</f>
        <v>1533</v>
      </c>
      <c r="I32" s="161">
        <f>(H32-F32)/E32</f>
        <v>-1.254</v>
      </c>
      <c r="J32" s="161">
        <f>H32/E32</f>
        <v>0.6132</v>
      </c>
    </row>
    <row r="33">
      <c r="B33" s="27"/>
      <c r="C33" s="40"/>
      <c r="D33" s="164" t="s">
        <v>24</v>
      </c>
      <c r="E33" s="40"/>
      <c r="F33" s="159">
        <v>407.0</v>
      </c>
      <c r="G33" s="160">
        <f t="shared" si="1"/>
        <v>-407</v>
      </c>
      <c r="H33" s="266">
        <f>sum('PENDATAAN PERUMAHAN'!L198:L220)</f>
        <v>0</v>
      </c>
      <c r="I33" s="161"/>
      <c r="J33" s="161"/>
    </row>
    <row r="34">
      <c r="B34" s="27"/>
      <c r="C34" s="157" t="s">
        <v>13</v>
      </c>
      <c r="D34" s="164" t="s">
        <v>512</v>
      </c>
      <c r="E34" s="159">
        <v>160000.0</v>
      </c>
      <c r="F34" s="159">
        <v>11206.0</v>
      </c>
      <c r="G34" s="160">
        <f t="shared" si="1"/>
        <v>-11176</v>
      </c>
      <c r="H34" s="266">
        <f>sum('PENDATAAN PERUMAHAN'!F198:F220)</f>
        <v>30</v>
      </c>
      <c r="I34" s="161">
        <f t="shared" ref="I34:I37" si="3">(H34-F34)/E34</f>
        <v>-0.06985</v>
      </c>
      <c r="J34" s="161">
        <f t="shared" ref="J34:J43" si="4">H34/E34</f>
        <v>0.0001875</v>
      </c>
    </row>
    <row r="35">
      <c r="B35" s="27"/>
      <c r="C35" s="40"/>
      <c r="D35" s="164" t="s">
        <v>514</v>
      </c>
      <c r="E35" s="159">
        <v>80000.0</v>
      </c>
      <c r="F35" s="159">
        <v>346.0</v>
      </c>
      <c r="G35" s="160">
        <f t="shared" si="1"/>
        <v>-346</v>
      </c>
      <c r="H35" s="266">
        <f>sum('PENDATAAN PERUMAHAN'!G198:G220)</f>
        <v>0</v>
      </c>
      <c r="I35" s="161">
        <f t="shared" si="3"/>
        <v>-0.004325</v>
      </c>
      <c r="J35" s="161">
        <f t="shared" si="4"/>
        <v>0</v>
      </c>
    </row>
    <row r="36">
      <c r="B36" s="27"/>
      <c r="C36" s="157" t="s">
        <v>14</v>
      </c>
      <c r="D36" s="158" t="s">
        <v>21</v>
      </c>
      <c r="E36" s="159">
        <v>197500.0</v>
      </c>
      <c r="F36" s="159">
        <v>6706.0</v>
      </c>
      <c r="G36" s="160">
        <f t="shared" si="1"/>
        <v>-6682</v>
      </c>
      <c r="H36" s="266">
        <f>sum('PENDATAAN PERUMAHAN'!H198:H220)</f>
        <v>24</v>
      </c>
      <c r="I36" s="161">
        <f t="shared" si="3"/>
        <v>-0.03383291139</v>
      </c>
      <c r="J36" s="161">
        <f t="shared" si="4"/>
        <v>0.0001215189873</v>
      </c>
    </row>
    <row r="37">
      <c r="B37" s="27"/>
      <c r="C37" s="27"/>
      <c r="D37" s="158" t="s">
        <v>517</v>
      </c>
      <c r="E37" s="166">
        <v>850.0</v>
      </c>
      <c r="F37" s="166">
        <v>397.0</v>
      </c>
      <c r="G37" s="160">
        <f t="shared" si="1"/>
        <v>-373</v>
      </c>
      <c r="H37" s="266">
        <f>sum('PENDATAAN PERUMAHAN'!I198:I220)</f>
        <v>24</v>
      </c>
      <c r="I37" s="161">
        <f t="shared" si="3"/>
        <v>-0.4388235294</v>
      </c>
      <c r="J37" s="161">
        <f t="shared" si="4"/>
        <v>0.02823529412</v>
      </c>
    </row>
    <row r="38">
      <c r="B38" s="40"/>
      <c r="C38" s="40"/>
      <c r="D38" s="171" t="s">
        <v>519</v>
      </c>
      <c r="E38" s="166">
        <v>50.0</v>
      </c>
      <c r="F38" s="166">
        <v>16.0</v>
      </c>
      <c r="G38" s="160">
        <f t="shared" si="1"/>
        <v>-16</v>
      </c>
      <c r="H38" s="283"/>
      <c r="I38" s="161"/>
      <c r="J38" s="161">
        <f t="shared" si="4"/>
        <v>0</v>
      </c>
    </row>
    <row r="39">
      <c r="B39" s="156" t="s">
        <v>521</v>
      </c>
      <c r="C39" s="157" t="s">
        <v>522</v>
      </c>
      <c r="D39" s="171" t="s">
        <v>506</v>
      </c>
      <c r="E39" s="159">
        <v>15110.0</v>
      </c>
      <c r="F39" s="166">
        <v>0.0</v>
      </c>
      <c r="G39" s="160">
        <f t="shared" si="1"/>
        <v>0</v>
      </c>
      <c r="H39" s="266">
        <f>sum('PENDATAAN PERUMAHAN'!N198:N220)</f>
        <v>0</v>
      </c>
      <c r="I39" s="161">
        <f>(H39-F39)/E39</f>
        <v>0</v>
      </c>
      <c r="J39" s="161">
        <f t="shared" si="4"/>
        <v>0</v>
      </c>
    </row>
    <row r="40">
      <c r="B40" s="27"/>
      <c r="C40" s="27"/>
      <c r="D40" s="171" t="s">
        <v>508</v>
      </c>
      <c r="E40" s="159">
        <v>100.0</v>
      </c>
      <c r="F40" s="166">
        <v>848.0</v>
      </c>
      <c r="G40" s="160">
        <f t="shared" si="1"/>
        <v>-843</v>
      </c>
      <c r="H40" s="266">
        <f>sum('PENDATAAN PERUMAHAN'!O198:O220)</f>
        <v>5</v>
      </c>
      <c r="I40" s="161"/>
      <c r="J40" s="161">
        <f t="shared" si="4"/>
        <v>0.05</v>
      </c>
    </row>
    <row r="41">
      <c r="B41" s="27"/>
      <c r="C41" s="27"/>
      <c r="D41" s="171" t="s">
        <v>525</v>
      </c>
      <c r="E41" s="159">
        <v>675.0</v>
      </c>
      <c r="F41" s="159">
        <v>0.0</v>
      </c>
      <c r="G41" s="160">
        <f t="shared" si="1"/>
        <v>0</v>
      </c>
      <c r="H41" s="266">
        <f>sum('PENDATAAN PERUMAHAN'!P198:P220)</f>
        <v>0</v>
      </c>
      <c r="I41" s="161">
        <f t="shared" ref="I41:I46" si="5">(H41-F41)/E41</f>
        <v>0</v>
      </c>
      <c r="J41" s="161">
        <f t="shared" si="4"/>
        <v>0</v>
      </c>
    </row>
    <row r="42">
      <c r="B42" s="27"/>
      <c r="C42" s="27"/>
      <c r="D42" s="171" t="s">
        <v>25</v>
      </c>
      <c r="E42" s="159">
        <v>13500.0</v>
      </c>
      <c r="F42" s="159">
        <v>24219.0</v>
      </c>
      <c r="G42" s="160">
        <f t="shared" si="1"/>
        <v>-23833</v>
      </c>
      <c r="H42" s="266">
        <f>sum('PENDATAAN PERUMAHAN'!R198:R220)</f>
        <v>386</v>
      </c>
      <c r="I42" s="161">
        <f t="shared" si="5"/>
        <v>-1.765407407</v>
      </c>
      <c r="J42" s="161">
        <f t="shared" si="4"/>
        <v>0.02859259259</v>
      </c>
    </row>
    <row r="43">
      <c r="B43" s="27"/>
      <c r="C43" s="27"/>
      <c r="D43" s="158" t="s">
        <v>24</v>
      </c>
      <c r="E43" s="159">
        <v>42200.0</v>
      </c>
      <c r="F43" s="159">
        <v>2272.0</v>
      </c>
      <c r="G43" s="160">
        <f t="shared" si="1"/>
        <v>-2269</v>
      </c>
      <c r="H43" s="266">
        <f>sum('PENDATAAN PERUMAHAN'!Q198:Q220)</f>
        <v>3</v>
      </c>
      <c r="I43" s="161">
        <f t="shared" si="5"/>
        <v>-0.05376777251</v>
      </c>
      <c r="J43" s="161">
        <f t="shared" si="4"/>
        <v>0.00007109004739</v>
      </c>
    </row>
    <row r="44">
      <c r="B44" s="27"/>
      <c r="C44" s="27"/>
      <c r="D44" s="158" t="s">
        <v>28</v>
      </c>
      <c r="E44" s="159">
        <v>0.0</v>
      </c>
      <c r="F44" s="159">
        <v>0.0</v>
      </c>
      <c r="G44" s="160">
        <f t="shared" si="1"/>
        <v>0</v>
      </c>
      <c r="H44" s="266">
        <f>sum('PENDATAAN PERUMAHAN'!T198:T220)</f>
        <v>0</v>
      </c>
      <c r="I44" s="161" t="str">
        <f t="shared" si="5"/>
        <v>#DIV/0!</v>
      </c>
      <c r="J44" s="161">
        <f>H44/36</f>
        <v>0</v>
      </c>
    </row>
    <row r="45">
      <c r="B45" s="27"/>
      <c r="C45" s="27"/>
      <c r="D45" s="158" t="s">
        <v>517</v>
      </c>
      <c r="E45" s="159">
        <v>600.0</v>
      </c>
      <c r="F45" s="159">
        <v>2104.0</v>
      </c>
      <c r="G45" s="160">
        <f t="shared" si="1"/>
        <v>-2074</v>
      </c>
      <c r="H45" s="266">
        <f>sum('PENDATAAN PERUMAHAN'!S198:S220)</f>
        <v>30</v>
      </c>
      <c r="I45" s="161">
        <f t="shared" si="5"/>
        <v>-3.456666667</v>
      </c>
      <c r="J45" s="161">
        <f t="shared" ref="J45:J48" si="6">H45/E45</f>
        <v>0.05</v>
      </c>
    </row>
    <row r="46">
      <c r="B46" s="27"/>
      <c r="C46" s="27"/>
      <c r="D46" s="158" t="s">
        <v>29</v>
      </c>
      <c r="E46" s="159">
        <v>486897.0</v>
      </c>
      <c r="F46" s="159">
        <v>1105.0</v>
      </c>
      <c r="G46" s="160">
        <f t="shared" si="1"/>
        <v>-1001</v>
      </c>
      <c r="H46" s="266">
        <f>sum('PENDATAAN PERUMAHAN'!U198:U220)</f>
        <v>104</v>
      </c>
      <c r="I46" s="161">
        <f t="shared" si="5"/>
        <v>-0.002055876294</v>
      </c>
      <c r="J46" s="161">
        <f t="shared" si="6"/>
        <v>0.0002135975371</v>
      </c>
    </row>
    <row r="47">
      <c r="B47" s="40"/>
      <c r="C47" s="40"/>
      <c r="D47" s="174" t="s">
        <v>519</v>
      </c>
      <c r="E47" s="175">
        <v>200.0</v>
      </c>
      <c r="F47" s="175">
        <v>169.0</v>
      </c>
      <c r="G47" s="698">
        <f t="shared" si="1"/>
        <v>-169</v>
      </c>
      <c r="H47" s="283"/>
      <c r="I47" s="175"/>
      <c r="J47" s="161">
        <f t="shared" si="6"/>
        <v>0</v>
      </c>
    </row>
    <row r="48">
      <c r="B48" s="182" t="s">
        <v>533</v>
      </c>
      <c r="C48" s="183"/>
      <c r="D48" s="31"/>
      <c r="E48" s="184">
        <f t="shared" ref="E48:F48" si="7">SUM(E30:E47)</f>
        <v>1000700</v>
      </c>
      <c r="F48" s="184">
        <f t="shared" si="7"/>
        <v>54601</v>
      </c>
      <c r="G48" s="185"/>
      <c r="H48" s="185">
        <f>SUM(H30:H47)</f>
        <v>2200</v>
      </c>
      <c r="I48" s="186">
        <f>(H48-F48)/E48</f>
        <v>-0.05236434496</v>
      </c>
      <c r="J48" s="186">
        <f t="shared" si="6"/>
        <v>0.002198461077</v>
      </c>
    </row>
    <row r="49">
      <c r="B49" s="187"/>
      <c r="C49" s="188"/>
      <c r="D49" s="189"/>
      <c r="E49" s="159"/>
      <c r="F49" s="160"/>
      <c r="G49" s="160"/>
      <c r="H49" s="283"/>
      <c r="I49" s="161"/>
      <c r="J49" s="161"/>
    </row>
    <row r="50">
      <c r="B50" s="156" t="s">
        <v>6</v>
      </c>
      <c r="C50" s="157" t="s">
        <v>8</v>
      </c>
      <c r="D50" s="158" t="s">
        <v>536</v>
      </c>
      <c r="E50" s="159">
        <v>217500.0</v>
      </c>
      <c r="F50" s="159">
        <v>67791.0</v>
      </c>
      <c r="G50" s="160">
        <f t="shared" ref="G50:G51" si="8">H50-F50</f>
        <v>-65410</v>
      </c>
      <c r="H50" s="266">
        <f>sum('PENDATAAN PERUMAHAN'!E198:E220)</f>
        <v>2381</v>
      </c>
      <c r="I50" s="161">
        <f t="shared" ref="I50:I54" si="9">(H50-F50)/E50</f>
        <v>-0.3007356322</v>
      </c>
      <c r="J50" s="161">
        <f t="shared" ref="J50:J54" si="10">H50/E50</f>
        <v>0.01094712644</v>
      </c>
    </row>
    <row r="51">
      <c r="B51" s="27"/>
      <c r="C51" s="27"/>
      <c r="D51" s="158" t="s">
        <v>538</v>
      </c>
      <c r="E51" s="159">
        <v>300000.0</v>
      </c>
      <c r="F51" s="159">
        <v>0.0</v>
      </c>
      <c r="G51" s="160">
        <f t="shared" si="8"/>
        <v>0</v>
      </c>
      <c r="H51" s="160" t="str">
        <f>'PENDATAAN PERUMAHAN'!V243</f>
        <v/>
      </c>
      <c r="I51" s="161">
        <f t="shared" si="9"/>
        <v>0</v>
      </c>
      <c r="J51" s="161">
        <f t="shared" si="10"/>
        <v>0</v>
      </c>
    </row>
    <row r="52">
      <c r="B52" s="40"/>
      <c r="C52" s="40"/>
      <c r="D52" s="158" t="s">
        <v>541</v>
      </c>
      <c r="E52" s="159">
        <v>0.0</v>
      </c>
      <c r="F52" s="159">
        <v>0.0</v>
      </c>
      <c r="G52" s="160"/>
      <c r="H52" s="160" t="str">
        <f>'PENDATAAN PERUMAHAN'!W243</f>
        <v/>
      </c>
      <c r="I52" s="161" t="str">
        <f t="shared" si="9"/>
        <v>#DIV/0!</v>
      </c>
      <c r="J52" s="161" t="str">
        <f t="shared" si="10"/>
        <v>#DIV/0!</v>
      </c>
    </row>
    <row r="53">
      <c r="B53" s="193" t="s">
        <v>542</v>
      </c>
      <c r="C53" s="19"/>
      <c r="D53" s="20"/>
      <c r="E53" s="194">
        <f>E50+E51+E52</f>
        <v>517500</v>
      </c>
      <c r="F53" s="195">
        <f>SUM(F50:F52)</f>
        <v>67791</v>
      </c>
      <c r="G53" s="195">
        <f t="shared" ref="G53:G54" si="11">H53-F53</f>
        <v>-65410</v>
      </c>
      <c r="H53" s="195">
        <f>H50+H51+H52</f>
        <v>2381</v>
      </c>
      <c r="I53" s="186">
        <f t="shared" si="9"/>
        <v>-0.1263961353</v>
      </c>
      <c r="J53" s="186">
        <f t="shared" si="10"/>
        <v>0.004600966184</v>
      </c>
    </row>
    <row r="54">
      <c r="B54" s="197" t="s">
        <v>544</v>
      </c>
      <c r="C54" s="19"/>
      <c r="D54" s="20"/>
      <c r="E54" s="198">
        <f>E53+E48</f>
        <v>1518200</v>
      </c>
      <c r="F54" s="199">
        <f>F48+F53</f>
        <v>122392</v>
      </c>
      <c r="G54" s="200">
        <f t="shared" si="11"/>
        <v>-117811</v>
      </c>
      <c r="H54" s="199">
        <f>H53+H48</f>
        <v>4581</v>
      </c>
      <c r="I54" s="201">
        <f t="shared" si="9"/>
        <v>-0.07759913055</v>
      </c>
      <c r="J54" s="201">
        <f t="shared" si="10"/>
        <v>0.003017389013</v>
      </c>
    </row>
  </sheetData>
  <mergeCells count="31">
    <mergeCell ref="E14:E16"/>
    <mergeCell ref="F14:F16"/>
    <mergeCell ref="E17:E19"/>
    <mergeCell ref="F17:F19"/>
    <mergeCell ref="E20:E21"/>
    <mergeCell ref="F20:F21"/>
    <mergeCell ref="E22:E23"/>
    <mergeCell ref="F22:F23"/>
    <mergeCell ref="E24:E25"/>
    <mergeCell ref="F24:F25"/>
    <mergeCell ref="D5:D27"/>
    <mergeCell ref="E5:E7"/>
    <mergeCell ref="F5:F7"/>
    <mergeCell ref="E8:E10"/>
    <mergeCell ref="F8:F9"/>
    <mergeCell ref="E11:E13"/>
    <mergeCell ref="F11:F13"/>
    <mergeCell ref="B39:B47"/>
    <mergeCell ref="C39:C47"/>
    <mergeCell ref="B48:D48"/>
    <mergeCell ref="B50:B52"/>
    <mergeCell ref="C50:C52"/>
    <mergeCell ref="B53:D53"/>
    <mergeCell ref="B54:D54"/>
    <mergeCell ref="E26:E27"/>
    <mergeCell ref="F26:F27"/>
    <mergeCell ref="B30:B38"/>
    <mergeCell ref="C30:C33"/>
    <mergeCell ref="E32:E33"/>
    <mergeCell ref="C34:C35"/>
    <mergeCell ref="C36:C3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v>1.0</v>
      </c>
      <c r="B5" s="694" t="s">
        <v>1285</v>
      </c>
      <c r="C5" s="694" t="s">
        <v>302</v>
      </c>
      <c r="D5" s="695" t="s">
        <v>831</v>
      </c>
      <c r="E5" s="636" t="s">
        <v>1122</v>
      </c>
      <c r="F5" s="717" t="s">
        <v>1321</v>
      </c>
    </row>
    <row r="6">
      <c r="A6" s="693">
        <v>2.0</v>
      </c>
      <c r="B6" s="722"/>
      <c r="C6" s="694" t="s">
        <v>304</v>
      </c>
      <c r="D6" s="27"/>
      <c r="E6" s="697" t="s">
        <v>833</v>
      </c>
      <c r="F6" s="717" t="s">
        <v>1322</v>
      </c>
    </row>
    <row r="7">
      <c r="A7" s="693">
        <v>3.0</v>
      </c>
      <c r="B7" s="722"/>
      <c r="C7" s="694" t="s">
        <v>306</v>
      </c>
      <c r="D7" s="27"/>
      <c r="E7" s="697" t="s">
        <v>834</v>
      </c>
      <c r="F7" s="717" t="s">
        <v>1323</v>
      </c>
    </row>
    <row r="8" ht="31.5" customHeight="1">
      <c r="A8" s="693">
        <v>4.0</v>
      </c>
      <c r="B8" s="722"/>
      <c r="C8" s="694" t="s">
        <v>309</v>
      </c>
      <c r="D8" s="27"/>
      <c r="E8" s="697" t="s">
        <v>835</v>
      </c>
      <c r="F8" s="717" t="s">
        <v>1324</v>
      </c>
    </row>
    <row r="9">
      <c r="A9" s="693">
        <v>5.0</v>
      </c>
      <c r="B9" s="694"/>
      <c r="C9" s="694" t="s">
        <v>311</v>
      </c>
      <c r="D9" s="27"/>
      <c r="E9" s="697" t="s">
        <v>836</v>
      </c>
      <c r="F9" s="717" t="s">
        <v>1325</v>
      </c>
    </row>
    <row r="10">
      <c r="A10" s="714"/>
      <c r="B10" s="723"/>
      <c r="C10" s="694" t="s">
        <v>313</v>
      </c>
      <c r="D10" s="40"/>
      <c r="E10" s="697" t="s">
        <v>837</v>
      </c>
      <c r="F10" s="717" t="s">
        <v>1326</v>
      </c>
    </row>
    <row r="11">
      <c r="A11" s="690"/>
      <c r="B11" s="690"/>
      <c r="C11" s="690"/>
      <c r="D11" s="690"/>
      <c r="E11" s="690"/>
    </row>
    <row r="12">
      <c r="A12" s="690"/>
      <c r="B12" s="151" t="s">
        <v>494</v>
      </c>
      <c r="C12" s="152" t="s">
        <v>495</v>
      </c>
      <c r="D12" s="152" t="s">
        <v>15</v>
      </c>
      <c r="E12" s="152" t="s">
        <v>496</v>
      </c>
      <c r="F12" s="152" t="s">
        <v>497</v>
      </c>
      <c r="G12" s="152" t="s">
        <v>498</v>
      </c>
      <c r="H12" s="152" t="s">
        <v>499</v>
      </c>
      <c r="I12" s="152" t="s">
        <v>500</v>
      </c>
      <c r="J12" s="152" t="s">
        <v>501</v>
      </c>
    </row>
    <row r="13">
      <c r="A13" s="690"/>
      <c r="B13" s="156" t="s">
        <v>2</v>
      </c>
      <c r="C13" s="157" t="s">
        <v>505</v>
      </c>
      <c r="D13" s="158" t="s">
        <v>506</v>
      </c>
      <c r="E13" s="159">
        <v>518.0</v>
      </c>
      <c r="F13" s="159">
        <v>0.0</v>
      </c>
      <c r="G13" s="160">
        <f t="shared" ref="G13:G30" si="1">H13-F13</f>
        <v>0</v>
      </c>
      <c r="H13" s="266">
        <f>sum('PENDATAAN PERUMAHAN'!J134:J139)</f>
        <v>0</v>
      </c>
      <c r="I13" s="161">
        <f>(H13-F13)/E13</f>
        <v>0</v>
      </c>
      <c r="J13" s="161" t="str">
        <f t="shared" ref="J13:J14" si="2">H13/$E$2</f>
        <v>#DIV/0!</v>
      </c>
    </row>
    <row r="14">
      <c r="B14" s="27"/>
      <c r="C14" s="27"/>
      <c r="D14" s="164" t="s">
        <v>508</v>
      </c>
      <c r="E14" s="159">
        <v>0.0</v>
      </c>
      <c r="F14" s="159">
        <v>138.0</v>
      </c>
      <c r="G14" s="160">
        <f t="shared" si="1"/>
        <v>-129</v>
      </c>
      <c r="H14" s="266">
        <f>sum('PENDATAAN PERUMAHAN'!K134:K139)</f>
        <v>9</v>
      </c>
      <c r="I14" s="161"/>
      <c r="J14" s="161" t="str">
        <f t="shared" si="2"/>
        <v>#DIV/0!</v>
      </c>
    </row>
    <row r="15">
      <c r="B15" s="27"/>
      <c r="C15" s="27"/>
      <c r="D15" s="164" t="s">
        <v>25</v>
      </c>
      <c r="E15" s="166">
        <v>2500.0</v>
      </c>
      <c r="F15" s="159">
        <v>4668.0</v>
      </c>
      <c r="G15" s="160">
        <f t="shared" si="1"/>
        <v>-4664</v>
      </c>
      <c r="H15" s="266">
        <f>sum('PENDATAAN PERUMAHAN'!M134:M139)</f>
        <v>4</v>
      </c>
      <c r="I15" s="161">
        <f>(H15-F15)/E15</f>
        <v>-1.8656</v>
      </c>
      <c r="J15" s="161">
        <f>H15/E15</f>
        <v>0.0016</v>
      </c>
    </row>
    <row r="16">
      <c r="B16" s="27"/>
      <c r="C16" s="40"/>
      <c r="D16" s="164" t="s">
        <v>24</v>
      </c>
      <c r="E16" s="40"/>
      <c r="F16" s="159">
        <v>407.0</v>
      </c>
      <c r="G16" s="160">
        <f t="shared" si="1"/>
        <v>-407</v>
      </c>
      <c r="H16" s="266">
        <f>sum('PENDATAAN PERUMAHAN'!L134:L139)</f>
        <v>0</v>
      </c>
      <c r="I16" s="161"/>
      <c r="J16" s="161"/>
    </row>
    <row r="17">
      <c r="B17" s="27"/>
      <c r="C17" s="157" t="s">
        <v>13</v>
      </c>
      <c r="D17" s="164" t="s">
        <v>512</v>
      </c>
      <c r="E17" s="159">
        <v>160000.0</v>
      </c>
      <c r="F17" s="159">
        <v>11206.0</v>
      </c>
      <c r="G17" s="160">
        <f t="shared" si="1"/>
        <v>-9020</v>
      </c>
      <c r="H17" s="266">
        <f>sum('PENDATAAN PERUMAHAN'!F134:F139)</f>
        <v>2186</v>
      </c>
      <c r="I17" s="161">
        <f t="shared" ref="I17:I20" si="3">(H17-F17)/E17</f>
        <v>-0.056375</v>
      </c>
      <c r="J17" s="161">
        <f t="shared" ref="J17:J26" si="4">H17/E17</f>
        <v>0.0136625</v>
      </c>
    </row>
    <row r="18">
      <c r="B18" s="27"/>
      <c r="C18" s="40"/>
      <c r="D18" s="164" t="s">
        <v>514</v>
      </c>
      <c r="E18" s="159">
        <v>80000.0</v>
      </c>
      <c r="F18" s="159">
        <v>346.0</v>
      </c>
      <c r="G18" s="160">
        <f t="shared" si="1"/>
        <v>-346</v>
      </c>
      <c r="H18" s="266">
        <f>sum('PENDATAAN PERUMAHAN'!G134:G139)</f>
        <v>0</v>
      </c>
      <c r="I18" s="161">
        <f t="shared" si="3"/>
        <v>-0.004325</v>
      </c>
      <c r="J18" s="161">
        <f t="shared" si="4"/>
        <v>0</v>
      </c>
    </row>
    <row r="19">
      <c r="B19" s="27"/>
      <c r="C19" s="157" t="s">
        <v>14</v>
      </c>
      <c r="D19" s="158" t="s">
        <v>21</v>
      </c>
      <c r="E19" s="159">
        <v>197500.0</v>
      </c>
      <c r="F19" s="159">
        <v>6706.0</v>
      </c>
      <c r="G19" s="160">
        <f t="shared" si="1"/>
        <v>-6670</v>
      </c>
      <c r="H19" s="266">
        <f>sum('PENDATAAN PERUMAHAN'!H134:H139)</f>
        <v>36</v>
      </c>
      <c r="I19" s="161">
        <f t="shared" si="3"/>
        <v>-0.0337721519</v>
      </c>
      <c r="J19" s="161">
        <f t="shared" si="4"/>
        <v>0.000182278481</v>
      </c>
    </row>
    <row r="20">
      <c r="B20" s="27"/>
      <c r="C20" s="27"/>
      <c r="D20" s="158" t="s">
        <v>517</v>
      </c>
      <c r="E20" s="166">
        <v>850.0</v>
      </c>
      <c r="F20" s="166">
        <v>397.0</v>
      </c>
      <c r="G20" s="160">
        <f t="shared" si="1"/>
        <v>-397</v>
      </c>
      <c r="H20" s="266">
        <f>sum('PENDATAAN PERUMAHAN'!I134:I139)</f>
        <v>0</v>
      </c>
      <c r="I20" s="161">
        <f t="shared" si="3"/>
        <v>-0.4670588235</v>
      </c>
      <c r="J20" s="161">
        <f t="shared" si="4"/>
        <v>0</v>
      </c>
    </row>
    <row r="21">
      <c r="B21" s="40"/>
      <c r="C21" s="40"/>
      <c r="D21" s="171" t="s">
        <v>519</v>
      </c>
      <c r="E21" s="166">
        <v>50.0</v>
      </c>
      <c r="F21" s="166">
        <v>16.0</v>
      </c>
      <c r="G21" s="160">
        <f t="shared" si="1"/>
        <v>-16</v>
      </c>
      <c r="H21" s="283"/>
      <c r="I21" s="161"/>
      <c r="J21" s="161">
        <f t="shared" si="4"/>
        <v>0</v>
      </c>
    </row>
    <row r="22">
      <c r="B22" s="156" t="s">
        <v>521</v>
      </c>
      <c r="C22" s="157" t="s">
        <v>522</v>
      </c>
      <c r="D22" s="171" t="s">
        <v>506</v>
      </c>
      <c r="E22" s="159">
        <v>15110.0</v>
      </c>
      <c r="F22" s="166">
        <v>0.0</v>
      </c>
      <c r="G22" s="160">
        <f t="shared" si="1"/>
        <v>0</v>
      </c>
      <c r="H22" s="266">
        <f>sum('PENDATAAN PERUMAHAN'!N134:N139)</f>
        <v>0</v>
      </c>
      <c r="I22" s="161">
        <f>(H22-F22)/E22</f>
        <v>0</v>
      </c>
      <c r="J22" s="161">
        <f t="shared" si="4"/>
        <v>0</v>
      </c>
    </row>
    <row r="23">
      <c r="B23" s="27"/>
      <c r="C23" s="27"/>
      <c r="D23" s="171" t="s">
        <v>508</v>
      </c>
      <c r="E23" s="159">
        <v>100.0</v>
      </c>
      <c r="F23" s="166">
        <v>848.0</v>
      </c>
      <c r="G23" s="160">
        <f t="shared" si="1"/>
        <v>-769</v>
      </c>
      <c r="H23" s="266">
        <f>sum('PENDATAAN PERUMAHAN'!O134:O139)</f>
        <v>79</v>
      </c>
      <c r="I23" s="161"/>
      <c r="J23" s="161">
        <f t="shared" si="4"/>
        <v>0.79</v>
      </c>
    </row>
    <row r="24">
      <c r="B24" s="27"/>
      <c r="C24" s="27"/>
      <c r="D24" s="171" t="s">
        <v>525</v>
      </c>
      <c r="E24" s="159">
        <v>675.0</v>
      </c>
      <c r="F24" s="159">
        <v>0.0</v>
      </c>
      <c r="G24" s="160">
        <f t="shared" si="1"/>
        <v>0</v>
      </c>
      <c r="H24" s="266">
        <f>sum('PENDATAAN PERUMAHAN'!P134:P139)</f>
        <v>0</v>
      </c>
      <c r="I24" s="161">
        <f t="shared" ref="I24:I29" si="5">(H24-F24)/E24</f>
        <v>0</v>
      </c>
      <c r="J24" s="161">
        <f t="shared" si="4"/>
        <v>0</v>
      </c>
    </row>
    <row r="25">
      <c r="B25" s="27"/>
      <c r="C25" s="27"/>
      <c r="D25" s="171" t="s">
        <v>25</v>
      </c>
      <c r="E25" s="159">
        <v>13500.0</v>
      </c>
      <c r="F25" s="159">
        <v>24219.0</v>
      </c>
      <c r="G25" s="160">
        <f t="shared" si="1"/>
        <v>-23032</v>
      </c>
      <c r="H25" s="266">
        <f>sum('PENDATAAN PERUMAHAN'!R134:R139)</f>
        <v>1187</v>
      </c>
      <c r="I25" s="161">
        <f t="shared" si="5"/>
        <v>-1.706074074</v>
      </c>
      <c r="J25" s="161">
        <f t="shared" si="4"/>
        <v>0.08792592593</v>
      </c>
    </row>
    <row r="26">
      <c r="B26" s="27"/>
      <c r="C26" s="27"/>
      <c r="D26" s="158" t="s">
        <v>24</v>
      </c>
      <c r="E26" s="159">
        <v>42200.0</v>
      </c>
      <c r="F26" s="159">
        <v>2272.0</v>
      </c>
      <c r="G26" s="160">
        <f t="shared" si="1"/>
        <v>-1552</v>
      </c>
      <c r="H26" s="266">
        <f>sum('PENDATAAN PERUMAHAN'!Q134:Q139)</f>
        <v>720</v>
      </c>
      <c r="I26" s="161">
        <f t="shared" si="5"/>
        <v>-0.03677725118</v>
      </c>
      <c r="J26" s="161">
        <f t="shared" si="4"/>
        <v>0.01706161137</v>
      </c>
    </row>
    <row r="27">
      <c r="B27" s="27"/>
      <c r="C27" s="27"/>
      <c r="D27" s="158" t="s">
        <v>28</v>
      </c>
      <c r="E27" s="159">
        <v>0.0</v>
      </c>
      <c r="F27" s="159">
        <v>0.0</v>
      </c>
      <c r="G27" s="160">
        <f t="shared" si="1"/>
        <v>0</v>
      </c>
      <c r="H27" s="266">
        <f>sum('PENDATAAN PERUMAHAN'!T134:T139)</f>
        <v>0</v>
      </c>
      <c r="I27" s="161" t="str">
        <f t="shared" si="5"/>
        <v>#DIV/0!</v>
      </c>
      <c r="J27" s="161">
        <f>H27/36</f>
        <v>0</v>
      </c>
    </row>
    <row r="28">
      <c r="B28" s="27"/>
      <c r="C28" s="27"/>
      <c r="D28" s="158" t="s">
        <v>517</v>
      </c>
      <c r="E28" s="159">
        <v>600.0</v>
      </c>
      <c r="F28" s="159">
        <v>2104.0</v>
      </c>
      <c r="G28" s="160">
        <f t="shared" si="1"/>
        <v>-1820</v>
      </c>
      <c r="H28" s="266">
        <f>sum('PENDATAAN PERUMAHAN'!S134:S139)</f>
        <v>284</v>
      </c>
      <c r="I28" s="161">
        <f t="shared" si="5"/>
        <v>-3.033333333</v>
      </c>
      <c r="J28" s="161">
        <f t="shared" ref="J28:J31" si="6">H28/E28</f>
        <v>0.4733333333</v>
      </c>
    </row>
    <row r="29">
      <c r="B29" s="27"/>
      <c r="C29" s="27"/>
      <c r="D29" s="158" t="s">
        <v>29</v>
      </c>
      <c r="E29" s="159">
        <v>486897.0</v>
      </c>
      <c r="F29" s="159">
        <v>1105.0</v>
      </c>
      <c r="G29" s="160">
        <f t="shared" si="1"/>
        <v>-1000</v>
      </c>
      <c r="H29" s="266">
        <f>sum('PENDATAAN PERUMAHAN'!U134:U139)</f>
        <v>105</v>
      </c>
      <c r="I29" s="161">
        <f t="shared" si="5"/>
        <v>-0.002053822472</v>
      </c>
      <c r="J29" s="161">
        <f t="shared" si="6"/>
        <v>0.0002156513595</v>
      </c>
    </row>
    <row r="30">
      <c r="B30" s="40"/>
      <c r="C30" s="40"/>
      <c r="D30" s="174" t="s">
        <v>519</v>
      </c>
      <c r="E30" s="175">
        <v>200.0</v>
      </c>
      <c r="F30" s="175">
        <v>169.0</v>
      </c>
      <c r="G30" s="698">
        <f t="shared" si="1"/>
        <v>-169</v>
      </c>
      <c r="H30" s="283"/>
      <c r="I30" s="175"/>
      <c r="J30" s="161">
        <f t="shared" si="6"/>
        <v>0</v>
      </c>
    </row>
    <row r="31">
      <c r="B31" s="182" t="s">
        <v>533</v>
      </c>
      <c r="C31" s="183"/>
      <c r="D31" s="31"/>
      <c r="E31" s="184">
        <f t="shared" ref="E31:F31" si="7">SUM(E13:E30)</f>
        <v>1000700</v>
      </c>
      <c r="F31" s="184">
        <f t="shared" si="7"/>
        <v>54601</v>
      </c>
      <c r="G31" s="185"/>
      <c r="H31" s="185">
        <f>SUM(H13:H30)</f>
        <v>4610</v>
      </c>
      <c r="I31" s="186">
        <f>(H31-F31)/E31</f>
        <v>-0.04995603078</v>
      </c>
      <c r="J31" s="186">
        <f t="shared" si="6"/>
        <v>0.004606775257</v>
      </c>
    </row>
    <row r="32">
      <c r="B32" s="187"/>
      <c r="C32" s="188"/>
      <c r="D32" s="189"/>
      <c r="E32" s="159"/>
      <c r="F32" s="160"/>
      <c r="G32" s="160"/>
      <c r="H32" s="283"/>
      <c r="I32" s="161"/>
      <c r="J32" s="161"/>
    </row>
    <row r="33">
      <c r="B33" s="156" t="s">
        <v>6</v>
      </c>
      <c r="C33" s="157" t="s">
        <v>8</v>
      </c>
      <c r="D33" s="158" t="s">
        <v>536</v>
      </c>
      <c r="E33" s="159">
        <v>217500.0</v>
      </c>
      <c r="F33" s="159">
        <v>67791.0</v>
      </c>
      <c r="G33" s="160">
        <f t="shared" ref="G33:G34" si="8">H33-F33</f>
        <v>-59928</v>
      </c>
      <c r="H33" s="266">
        <f>sum('PENDATAAN PERUMAHAN'!E134:E139)</f>
        <v>7863</v>
      </c>
      <c r="I33" s="161">
        <f t="shared" ref="I33:I37" si="9">(H33-F33)/E33</f>
        <v>-0.2755310345</v>
      </c>
      <c r="J33" s="161">
        <f t="shared" ref="J33:J37" si="10">H33/E33</f>
        <v>0.03615172414</v>
      </c>
    </row>
    <row r="34">
      <c r="B34" s="27"/>
      <c r="C34" s="27"/>
      <c r="D34" s="158" t="s">
        <v>538</v>
      </c>
      <c r="E34" s="159">
        <v>300000.0</v>
      </c>
      <c r="F34" s="159">
        <v>0.0</v>
      </c>
      <c r="G34" s="160">
        <f t="shared" si="8"/>
        <v>0</v>
      </c>
      <c r="H34" s="160" t="str">
        <f>'PENDATAAN PERUMAHAN'!V243</f>
        <v/>
      </c>
      <c r="I34" s="161">
        <f t="shared" si="9"/>
        <v>0</v>
      </c>
      <c r="J34" s="161">
        <f t="shared" si="10"/>
        <v>0</v>
      </c>
    </row>
    <row r="35">
      <c r="B35" s="40"/>
      <c r="C35" s="40"/>
      <c r="D35" s="158" t="s">
        <v>541</v>
      </c>
      <c r="E35" s="159">
        <v>0.0</v>
      </c>
      <c r="F35" s="159">
        <v>0.0</v>
      </c>
      <c r="G35" s="160"/>
      <c r="H35" s="160" t="str">
        <f>'PENDATAAN PERUMAHAN'!W243</f>
        <v/>
      </c>
      <c r="I35" s="161" t="str">
        <f t="shared" si="9"/>
        <v>#DIV/0!</v>
      </c>
      <c r="J35" s="161" t="str">
        <f t="shared" si="10"/>
        <v>#DIV/0!</v>
      </c>
    </row>
    <row r="36">
      <c r="B36" s="193" t="s">
        <v>542</v>
      </c>
      <c r="C36" s="19"/>
      <c r="D36" s="20"/>
      <c r="E36" s="194">
        <f>E33+E34+E35</f>
        <v>517500</v>
      </c>
      <c r="F36" s="195">
        <f>SUM(F33:F35)</f>
        <v>67791</v>
      </c>
      <c r="G36" s="195">
        <f t="shared" ref="G36:G37" si="11">H36-F36</f>
        <v>-59928</v>
      </c>
      <c r="H36" s="195">
        <f>H33+H34+H35</f>
        <v>7863</v>
      </c>
      <c r="I36" s="186">
        <f t="shared" si="9"/>
        <v>-0.1158028986</v>
      </c>
      <c r="J36" s="186">
        <f t="shared" si="10"/>
        <v>0.0151942029</v>
      </c>
    </row>
    <row r="37">
      <c r="B37" s="197" t="s">
        <v>544</v>
      </c>
      <c r="C37" s="19"/>
      <c r="D37" s="20"/>
      <c r="E37" s="198">
        <f>E36+E31</f>
        <v>1518200</v>
      </c>
      <c r="F37" s="199">
        <f>F31+F36</f>
        <v>122392</v>
      </c>
      <c r="G37" s="200">
        <f t="shared" si="11"/>
        <v>-109919</v>
      </c>
      <c r="H37" s="199">
        <f>H36+H31</f>
        <v>12473</v>
      </c>
      <c r="I37" s="201">
        <f t="shared" si="9"/>
        <v>-0.07240086945</v>
      </c>
      <c r="J37" s="201">
        <f t="shared" si="10"/>
        <v>0.008215650112</v>
      </c>
    </row>
  </sheetData>
  <mergeCells count="13">
    <mergeCell ref="C22:C30"/>
    <mergeCell ref="B31:D31"/>
    <mergeCell ref="B33:B35"/>
    <mergeCell ref="C33:C35"/>
    <mergeCell ref="B36:D36"/>
    <mergeCell ref="B37:D37"/>
    <mergeCell ref="D5:D10"/>
    <mergeCell ref="B13:B21"/>
    <mergeCell ref="C13:C16"/>
    <mergeCell ref="E15:E16"/>
    <mergeCell ref="C17:C18"/>
    <mergeCell ref="C19:C21"/>
    <mergeCell ref="B22:B3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c r="B5" s="694" t="s">
        <v>1327</v>
      </c>
      <c r="C5" s="694" t="s">
        <v>35</v>
      </c>
      <c r="D5" s="695" t="s">
        <v>732</v>
      </c>
      <c r="E5" s="695" t="s">
        <v>733</v>
      </c>
      <c r="F5" s="696"/>
    </row>
    <row r="6">
      <c r="A6" s="693"/>
      <c r="B6" s="694"/>
      <c r="C6" s="694" t="s">
        <v>37</v>
      </c>
      <c r="D6" s="27"/>
      <c r="E6" s="27"/>
      <c r="F6" s="696"/>
    </row>
    <row r="7">
      <c r="A7" s="693"/>
      <c r="B7" s="694"/>
      <c r="C7" s="694" t="s">
        <v>38</v>
      </c>
      <c r="D7" s="27"/>
      <c r="E7" s="40"/>
      <c r="F7" s="696"/>
    </row>
    <row r="8">
      <c r="A8" s="693"/>
      <c r="B8" s="694"/>
      <c r="C8" s="694" t="s">
        <v>39</v>
      </c>
      <c r="D8" s="27"/>
      <c r="E8" s="587" t="s">
        <v>741</v>
      </c>
      <c r="F8" s="696"/>
    </row>
    <row r="9">
      <c r="A9" s="693"/>
      <c r="B9" s="694"/>
      <c r="C9" s="694" t="s">
        <v>42</v>
      </c>
      <c r="D9" s="27"/>
      <c r="E9" s="27"/>
      <c r="F9" s="696"/>
    </row>
    <row r="10">
      <c r="A10" s="693"/>
      <c r="B10" s="694"/>
      <c r="C10" s="694" t="s">
        <v>43</v>
      </c>
      <c r="D10" s="27"/>
      <c r="E10" s="40"/>
      <c r="F10" s="696"/>
    </row>
    <row r="11">
      <c r="A11" s="693"/>
      <c r="B11" s="694"/>
      <c r="C11" s="694" t="s">
        <v>44</v>
      </c>
      <c r="D11" s="27"/>
      <c r="E11" s="587" t="s">
        <v>742</v>
      </c>
      <c r="F11" s="696"/>
    </row>
    <row r="12">
      <c r="A12" s="693"/>
      <c r="B12" s="694"/>
      <c r="C12" s="694" t="s">
        <v>47</v>
      </c>
      <c r="D12" s="27"/>
      <c r="E12" s="27"/>
      <c r="F12" s="696"/>
    </row>
    <row r="13">
      <c r="A13" s="693"/>
      <c r="B13" s="694" t="s">
        <v>1328</v>
      </c>
      <c r="C13" s="694" t="s">
        <v>49</v>
      </c>
      <c r="D13" s="27"/>
      <c r="E13" s="40"/>
      <c r="F13" s="696"/>
    </row>
    <row r="14">
      <c r="A14" s="693"/>
      <c r="B14" s="694"/>
      <c r="C14" s="694" t="s">
        <v>50</v>
      </c>
      <c r="D14" s="27"/>
      <c r="E14" s="587" t="s">
        <v>743</v>
      </c>
      <c r="F14" s="696"/>
    </row>
    <row r="15">
      <c r="A15" s="693"/>
      <c r="B15" s="694"/>
      <c r="C15" s="694" t="s">
        <v>51</v>
      </c>
      <c r="D15" s="27"/>
      <c r="E15" s="27"/>
      <c r="F15" s="696"/>
    </row>
    <row r="16">
      <c r="A16" s="693"/>
      <c r="B16" s="694"/>
      <c r="C16" s="694" t="s">
        <v>52</v>
      </c>
      <c r="D16" s="27"/>
      <c r="E16" s="40"/>
      <c r="F16" s="696"/>
    </row>
    <row r="17">
      <c r="A17" s="693"/>
      <c r="B17" s="694"/>
      <c r="C17" s="694" t="s">
        <v>54</v>
      </c>
      <c r="D17" s="27"/>
      <c r="E17" s="587" t="s">
        <v>1329</v>
      </c>
      <c r="F17" s="696"/>
    </row>
    <row r="18">
      <c r="A18" s="693"/>
      <c r="B18" s="694"/>
      <c r="C18" s="694" t="s">
        <v>56</v>
      </c>
      <c r="D18" s="27"/>
      <c r="E18" s="27"/>
      <c r="F18" s="696"/>
    </row>
    <row r="19">
      <c r="A19" s="693"/>
      <c r="B19" s="694"/>
      <c r="C19" s="694" t="s">
        <v>57</v>
      </c>
      <c r="D19" s="27"/>
      <c r="E19" s="40"/>
      <c r="F19" s="696"/>
    </row>
    <row r="20">
      <c r="A20" s="693"/>
      <c r="B20" s="694"/>
      <c r="C20" s="694" t="s">
        <v>58</v>
      </c>
      <c r="D20" s="27"/>
      <c r="E20" s="587" t="s">
        <v>1330</v>
      </c>
      <c r="F20" s="696"/>
    </row>
    <row r="21">
      <c r="A21" s="693"/>
      <c r="B21" s="694"/>
      <c r="C21" s="694" t="s">
        <v>59</v>
      </c>
      <c r="D21" s="27"/>
      <c r="E21" s="27"/>
      <c r="F21" s="696"/>
    </row>
    <row r="22">
      <c r="A22" s="693"/>
      <c r="B22" s="694"/>
      <c r="C22" s="694" t="s">
        <v>60</v>
      </c>
      <c r="D22" s="40"/>
      <c r="E22" s="40"/>
      <c r="F22" s="696"/>
    </row>
    <row r="23">
      <c r="A23" s="690"/>
      <c r="B23" s="690"/>
      <c r="C23" s="690"/>
      <c r="D23" s="690"/>
      <c r="E23" s="690"/>
    </row>
    <row r="24">
      <c r="A24" s="690"/>
      <c r="B24" s="151" t="s">
        <v>494</v>
      </c>
      <c r="C24" s="152" t="s">
        <v>495</v>
      </c>
      <c r="D24" s="152" t="s">
        <v>15</v>
      </c>
      <c r="E24" s="152" t="s">
        <v>496</v>
      </c>
      <c r="F24" s="152" t="s">
        <v>497</v>
      </c>
      <c r="G24" s="152" t="s">
        <v>498</v>
      </c>
      <c r="H24" s="152" t="s">
        <v>499</v>
      </c>
      <c r="I24" s="152" t="s">
        <v>500</v>
      </c>
      <c r="J24" s="152" t="s">
        <v>501</v>
      </c>
    </row>
    <row r="25">
      <c r="A25" s="690"/>
      <c r="B25" s="156" t="s">
        <v>2</v>
      </c>
      <c r="C25" s="157" t="s">
        <v>505</v>
      </c>
      <c r="D25" s="158" t="s">
        <v>506</v>
      </c>
      <c r="E25" s="159">
        <v>518.0</v>
      </c>
      <c r="F25" s="159">
        <v>0.0</v>
      </c>
      <c r="G25" s="160">
        <f t="shared" ref="G25:G42" si="1">H25-F25</f>
        <v>0</v>
      </c>
      <c r="H25" s="160">
        <f>sum('PENDATAAN PERUMAHAN'!J8:J25)</f>
        <v>0</v>
      </c>
      <c r="I25" s="161">
        <f>(H25-F25)/E25</f>
        <v>0</v>
      </c>
      <c r="J25" s="161" t="str">
        <f t="shared" ref="J25:J26" si="2">H25/$E$2</f>
        <v>#DIV/0!</v>
      </c>
    </row>
    <row r="26">
      <c r="B26" s="27"/>
      <c r="C26" s="27"/>
      <c r="D26" s="164" t="s">
        <v>508</v>
      </c>
      <c r="E26" s="159">
        <v>0.0</v>
      </c>
      <c r="F26" s="159">
        <v>138.0</v>
      </c>
      <c r="G26" s="160">
        <f t="shared" si="1"/>
        <v>-132</v>
      </c>
      <c r="H26" s="266">
        <f>sum('PENDATAAN PERUMAHAN'!K8:K25)</f>
        <v>6</v>
      </c>
      <c r="I26" s="161"/>
      <c r="J26" s="161" t="str">
        <f t="shared" si="2"/>
        <v>#DIV/0!</v>
      </c>
    </row>
    <row r="27">
      <c r="B27" s="27"/>
      <c r="C27" s="27"/>
      <c r="D27" s="164" t="s">
        <v>25</v>
      </c>
      <c r="E27" s="166">
        <v>2500.0</v>
      </c>
      <c r="F27" s="159">
        <v>4668.0</v>
      </c>
      <c r="G27" s="160">
        <f t="shared" si="1"/>
        <v>-4427</v>
      </c>
      <c r="H27" s="266">
        <f>sum('PENDATAAN PERUMAHAN'!M8:M25)</f>
        <v>241</v>
      </c>
      <c r="I27" s="161">
        <f>(H27-F27)/E27</f>
        <v>-1.7708</v>
      </c>
      <c r="J27" s="161">
        <f>H27/E27</f>
        <v>0.0964</v>
      </c>
    </row>
    <row r="28">
      <c r="B28" s="27"/>
      <c r="C28" s="40"/>
      <c r="D28" s="164" t="s">
        <v>24</v>
      </c>
      <c r="E28" s="40"/>
      <c r="F28" s="159">
        <v>407.0</v>
      </c>
      <c r="G28" s="160">
        <f t="shared" si="1"/>
        <v>-364</v>
      </c>
      <c r="H28" s="266">
        <f>sum('PENDATAAN PERUMAHAN'!L8:L25)</f>
        <v>43</v>
      </c>
      <c r="I28" s="161"/>
      <c r="J28" s="161"/>
    </row>
    <row r="29">
      <c r="B29" s="27"/>
      <c r="C29" s="157" t="s">
        <v>13</v>
      </c>
      <c r="D29" s="164" t="s">
        <v>512</v>
      </c>
      <c r="E29" s="159">
        <v>160000.0</v>
      </c>
      <c r="F29" s="159">
        <v>11206.0</v>
      </c>
      <c r="G29" s="160">
        <f t="shared" si="1"/>
        <v>-10431</v>
      </c>
      <c r="H29" s="266">
        <f>sum('PENDATAAN PERUMAHAN'!F8:F25)</f>
        <v>775</v>
      </c>
      <c r="I29" s="161">
        <f t="shared" ref="I29:I32" si="3">(H29-F29)/E29</f>
        <v>-0.06519375</v>
      </c>
      <c r="J29" s="161">
        <f t="shared" ref="J29:J38" si="4">H29/E29</f>
        <v>0.00484375</v>
      </c>
    </row>
    <row r="30">
      <c r="B30" s="27"/>
      <c r="C30" s="40"/>
      <c r="D30" s="164" t="s">
        <v>514</v>
      </c>
      <c r="E30" s="159">
        <v>80000.0</v>
      </c>
      <c r="F30" s="159">
        <v>346.0</v>
      </c>
      <c r="G30" s="160">
        <f t="shared" si="1"/>
        <v>-346</v>
      </c>
      <c r="H30" s="266">
        <f>sum('PENDATAAN PERUMAHAN'!G8:G25)</f>
        <v>0</v>
      </c>
      <c r="I30" s="161">
        <f t="shared" si="3"/>
        <v>-0.004325</v>
      </c>
      <c r="J30" s="161">
        <f t="shared" si="4"/>
        <v>0</v>
      </c>
    </row>
    <row r="31">
      <c r="B31" s="27"/>
      <c r="C31" s="157" t="s">
        <v>14</v>
      </c>
      <c r="D31" s="158" t="s">
        <v>21</v>
      </c>
      <c r="E31" s="159">
        <v>197500.0</v>
      </c>
      <c r="F31" s="159">
        <v>6706.0</v>
      </c>
      <c r="G31" s="160">
        <f t="shared" si="1"/>
        <v>-5686</v>
      </c>
      <c r="H31" s="266">
        <f>sum('PENDATAAN PERUMAHAN'!H8:H25)</f>
        <v>1020</v>
      </c>
      <c r="I31" s="161">
        <f t="shared" si="3"/>
        <v>-0.02878987342</v>
      </c>
      <c r="J31" s="161">
        <f t="shared" si="4"/>
        <v>0.005164556962</v>
      </c>
    </row>
    <row r="32">
      <c r="B32" s="27"/>
      <c r="C32" s="27"/>
      <c r="D32" s="158" t="s">
        <v>517</v>
      </c>
      <c r="E32" s="166">
        <v>850.0</v>
      </c>
      <c r="F32" s="166">
        <v>397.0</v>
      </c>
      <c r="G32" s="160">
        <f t="shared" si="1"/>
        <v>-320</v>
      </c>
      <c r="H32" s="266">
        <f>sum('PENDATAAN PERUMAHAN'!I8:I25)</f>
        <v>77</v>
      </c>
      <c r="I32" s="161">
        <f t="shared" si="3"/>
        <v>-0.3764705882</v>
      </c>
      <c r="J32" s="161">
        <f t="shared" si="4"/>
        <v>0.09058823529</v>
      </c>
    </row>
    <row r="33">
      <c r="B33" s="40"/>
      <c r="C33" s="40"/>
      <c r="D33" s="171" t="s">
        <v>519</v>
      </c>
      <c r="E33" s="166">
        <v>50.0</v>
      </c>
      <c r="F33" s="166">
        <v>16.0</v>
      </c>
      <c r="G33" s="160">
        <f t="shared" si="1"/>
        <v>-16</v>
      </c>
      <c r="H33" s="283"/>
      <c r="I33" s="161"/>
      <c r="J33" s="161">
        <f t="shared" si="4"/>
        <v>0</v>
      </c>
    </row>
    <row r="34">
      <c r="B34" s="156" t="s">
        <v>521</v>
      </c>
      <c r="C34" s="157" t="s">
        <v>522</v>
      </c>
      <c r="D34" s="171" t="s">
        <v>506</v>
      </c>
      <c r="E34" s="159">
        <v>15110.0</v>
      </c>
      <c r="F34" s="166">
        <v>0.0</v>
      </c>
      <c r="G34" s="160">
        <f t="shared" si="1"/>
        <v>0</v>
      </c>
      <c r="H34" s="266">
        <f>sum('PENDATAAN PERUMAHAN'!N8:N25)</f>
        <v>0</v>
      </c>
      <c r="I34" s="161">
        <f>(H34-F34)/E34</f>
        <v>0</v>
      </c>
      <c r="J34" s="161">
        <f t="shared" si="4"/>
        <v>0</v>
      </c>
    </row>
    <row r="35">
      <c r="B35" s="27"/>
      <c r="C35" s="27"/>
      <c r="D35" s="171" t="s">
        <v>508</v>
      </c>
      <c r="E35" s="159">
        <v>100.0</v>
      </c>
      <c r="F35" s="166">
        <v>848.0</v>
      </c>
      <c r="G35" s="160">
        <f t="shared" si="1"/>
        <v>-848</v>
      </c>
      <c r="H35" s="266">
        <f>sum('PENDATAAN PERUMAHAN'!O8:O25)</f>
        <v>0</v>
      </c>
      <c r="I35" s="161"/>
      <c r="J35" s="161">
        <f t="shared" si="4"/>
        <v>0</v>
      </c>
    </row>
    <row r="36">
      <c r="B36" s="27"/>
      <c r="C36" s="27"/>
      <c r="D36" s="171" t="s">
        <v>525</v>
      </c>
      <c r="E36" s="159">
        <v>675.0</v>
      </c>
      <c r="F36" s="159">
        <v>0.0</v>
      </c>
      <c r="G36" s="160">
        <f t="shared" si="1"/>
        <v>0</v>
      </c>
      <c r="H36" s="266">
        <f>sum('PENDATAAN PERUMAHAN'!P8:P25)</f>
        <v>0</v>
      </c>
      <c r="I36" s="161">
        <f t="shared" ref="I36:I41" si="5">(H36-F36)/E36</f>
        <v>0</v>
      </c>
      <c r="J36" s="161">
        <f t="shared" si="4"/>
        <v>0</v>
      </c>
    </row>
    <row r="37">
      <c r="B37" s="27"/>
      <c r="C37" s="27"/>
      <c r="D37" s="171" t="s">
        <v>25</v>
      </c>
      <c r="E37" s="159">
        <v>13500.0</v>
      </c>
      <c r="F37" s="159">
        <v>24219.0</v>
      </c>
      <c r="G37" s="160">
        <f t="shared" si="1"/>
        <v>-23840</v>
      </c>
      <c r="H37" s="266">
        <f>sum('PENDATAAN PERUMAHAN'!R8:R25)</f>
        <v>379</v>
      </c>
      <c r="I37" s="161">
        <f t="shared" si="5"/>
        <v>-1.765925926</v>
      </c>
      <c r="J37" s="161">
        <f t="shared" si="4"/>
        <v>0.02807407407</v>
      </c>
    </row>
    <row r="38">
      <c r="B38" s="27"/>
      <c r="C38" s="27"/>
      <c r="D38" s="158" t="s">
        <v>24</v>
      </c>
      <c r="E38" s="159">
        <v>42200.0</v>
      </c>
      <c r="F38" s="159">
        <v>2272.0</v>
      </c>
      <c r="G38" s="160">
        <f t="shared" si="1"/>
        <v>-2046</v>
      </c>
      <c r="H38" s="266">
        <f>sum('PENDATAAN PERUMAHAN'!Q8:Q25)</f>
        <v>226</v>
      </c>
      <c r="I38" s="161">
        <f t="shared" si="5"/>
        <v>-0.04848341232</v>
      </c>
      <c r="J38" s="161">
        <f t="shared" si="4"/>
        <v>0.005355450237</v>
      </c>
    </row>
    <row r="39">
      <c r="B39" s="27"/>
      <c r="C39" s="27"/>
      <c r="D39" s="158" t="s">
        <v>28</v>
      </c>
      <c r="E39" s="159">
        <v>0.0</v>
      </c>
      <c r="F39" s="159">
        <v>0.0</v>
      </c>
      <c r="G39" s="160">
        <f t="shared" si="1"/>
        <v>0</v>
      </c>
      <c r="H39" s="266">
        <f>sum('PENDATAAN PERUMAHAN'!T8:T25)</f>
        <v>0</v>
      </c>
      <c r="I39" s="161" t="str">
        <f t="shared" si="5"/>
        <v>#DIV/0!</v>
      </c>
      <c r="J39" s="161">
        <f>H39/36</f>
        <v>0</v>
      </c>
    </row>
    <row r="40">
      <c r="B40" s="27"/>
      <c r="C40" s="27"/>
      <c r="D40" s="158" t="s">
        <v>517</v>
      </c>
      <c r="E40" s="159">
        <v>600.0</v>
      </c>
      <c r="F40" s="159">
        <v>2104.0</v>
      </c>
      <c r="G40" s="160">
        <f t="shared" si="1"/>
        <v>-1952</v>
      </c>
      <c r="H40" s="266">
        <f>sum('PENDATAAN PERUMAHAN'!S8:S25)</f>
        <v>152</v>
      </c>
      <c r="I40" s="161">
        <f t="shared" si="5"/>
        <v>-3.253333333</v>
      </c>
      <c r="J40" s="161">
        <f t="shared" ref="J40:J43" si="6">H40/E40</f>
        <v>0.2533333333</v>
      </c>
    </row>
    <row r="41">
      <c r="B41" s="27"/>
      <c r="C41" s="27"/>
      <c r="D41" s="158" t="s">
        <v>29</v>
      </c>
      <c r="E41" s="159">
        <v>486897.0</v>
      </c>
      <c r="F41" s="159">
        <v>1105.0</v>
      </c>
      <c r="G41" s="160">
        <f t="shared" si="1"/>
        <v>-251</v>
      </c>
      <c r="H41" s="266">
        <f>sum('PENDATAAN PERUMAHAN'!U8:U25)</f>
        <v>854</v>
      </c>
      <c r="I41" s="161">
        <f t="shared" si="5"/>
        <v>-0.0005155094404</v>
      </c>
      <c r="J41" s="161">
        <f t="shared" si="6"/>
        <v>0.001753964391</v>
      </c>
    </row>
    <row r="42">
      <c r="B42" s="40"/>
      <c r="C42" s="40"/>
      <c r="D42" s="174" t="s">
        <v>519</v>
      </c>
      <c r="E42" s="175">
        <v>200.0</v>
      </c>
      <c r="F42" s="175">
        <v>169.0</v>
      </c>
      <c r="G42" s="698">
        <f t="shared" si="1"/>
        <v>-169</v>
      </c>
      <c r="H42" s="283"/>
      <c r="I42" s="175"/>
      <c r="J42" s="161">
        <f t="shared" si="6"/>
        <v>0</v>
      </c>
    </row>
    <row r="43">
      <c r="B43" s="182" t="s">
        <v>533</v>
      </c>
      <c r="C43" s="183"/>
      <c r="D43" s="31"/>
      <c r="E43" s="184">
        <f t="shared" ref="E43:F43" si="7">SUM(E25:E42)</f>
        <v>1000700</v>
      </c>
      <c r="F43" s="184">
        <f t="shared" si="7"/>
        <v>54601</v>
      </c>
      <c r="G43" s="185"/>
      <c r="H43" s="185">
        <f>SUM(H25:H42)</f>
        <v>3773</v>
      </c>
      <c r="I43" s="186">
        <f>(H43-F43)/E43</f>
        <v>-0.05079244529</v>
      </c>
      <c r="J43" s="186">
        <f t="shared" si="6"/>
        <v>0.003770360747</v>
      </c>
    </row>
    <row r="44">
      <c r="B44" s="187"/>
      <c r="C44" s="188"/>
      <c r="D44" s="189"/>
      <c r="E44" s="159"/>
      <c r="F44" s="160"/>
      <c r="G44" s="160"/>
      <c r="H44" s="160"/>
      <c r="I44" s="161"/>
      <c r="J44" s="161"/>
    </row>
    <row r="45">
      <c r="B45" s="156" t="s">
        <v>6</v>
      </c>
      <c r="C45" s="157" t="s">
        <v>8</v>
      </c>
      <c r="D45" s="158" t="s">
        <v>536</v>
      </c>
      <c r="E45" s="159">
        <v>217500.0</v>
      </c>
      <c r="F45" s="159">
        <v>67791.0</v>
      </c>
      <c r="G45" s="160">
        <f t="shared" ref="G45:G46" si="8">H45-F45</f>
        <v>-59011</v>
      </c>
      <c r="H45" s="160">
        <f>sum('PENDATAAN PERUMAHAN'!E8:E25)</f>
        <v>8780</v>
      </c>
      <c r="I45" s="161">
        <f t="shared" ref="I45:I49" si="9">(H45-F45)/E45</f>
        <v>-0.2713149425</v>
      </c>
      <c r="J45" s="161">
        <f t="shared" ref="J45:J49" si="10">H45/E45</f>
        <v>0.04036781609</v>
      </c>
    </row>
    <row r="46">
      <c r="B46" s="27"/>
      <c r="C46" s="27"/>
      <c r="D46" s="158" t="s">
        <v>538</v>
      </c>
      <c r="E46" s="159">
        <v>300000.0</v>
      </c>
      <c r="F46" s="159">
        <v>0.0</v>
      </c>
      <c r="G46" s="160">
        <f t="shared" si="8"/>
        <v>0</v>
      </c>
      <c r="H46" s="159">
        <v>0.0</v>
      </c>
      <c r="I46" s="161">
        <f t="shared" si="9"/>
        <v>0</v>
      </c>
      <c r="J46" s="161">
        <f t="shared" si="10"/>
        <v>0</v>
      </c>
    </row>
    <row r="47">
      <c r="B47" s="40"/>
      <c r="C47" s="40"/>
      <c r="D47" s="158" t="s">
        <v>541</v>
      </c>
      <c r="E47" s="159">
        <v>0.0</v>
      </c>
      <c r="F47" s="159">
        <v>0.0</v>
      </c>
      <c r="G47" s="160"/>
      <c r="H47" s="159">
        <v>0.0</v>
      </c>
      <c r="I47" s="161" t="str">
        <f t="shared" si="9"/>
        <v>#DIV/0!</v>
      </c>
      <c r="J47" s="161" t="str">
        <f t="shared" si="10"/>
        <v>#DIV/0!</v>
      </c>
    </row>
    <row r="48">
      <c r="B48" s="193" t="s">
        <v>542</v>
      </c>
      <c r="C48" s="19"/>
      <c r="D48" s="20"/>
      <c r="E48" s="194">
        <f>E45+E46+E47</f>
        <v>517500</v>
      </c>
      <c r="F48" s="195">
        <f>SUM(F45:F47)</f>
        <v>67791</v>
      </c>
      <c r="G48" s="195">
        <f t="shared" ref="G48:G49" si="11">H48-F48</f>
        <v>-59011</v>
      </c>
      <c r="H48" s="195">
        <f>H45+H46+H47</f>
        <v>8780</v>
      </c>
      <c r="I48" s="186">
        <f t="shared" si="9"/>
        <v>-0.1140309179</v>
      </c>
      <c r="J48" s="186">
        <f t="shared" si="10"/>
        <v>0.01696618357</v>
      </c>
    </row>
    <row r="49">
      <c r="B49" s="197" t="s">
        <v>544</v>
      </c>
      <c r="C49" s="19"/>
      <c r="D49" s="20"/>
      <c r="E49" s="198">
        <f>E48+E43</f>
        <v>1518200</v>
      </c>
      <c r="F49" s="199">
        <f>F43+F48</f>
        <v>122392</v>
      </c>
      <c r="G49" s="200">
        <f t="shared" si="11"/>
        <v>-109839</v>
      </c>
      <c r="H49" s="199">
        <f>H48+H43</f>
        <v>12553</v>
      </c>
      <c r="I49" s="201">
        <f t="shared" si="9"/>
        <v>-0.07234817547</v>
      </c>
      <c r="J49" s="201">
        <f t="shared" si="10"/>
        <v>0.008268344092</v>
      </c>
    </row>
  </sheetData>
  <mergeCells count="19">
    <mergeCell ref="D5:D22"/>
    <mergeCell ref="E5:E7"/>
    <mergeCell ref="E8:E10"/>
    <mergeCell ref="E11:E13"/>
    <mergeCell ref="E14:E16"/>
    <mergeCell ref="E17:E19"/>
    <mergeCell ref="E20:E22"/>
    <mergeCell ref="E27:E28"/>
    <mergeCell ref="B45:B47"/>
    <mergeCell ref="C45:C47"/>
    <mergeCell ref="B48:D48"/>
    <mergeCell ref="B49:D49"/>
    <mergeCell ref="B25:B33"/>
    <mergeCell ref="C25:C28"/>
    <mergeCell ref="C29:C30"/>
    <mergeCell ref="C31:C33"/>
    <mergeCell ref="B34:B42"/>
    <mergeCell ref="C34:C42"/>
    <mergeCell ref="B43:D4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c r="B5" s="694" t="s">
        <v>1311</v>
      </c>
      <c r="C5" s="694" t="s">
        <v>206</v>
      </c>
      <c r="D5" s="695" t="s">
        <v>796</v>
      </c>
      <c r="E5" s="695" t="s">
        <v>797</v>
      </c>
      <c r="F5" s="696"/>
    </row>
    <row r="6">
      <c r="A6" s="693"/>
      <c r="B6" s="694"/>
      <c r="C6" s="694" t="s">
        <v>209</v>
      </c>
      <c r="D6" s="27"/>
      <c r="E6" s="27"/>
      <c r="F6" s="696"/>
    </row>
    <row r="7">
      <c r="A7" s="693"/>
      <c r="B7" s="694"/>
      <c r="C7" s="694" t="s">
        <v>211</v>
      </c>
      <c r="D7" s="27"/>
      <c r="E7" s="40"/>
      <c r="F7" s="696"/>
    </row>
    <row r="8">
      <c r="A8" s="693"/>
      <c r="B8" s="694" t="s">
        <v>1291</v>
      </c>
      <c r="C8" s="694" t="s">
        <v>214</v>
      </c>
      <c r="D8" s="27"/>
      <c r="E8" s="587" t="s">
        <v>799</v>
      </c>
      <c r="F8" s="696"/>
    </row>
    <row r="9">
      <c r="A9" s="693"/>
      <c r="B9" s="694"/>
      <c r="C9" s="694" t="s">
        <v>217</v>
      </c>
      <c r="D9" s="27"/>
      <c r="E9" s="27"/>
      <c r="F9" s="696"/>
    </row>
    <row r="10">
      <c r="A10" s="693"/>
      <c r="B10" s="694"/>
      <c r="C10" s="694" t="s">
        <v>219</v>
      </c>
      <c r="D10" s="27"/>
      <c r="E10" s="40"/>
      <c r="F10" s="696"/>
    </row>
    <row r="11">
      <c r="A11" s="693"/>
      <c r="B11" s="694"/>
      <c r="C11" s="694" t="s">
        <v>221</v>
      </c>
      <c r="D11" s="27"/>
      <c r="E11" s="587" t="s">
        <v>800</v>
      </c>
      <c r="F11" s="696"/>
    </row>
    <row r="12">
      <c r="A12" s="693"/>
      <c r="B12" s="694"/>
      <c r="C12" s="694" t="s">
        <v>225</v>
      </c>
      <c r="D12" s="27"/>
      <c r="E12" s="27"/>
      <c r="F12" s="696"/>
    </row>
    <row r="13">
      <c r="A13" s="693"/>
      <c r="B13" s="694"/>
      <c r="C13" s="694" t="s">
        <v>228</v>
      </c>
      <c r="D13" s="27"/>
      <c r="E13" s="40"/>
      <c r="F13" s="696"/>
    </row>
    <row r="14">
      <c r="A14" s="693"/>
      <c r="B14" s="694"/>
      <c r="C14" s="694" t="s">
        <v>232</v>
      </c>
      <c r="D14" s="27"/>
      <c r="E14" s="587" t="s">
        <v>1331</v>
      </c>
      <c r="F14" s="696"/>
    </row>
    <row r="15">
      <c r="A15" s="693"/>
      <c r="B15" s="694"/>
      <c r="C15" s="694" t="s">
        <v>235</v>
      </c>
      <c r="D15" s="27"/>
      <c r="E15" s="27"/>
      <c r="F15" s="696"/>
    </row>
    <row r="16">
      <c r="A16" s="693"/>
      <c r="B16" s="694"/>
      <c r="C16" s="694" t="s">
        <v>238</v>
      </c>
      <c r="D16" s="27"/>
      <c r="E16" s="40"/>
      <c r="F16" s="696"/>
    </row>
    <row r="17">
      <c r="A17" s="693"/>
      <c r="B17" s="694"/>
      <c r="C17" s="694" t="s">
        <v>241</v>
      </c>
      <c r="D17" s="27"/>
      <c r="E17" s="587" t="s">
        <v>802</v>
      </c>
      <c r="F17" s="696"/>
    </row>
    <row r="18">
      <c r="A18" s="693"/>
      <c r="B18" s="694"/>
      <c r="C18" s="694" t="s">
        <v>243</v>
      </c>
      <c r="D18" s="27"/>
      <c r="E18" s="27"/>
      <c r="F18" s="696"/>
    </row>
    <row r="19">
      <c r="A19" s="693"/>
      <c r="B19" s="694"/>
      <c r="C19" s="694" t="s">
        <v>245</v>
      </c>
      <c r="D19" s="40"/>
      <c r="E19" s="40"/>
      <c r="F19" s="696"/>
    </row>
    <row r="20">
      <c r="A20" s="690"/>
      <c r="B20" s="690"/>
      <c r="C20" s="690"/>
      <c r="D20" s="690"/>
      <c r="E20" s="690"/>
    </row>
    <row r="21">
      <c r="A21" s="690"/>
      <c r="B21" s="151" t="s">
        <v>494</v>
      </c>
      <c r="C21" s="152" t="s">
        <v>495</v>
      </c>
      <c r="D21" s="152" t="s">
        <v>15</v>
      </c>
      <c r="E21" s="152" t="s">
        <v>496</v>
      </c>
      <c r="F21" s="152" t="s">
        <v>497</v>
      </c>
      <c r="G21" s="152" t="s">
        <v>498</v>
      </c>
      <c r="H21" s="152" t="s">
        <v>499</v>
      </c>
      <c r="I21" s="152" t="s">
        <v>500</v>
      </c>
      <c r="J21" s="152" t="s">
        <v>501</v>
      </c>
    </row>
    <row r="22">
      <c r="A22" s="690"/>
      <c r="B22" s="156" t="s">
        <v>2</v>
      </c>
      <c r="C22" s="157" t="s">
        <v>505</v>
      </c>
      <c r="D22" s="158" t="s">
        <v>506</v>
      </c>
      <c r="E22" s="159">
        <v>518.0</v>
      </c>
      <c r="F22" s="159">
        <v>0.0</v>
      </c>
      <c r="G22" s="160">
        <f t="shared" ref="G22:G39" si="1">H22-F22</f>
        <v>0</v>
      </c>
      <c r="H22" s="160">
        <f>sum('PENDATAAN PERUMAHAN'!J96:J110)</f>
        <v>0</v>
      </c>
      <c r="I22" s="161">
        <f>(H22-F22)/E22</f>
        <v>0</v>
      </c>
      <c r="J22" s="161" t="str">
        <f t="shared" ref="J22:J23" si="2">H22/$E$2</f>
        <v>#DIV/0!</v>
      </c>
    </row>
    <row r="23">
      <c r="B23" s="27"/>
      <c r="C23" s="27"/>
      <c r="D23" s="164" t="s">
        <v>508</v>
      </c>
      <c r="E23" s="159">
        <v>0.0</v>
      </c>
      <c r="F23" s="159">
        <v>138.0</v>
      </c>
      <c r="G23" s="160">
        <f t="shared" si="1"/>
        <v>-138</v>
      </c>
      <c r="H23" s="266">
        <f>sum('PENDATAAN PERUMAHAN'!K96:K110)</f>
        <v>0</v>
      </c>
      <c r="I23" s="161"/>
      <c r="J23" s="161" t="str">
        <f t="shared" si="2"/>
        <v>#DIV/0!</v>
      </c>
    </row>
    <row r="24">
      <c r="B24" s="27"/>
      <c r="C24" s="27"/>
      <c r="D24" s="164" t="s">
        <v>25</v>
      </c>
      <c r="E24" s="166">
        <v>2500.0</v>
      </c>
      <c r="F24" s="159">
        <v>4668.0</v>
      </c>
      <c r="G24" s="160">
        <f t="shared" si="1"/>
        <v>-4412</v>
      </c>
      <c r="H24" s="266">
        <f>sum('PENDATAAN PERUMAHAN'!M96:M110)</f>
        <v>256</v>
      </c>
      <c r="I24" s="161">
        <f>(H24-F24)/E24</f>
        <v>-1.7648</v>
      </c>
      <c r="J24" s="161">
        <f>H24/E24</f>
        <v>0.1024</v>
      </c>
    </row>
    <row r="25">
      <c r="B25" s="27"/>
      <c r="C25" s="40"/>
      <c r="D25" s="164" t="s">
        <v>24</v>
      </c>
      <c r="E25" s="40"/>
      <c r="F25" s="159">
        <v>407.0</v>
      </c>
      <c r="G25" s="160">
        <f t="shared" si="1"/>
        <v>-144</v>
      </c>
      <c r="H25" s="266">
        <f>sum('PENDATAAN PERUMAHAN'!L96:L110)</f>
        <v>263</v>
      </c>
      <c r="I25" s="161"/>
      <c r="J25" s="161"/>
    </row>
    <row r="26">
      <c r="B26" s="27"/>
      <c r="C26" s="157" t="s">
        <v>13</v>
      </c>
      <c r="D26" s="164" t="s">
        <v>512</v>
      </c>
      <c r="E26" s="159">
        <v>160000.0</v>
      </c>
      <c r="F26" s="159">
        <v>11206.0</v>
      </c>
      <c r="G26" s="160">
        <f t="shared" si="1"/>
        <v>-9522</v>
      </c>
      <c r="H26" s="266">
        <f>sum('PENDATAAN PERUMAHAN'!F96:F110)</f>
        <v>1684</v>
      </c>
      <c r="I26" s="161">
        <f t="shared" ref="I26:I29" si="3">(H26-F26)/E26</f>
        <v>-0.0595125</v>
      </c>
      <c r="J26" s="161">
        <f t="shared" ref="J26:J35" si="4">H26/E26</f>
        <v>0.010525</v>
      </c>
    </row>
    <row r="27">
      <c r="B27" s="27"/>
      <c r="C27" s="40"/>
      <c r="D27" s="164" t="s">
        <v>514</v>
      </c>
      <c r="E27" s="159">
        <v>80000.0</v>
      </c>
      <c r="F27" s="159">
        <v>346.0</v>
      </c>
      <c r="G27" s="160">
        <f t="shared" si="1"/>
        <v>-346</v>
      </c>
      <c r="H27" s="266">
        <f>sum('PENDATAAN PERUMAHAN'!G96:G110)</f>
        <v>0</v>
      </c>
      <c r="I27" s="161">
        <f t="shared" si="3"/>
        <v>-0.004325</v>
      </c>
      <c r="J27" s="161">
        <f t="shared" si="4"/>
        <v>0</v>
      </c>
    </row>
    <row r="28">
      <c r="B28" s="27"/>
      <c r="C28" s="157" t="s">
        <v>14</v>
      </c>
      <c r="D28" s="158" t="s">
        <v>21</v>
      </c>
      <c r="E28" s="159">
        <v>197500.0</v>
      </c>
      <c r="F28" s="159">
        <v>6706.0</v>
      </c>
      <c r="G28" s="160">
        <f t="shared" si="1"/>
        <v>-4203</v>
      </c>
      <c r="H28" s="266">
        <f>sum('PENDATAAN PERUMAHAN'!H96:H110)</f>
        <v>2503</v>
      </c>
      <c r="I28" s="161">
        <f t="shared" si="3"/>
        <v>-0.02128101266</v>
      </c>
      <c r="J28" s="161">
        <f t="shared" si="4"/>
        <v>0.01267341772</v>
      </c>
    </row>
    <row r="29">
      <c r="B29" s="27"/>
      <c r="C29" s="27"/>
      <c r="D29" s="158" t="s">
        <v>517</v>
      </c>
      <c r="E29" s="166">
        <v>850.0</v>
      </c>
      <c r="F29" s="166">
        <v>397.0</v>
      </c>
      <c r="G29" s="160">
        <f t="shared" si="1"/>
        <v>-393</v>
      </c>
      <c r="H29" s="266">
        <f>sum('PENDATAAN PERUMAHAN'!I96:I110)</f>
        <v>4</v>
      </c>
      <c r="I29" s="161">
        <f t="shared" si="3"/>
        <v>-0.4623529412</v>
      </c>
      <c r="J29" s="161">
        <f t="shared" si="4"/>
        <v>0.004705882353</v>
      </c>
    </row>
    <row r="30">
      <c r="B30" s="40"/>
      <c r="C30" s="40"/>
      <c r="D30" s="171" t="s">
        <v>519</v>
      </c>
      <c r="E30" s="166">
        <v>50.0</v>
      </c>
      <c r="F30" s="166">
        <v>16.0</v>
      </c>
      <c r="G30" s="160">
        <f t="shared" si="1"/>
        <v>-16</v>
      </c>
      <c r="H30" s="283"/>
      <c r="I30" s="161"/>
      <c r="J30" s="161">
        <f t="shared" si="4"/>
        <v>0</v>
      </c>
    </row>
    <row r="31">
      <c r="B31" s="156" t="s">
        <v>521</v>
      </c>
      <c r="C31" s="157" t="s">
        <v>522</v>
      </c>
      <c r="D31" s="171" t="s">
        <v>506</v>
      </c>
      <c r="E31" s="159">
        <v>15110.0</v>
      </c>
      <c r="F31" s="166">
        <v>0.0</v>
      </c>
      <c r="G31" s="160">
        <f t="shared" si="1"/>
        <v>0</v>
      </c>
      <c r="H31" s="266">
        <f>sum('PENDATAAN PERUMAHAN'!N96:N110)</f>
        <v>0</v>
      </c>
      <c r="I31" s="161">
        <f>(H31-F31)/E31</f>
        <v>0</v>
      </c>
      <c r="J31" s="161">
        <f t="shared" si="4"/>
        <v>0</v>
      </c>
    </row>
    <row r="32">
      <c r="B32" s="27"/>
      <c r="C32" s="27"/>
      <c r="D32" s="171" t="s">
        <v>508</v>
      </c>
      <c r="E32" s="159">
        <v>100.0</v>
      </c>
      <c r="F32" s="166">
        <v>848.0</v>
      </c>
      <c r="G32" s="160">
        <f t="shared" si="1"/>
        <v>-848</v>
      </c>
      <c r="H32" s="266">
        <f>sum('PENDATAAN PERUMAHAN'!O96:O110)</f>
        <v>0</v>
      </c>
      <c r="I32" s="161"/>
      <c r="J32" s="161">
        <f t="shared" si="4"/>
        <v>0</v>
      </c>
    </row>
    <row r="33">
      <c r="B33" s="27"/>
      <c r="C33" s="27"/>
      <c r="D33" s="171" t="s">
        <v>525</v>
      </c>
      <c r="E33" s="159">
        <v>675.0</v>
      </c>
      <c r="F33" s="159">
        <v>0.0</v>
      </c>
      <c r="G33" s="160">
        <f t="shared" si="1"/>
        <v>0</v>
      </c>
      <c r="H33" s="266">
        <f>sum('PENDATAAN PERUMAHAN'!P96:P110)</f>
        <v>0</v>
      </c>
      <c r="I33" s="161">
        <f t="shared" ref="I33:I38" si="5">(H33-F33)/E33</f>
        <v>0</v>
      </c>
      <c r="J33" s="161">
        <f t="shared" si="4"/>
        <v>0</v>
      </c>
    </row>
    <row r="34">
      <c r="B34" s="27"/>
      <c r="C34" s="27"/>
      <c r="D34" s="171" t="s">
        <v>25</v>
      </c>
      <c r="E34" s="159">
        <v>13500.0</v>
      </c>
      <c r="F34" s="159">
        <v>24219.0</v>
      </c>
      <c r="G34" s="160">
        <f t="shared" si="1"/>
        <v>-18698</v>
      </c>
      <c r="H34" s="266">
        <f>sum('PENDATAAN PERUMAHAN'!R96:R110)</f>
        <v>5521</v>
      </c>
      <c r="I34" s="161">
        <f t="shared" si="5"/>
        <v>-1.385037037</v>
      </c>
      <c r="J34" s="161">
        <f t="shared" si="4"/>
        <v>0.408962963</v>
      </c>
    </row>
    <row r="35">
      <c r="B35" s="27"/>
      <c r="C35" s="27"/>
      <c r="D35" s="158" t="s">
        <v>24</v>
      </c>
      <c r="E35" s="159">
        <v>42200.0</v>
      </c>
      <c r="F35" s="159">
        <v>2272.0</v>
      </c>
      <c r="G35" s="160">
        <f t="shared" si="1"/>
        <v>-1729</v>
      </c>
      <c r="H35" s="266">
        <f>sum('PENDATAAN PERUMAHAN'!Q96:Q110)</f>
        <v>543</v>
      </c>
      <c r="I35" s="161">
        <f t="shared" si="5"/>
        <v>-0.04097156398</v>
      </c>
      <c r="J35" s="161">
        <f t="shared" si="4"/>
        <v>0.01286729858</v>
      </c>
    </row>
    <row r="36">
      <c r="B36" s="27"/>
      <c r="C36" s="27"/>
      <c r="D36" s="158" t="s">
        <v>28</v>
      </c>
      <c r="E36" s="159">
        <v>0.0</v>
      </c>
      <c r="F36" s="159">
        <v>0.0</v>
      </c>
      <c r="G36" s="160">
        <f t="shared" si="1"/>
        <v>0</v>
      </c>
      <c r="H36" s="266">
        <f>sum('PENDATAAN PERUMAHAN'!T96:T110)</f>
        <v>0</v>
      </c>
      <c r="I36" s="161" t="str">
        <f t="shared" si="5"/>
        <v>#DIV/0!</v>
      </c>
      <c r="J36" s="161">
        <f>H36/36</f>
        <v>0</v>
      </c>
    </row>
    <row r="37">
      <c r="B37" s="27"/>
      <c r="C37" s="27"/>
      <c r="D37" s="158" t="s">
        <v>517</v>
      </c>
      <c r="E37" s="159">
        <v>600.0</v>
      </c>
      <c r="F37" s="159">
        <v>2104.0</v>
      </c>
      <c r="G37" s="160">
        <f t="shared" si="1"/>
        <v>-1287</v>
      </c>
      <c r="H37" s="266">
        <f>sum('PENDATAAN PERUMAHAN'!S96:S110)</f>
        <v>817</v>
      </c>
      <c r="I37" s="161">
        <f t="shared" si="5"/>
        <v>-2.145</v>
      </c>
      <c r="J37" s="161">
        <f t="shared" ref="J37:J40" si="6">H37/E37</f>
        <v>1.361666667</v>
      </c>
    </row>
    <row r="38">
      <c r="B38" s="27"/>
      <c r="C38" s="27"/>
      <c r="D38" s="158" t="s">
        <v>29</v>
      </c>
      <c r="E38" s="159">
        <v>486897.0</v>
      </c>
      <c r="F38" s="159">
        <v>1105.0</v>
      </c>
      <c r="G38" s="160">
        <f t="shared" si="1"/>
        <v>42600</v>
      </c>
      <c r="H38" s="266">
        <f>sum('PENDATAAN PERUMAHAN'!U96:U110)</f>
        <v>43705</v>
      </c>
      <c r="I38" s="161">
        <f t="shared" si="5"/>
        <v>0.08749283729</v>
      </c>
      <c r="J38" s="161">
        <f t="shared" si="6"/>
        <v>0.08976231113</v>
      </c>
    </row>
    <row r="39">
      <c r="B39" s="40"/>
      <c r="C39" s="40"/>
      <c r="D39" s="174" t="s">
        <v>519</v>
      </c>
      <c r="E39" s="175">
        <v>200.0</v>
      </c>
      <c r="F39" s="175">
        <v>169.0</v>
      </c>
      <c r="G39" s="698">
        <f t="shared" si="1"/>
        <v>-169</v>
      </c>
      <c r="H39" s="283"/>
      <c r="I39" s="175"/>
      <c r="J39" s="161">
        <f t="shared" si="6"/>
        <v>0</v>
      </c>
    </row>
    <row r="40">
      <c r="B40" s="182" t="s">
        <v>533</v>
      </c>
      <c r="C40" s="183"/>
      <c r="D40" s="31"/>
      <c r="E40" s="184">
        <f t="shared" ref="E40:F40" si="7">SUM(E22:E39)</f>
        <v>1000700</v>
      </c>
      <c r="F40" s="184">
        <f t="shared" si="7"/>
        <v>54601</v>
      </c>
      <c r="G40" s="185"/>
      <c r="H40" s="185">
        <f>SUM(H22:H39)</f>
        <v>55296</v>
      </c>
      <c r="I40" s="186">
        <f>(H40-F40)/E40</f>
        <v>0.0006945138403</v>
      </c>
      <c r="J40" s="186">
        <f t="shared" si="6"/>
        <v>0.05525731988</v>
      </c>
    </row>
    <row r="41">
      <c r="B41" s="187"/>
      <c r="C41" s="188"/>
      <c r="D41" s="189"/>
      <c r="E41" s="159"/>
      <c r="F41" s="160"/>
      <c r="G41" s="160"/>
      <c r="H41" s="160"/>
      <c r="I41" s="161"/>
      <c r="J41" s="161"/>
    </row>
    <row r="42">
      <c r="B42" s="156" t="s">
        <v>6</v>
      </c>
      <c r="C42" s="157" t="s">
        <v>8</v>
      </c>
      <c r="D42" s="158" t="s">
        <v>536</v>
      </c>
      <c r="E42" s="159">
        <v>217500.0</v>
      </c>
      <c r="F42" s="159">
        <v>67791.0</v>
      </c>
      <c r="G42" s="160">
        <f t="shared" ref="G42:G43" si="8">H42-F42</f>
        <v>-39692</v>
      </c>
      <c r="H42" s="160">
        <f>sum('PENDATAAN PERUMAHAN'!E96:E110)</f>
        <v>28099</v>
      </c>
      <c r="I42" s="161">
        <f t="shared" ref="I42:I46" si="9">(H42-F42)/E42</f>
        <v>-0.182491954</v>
      </c>
      <c r="J42" s="161">
        <f t="shared" ref="J42:J46" si="10">H42/E42</f>
        <v>0.1291908046</v>
      </c>
    </row>
    <row r="43">
      <c r="B43" s="27"/>
      <c r="C43" s="27"/>
      <c r="D43" s="158" t="s">
        <v>538</v>
      </c>
      <c r="E43" s="159">
        <v>300000.0</v>
      </c>
      <c r="F43" s="159">
        <v>0.0</v>
      </c>
      <c r="G43" s="160">
        <f t="shared" si="8"/>
        <v>0</v>
      </c>
      <c r="H43" s="159">
        <v>0.0</v>
      </c>
      <c r="I43" s="161">
        <f t="shared" si="9"/>
        <v>0</v>
      </c>
      <c r="J43" s="161">
        <f t="shared" si="10"/>
        <v>0</v>
      </c>
    </row>
    <row r="44">
      <c r="B44" s="40"/>
      <c r="C44" s="40"/>
      <c r="D44" s="158" t="s">
        <v>541</v>
      </c>
      <c r="E44" s="159">
        <v>0.0</v>
      </c>
      <c r="F44" s="159">
        <v>0.0</v>
      </c>
      <c r="G44" s="160"/>
      <c r="H44" s="159">
        <v>0.0</v>
      </c>
      <c r="I44" s="161" t="str">
        <f t="shared" si="9"/>
        <v>#DIV/0!</v>
      </c>
      <c r="J44" s="161" t="str">
        <f t="shared" si="10"/>
        <v>#DIV/0!</v>
      </c>
    </row>
    <row r="45">
      <c r="B45" s="193" t="s">
        <v>542</v>
      </c>
      <c r="C45" s="19"/>
      <c r="D45" s="20"/>
      <c r="E45" s="194">
        <f>E42+E43+E44</f>
        <v>517500</v>
      </c>
      <c r="F45" s="195">
        <f>SUM(F42:F44)</f>
        <v>67791</v>
      </c>
      <c r="G45" s="195">
        <f t="shared" ref="G45:G46" si="11">H45-F45</f>
        <v>-39692</v>
      </c>
      <c r="H45" s="195">
        <f>H42+H43+H44</f>
        <v>28099</v>
      </c>
      <c r="I45" s="186">
        <f t="shared" si="9"/>
        <v>-0.07669951691</v>
      </c>
      <c r="J45" s="186">
        <f t="shared" si="10"/>
        <v>0.05429758454</v>
      </c>
    </row>
    <row r="46">
      <c r="B46" s="197" t="s">
        <v>544</v>
      </c>
      <c r="C46" s="19"/>
      <c r="D46" s="20"/>
      <c r="E46" s="198">
        <f>E45+E40</f>
        <v>1518200</v>
      </c>
      <c r="F46" s="199">
        <f>F40+F45</f>
        <v>122392</v>
      </c>
      <c r="G46" s="200">
        <f t="shared" si="11"/>
        <v>-38997</v>
      </c>
      <c r="H46" s="199">
        <f>H45+H40</f>
        <v>83395</v>
      </c>
      <c r="I46" s="201">
        <f t="shared" si="9"/>
        <v>-0.02568633909</v>
      </c>
      <c r="J46" s="201">
        <f t="shared" si="10"/>
        <v>0.05493018048</v>
      </c>
    </row>
  </sheetData>
  <mergeCells count="18">
    <mergeCell ref="E17:E19"/>
    <mergeCell ref="E24:E25"/>
    <mergeCell ref="D5:D19"/>
    <mergeCell ref="E5:E7"/>
    <mergeCell ref="E8:E10"/>
    <mergeCell ref="E11:E13"/>
    <mergeCell ref="E14:E16"/>
    <mergeCell ref="B22:B30"/>
    <mergeCell ref="C22:C25"/>
    <mergeCell ref="B45:D45"/>
    <mergeCell ref="B46:D46"/>
    <mergeCell ref="C26:C27"/>
    <mergeCell ref="C28:C30"/>
    <mergeCell ref="B31:B39"/>
    <mergeCell ref="C31:C39"/>
    <mergeCell ref="B40:D40"/>
    <mergeCell ref="B42:B44"/>
    <mergeCell ref="C42:C4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c r="B5" s="694" t="s">
        <v>1332</v>
      </c>
      <c r="C5" s="694" t="s">
        <v>478</v>
      </c>
      <c r="D5" s="695" t="s">
        <v>1254</v>
      </c>
      <c r="E5" s="730" t="s">
        <v>1333</v>
      </c>
      <c r="F5" s="696"/>
    </row>
    <row r="6">
      <c r="A6" s="693"/>
      <c r="B6" s="694" t="s">
        <v>1334</v>
      </c>
      <c r="C6" s="694" t="s">
        <v>481</v>
      </c>
      <c r="D6" s="27"/>
      <c r="E6" s="40"/>
      <c r="F6" s="696"/>
    </row>
    <row r="7">
      <c r="A7" s="693"/>
      <c r="B7" s="694"/>
      <c r="C7" s="694" t="s">
        <v>482</v>
      </c>
      <c r="D7" s="27"/>
      <c r="E7" s="587" t="s">
        <v>868</v>
      </c>
      <c r="F7" s="696"/>
    </row>
    <row r="8">
      <c r="A8" s="693"/>
      <c r="B8" s="694"/>
      <c r="C8" s="694" t="s">
        <v>483</v>
      </c>
      <c r="D8" s="27"/>
      <c r="E8" s="40"/>
      <c r="F8" s="696"/>
    </row>
    <row r="9">
      <c r="A9" s="693"/>
      <c r="B9" s="694"/>
      <c r="C9" s="694" t="s">
        <v>484</v>
      </c>
      <c r="D9" s="27"/>
      <c r="E9" s="587" t="s">
        <v>869</v>
      </c>
      <c r="F9" s="696"/>
    </row>
    <row r="10">
      <c r="A10" s="693"/>
      <c r="B10" s="694"/>
      <c r="C10" s="694" t="s">
        <v>486</v>
      </c>
      <c r="D10" s="27"/>
      <c r="E10" s="40"/>
      <c r="F10" s="696"/>
    </row>
    <row r="11">
      <c r="A11" s="693"/>
      <c r="B11" s="694"/>
      <c r="C11" s="694" t="s">
        <v>488</v>
      </c>
      <c r="D11" s="27"/>
      <c r="E11" s="697" t="s">
        <v>870</v>
      </c>
      <c r="F11" s="696"/>
    </row>
    <row r="12">
      <c r="A12" s="693"/>
      <c r="B12" s="694"/>
      <c r="C12" s="694" t="s">
        <v>489</v>
      </c>
      <c r="D12" s="40"/>
      <c r="E12" s="697" t="s">
        <v>871</v>
      </c>
      <c r="F12" s="696"/>
    </row>
    <row r="13">
      <c r="A13" s="690"/>
      <c r="B13" s="690"/>
      <c r="C13" s="690"/>
      <c r="D13" s="690"/>
      <c r="E13" s="690"/>
    </row>
    <row r="14">
      <c r="A14" s="690"/>
      <c r="B14" s="151" t="s">
        <v>494</v>
      </c>
      <c r="C14" s="152" t="s">
        <v>495</v>
      </c>
      <c r="D14" s="152" t="s">
        <v>15</v>
      </c>
      <c r="E14" s="152" t="s">
        <v>496</v>
      </c>
      <c r="F14" s="152" t="s">
        <v>497</v>
      </c>
      <c r="G14" s="152" t="s">
        <v>498</v>
      </c>
      <c r="H14" s="152" t="s">
        <v>499</v>
      </c>
      <c r="I14" s="152" t="s">
        <v>500</v>
      </c>
      <c r="J14" s="152" t="s">
        <v>501</v>
      </c>
    </row>
    <row r="15">
      <c r="A15" s="690"/>
      <c r="B15" s="156" t="s">
        <v>2</v>
      </c>
      <c r="C15" s="157" t="s">
        <v>505</v>
      </c>
      <c r="D15" s="158" t="s">
        <v>506</v>
      </c>
      <c r="E15" s="159">
        <v>518.0</v>
      </c>
      <c r="F15" s="159">
        <v>0.0</v>
      </c>
      <c r="G15" s="160">
        <f t="shared" ref="G15:G32" si="1">H15-F15</f>
        <v>0</v>
      </c>
      <c r="H15" s="160">
        <f>sum('PENDATAAN PERUMAHAN'!J221:J228)</f>
        <v>0</v>
      </c>
      <c r="I15" s="161">
        <f>(H15-F15)/E15</f>
        <v>0</v>
      </c>
      <c r="J15" s="161" t="str">
        <f t="shared" ref="J15:J16" si="2">H15/$E$2</f>
        <v>#DIV/0!</v>
      </c>
    </row>
    <row r="16">
      <c r="B16" s="27"/>
      <c r="C16" s="27"/>
      <c r="D16" s="164" t="s">
        <v>508</v>
      </c>
      <c r="E16" s="159">
        <v>0.0</v>
      </c>
      <c r="F16" s="159">
        <v>138.0</v>
      </c>
      <c r="G16" s="160">
        <f t="shared" si="1"/>
        <v>-138</v>
      </c>
      <c r="H16" s="266">
        <f>sum('PENDATAAN PERUMAHAN'!K221:K228)</f>
        <v>0</v>
      </c>
      <c r="I16" s="161"/>
      <c r="J16" s="161" t="str">
        <f t="shared" si="2"/>
        <v>#DIV/0!</v>
      </c>
    </row>
    <row r="17">
      <c r="B17" s="27"/>
      <c r="C17" s="27"/>
      <c r="D17" s="164" t="s">
        <v>25</v>
      </c>
      <c r="E17" s="166">
        <v>2500.0</v>
      </c>
      <c r="F17" s="159">
        <v>4668.0</v>
      </c>
      <c r="G17" s="160">
        <f t="shared" si="1"/>
        <v>-4528</v>
      </c>
      <c r="H17" s="266">
        <f>sum('PENDATAAN PERUMAHAN'!M221:M228)</f>
        <v>140</v>
      </c>
      <c r="I17" s="161">
        <f>(H17-F17)/E17</f>
        <v>-1.8112</v>
      </c>
      <c r="J17" s="161">
        <f>H17/E17</f>
        <v>0.056</v>
      </c>
    </row>
    <row r="18">
      <c r="B18" s="27"/>
      <c r="C18" s="40"/>
      <c r="D18" s="164" t="s">
        <v>24</v>
      </c>
      <c r="E18" s="40"/>
      <c r="F18" s="159">
        <v>407.0</v>
      </c>
      <c r="G18" s="160">
        <f t="shared" si="1"/>
        <v>-407</v>
      </c>
      <c r="H18" s="266">
        <f>sum('PENDATAAN PERUMAHAN'!L221:L228)</f>
        <v>0</v>
      </c>
      <c r="I18" s="161"/>
      <c r="J18" s="161"/>
    </row>
    <row r="19">
      <c r="B19" s="27"/>
      <c r="C19" s="157" t="s">
        <v>13</v>
      </c>
      <c r="D19" s="164" t="s">
        <v>512</v>
      </c>
      <c r="E19" s="159">
        <v>160000.0</v>
      </c>
      <c r="F19" s="159">
        <v>11206.0</v>
      </c>
      <c r="G19" s="160">
        <f t="shared" si="1"/>
        <v>-11206</v>
      </c>
      <c r="H19" s="266">
        <f>sum('PENDATAAN PERUMAHAN'!F221:F228)</f>
        <v>0</v>
      </c>
      <c r="I19" s="161">
        <f t="shared" ref="I19:I22" si="3">(H19-F19)/E19</f>
        <v>-0.0700375</v>
      </c>
      <c r="J19" s="161">
        <f t="shared" ref="J19:J28" si="4">H19/E19</f>
        <v>0</v>
      </c>
    </row>
    <row r="20">
      <c r="B20" s="27"/>
      <c r="C20" s="40"/>
      <c r="D20" s="164" t="s">
        <v>514</v>
      </c>
      <c r="E20" s="159">
        <v>80000.0</v>
      </c>
      <c r="F20" s="159">
        <v>346.0</v>
      </c>
      <c r="G20" s="160">
        <f t="shared" si="1"/>
        <v>-346</v>
      </c>
      <c r="H20" s="266">
        <f>sum('PENDATAAN PERUMAHAN'!G221:G228)</f>
        <v>0</v>
      </c>
      <c r="I20" s="161">
        <f t="shared" si="3"/>
        <v>-0.004325</v>
      </c>
      <c r="J20" s="161">
        <f t="shared" si="4"/>
        <v>0</v>
      </c>
    </row>
    <row r="21">
      <c r="B21" s="27"/>
      <c r="C21" s="157" t="s">
        <v>14</v>
      </c>
      <c r="D21" s="158" t="s">
        <v>21</v>
      </c>
      <c r="E21" s="159">
        <v>197500.0</v>
      </c>
      <c r="F21" s="159">
        <v>6706.0</v>
      </c>
      <c r="G21" s="160">
        <f t="shared" si="1"/>
        <v>-6706</v>
      </c>
      <c r="H21" s="266">
        <f>sum('PENDATAAN PERUMAHAN'!H221:H228)</f>
        <v>0</v>
      </c>
      <c r="I21" s="161">
        <f t="shared" si="3"/>
        <v>-0.03395443038</v>
      </c>
      <c r="J21" s="161">
        <f t="shared" si="4"/>
        <v>0</v>
      </c>
    </row>
    <row r="22">
      <c r="B22" s="27"/>
      <c r="C22" s="27"/>
      <c r="D22" s="158" t="s">
        <v>517</v>
      </c>
      <c r="E22" s="166">
        <v>850.0</v>
      </c>
      <c r="F22" s="166">
        <v>397.0</v>
      </c>
      <c r="G22" s="160">
        <f t="shared" si="1"/>
        <v>-397</v>
      </c>
      <c r="H22" s="266">
        <f>sum('PENDATAAN PERUMAHAN'!I221:I228)</f>
        <v>0</v>
      </c>
      <c r="I22" s="161">
        <f t="shared" si="3"/>
        <v>-0.4670588235</v>
      </c>
      <c r="J22" s="161">
        <f t="shared" si="4"/>
        <v>0</v>
      </c>
    </row>
    <row r="23">
      <c r="B23" s="40"/>
      <c r="C23" s="40"/>
      <c r="D23" s="171" t="s">
        <v>519</v>
      </c>
      <c r="E23" s="166">
        <v>50.0</v>
      </c>
      <c r="F23" s="166">
        <v>16.0</v>
      </c>
      <c r="G23" s="160">
        <f t="shared" si="1"/>
        <v>-16</v>
      </c>
      <c r="H23" s="283"/>
      <c r="I23" s="161"/>
      <c r="J23" s="161">
        <f t="shared" si="4"/>
        <v>0</v>
      </c>
    </row>
    <row r="24">
      <c r="B24" s="156" t="s">
        <v>521</v>
      </c>
      <c r="C24" s="157" t="s">
        <v>522</v>
      </c>
      <c r="D24" s="171" t="s">
        <v>506</v>
      </c>
      <c r="E24" s="159">
        <v>15110.0</v>
      </c>
      <c r="F24" s="166">
        <v>0.0</v>
      </c>
      <c r="G24" s="160">
        <f t="shared" si="1"/>
        <v>0</v>
      </c>
      <c r="H24" s="266">
        <f>sum('PENDATAAN PERUMAHAN'!N221:N228)</f>
        <v>0</v>
      </c>
      <c r="I24" s="161">
        <f>(H24-F24)/E24</f>
        <v>0</v>
      </c>
      <c r="J24" s="161">
        <f t="shared" si="4"/>
        <v>0</v>
      </c>
    </row>
    <row r="25">
      <c r="B25" s="27"/>
      <c r="C25" s="27"/>
      <c r="D25" s="171" t="s">
        <v>508</v>
      </c>
      <c r="E25" s="159">
        <v>100.0</v>
      </c>
      <c r="F25" s="166">
        <v>848.0</v>
      </c>
      <c r="G25" s="160">
        <f t="shared" si="1"/>
        <v>-848</v>
      </c>
      <c r="H25" s="266">
        <f>sum('PENDATAAN PERUMAHAN'!O221:O228)</f>
        <v>0</v>
      </c>
      <c r="I25" s="161"/>
      <c r="J25" s="161">
        <f t="shared" si="4"/>
        <v>0</v>
      </c>
    </row>
    <row r="26">
      <c r="B26" s="27"/>
      <c r="C26" s="27"/>
      <c r="D26" s="171" t="s">
        <v>525</v>
      </c>
      <c r="E26" s="159">
        <v>675.0</v>
      </c>
      <c r="F26" s="159">
        <v>0.0</v>
      </c>
      <c r="G26" s="160">
        <f t="shared" si="1"/>
        <v>0</v>
      </c>
      <c r="H26" s="266">
        <f>sum('PENDATAAN PERUMAHAN'!P221:P228)</f>
        <v>0</v>
      </c>
      <c r="I26" s="161">
        <f t="shared" ref="I26:I31" si="5">(H26-F26)/E26</f>
        <v>0</v>
      </c>
      <c r="J26" s="161">
        <f t="shared" si="4"/>
        <v>0</v>
      </c>
    </row>
    <row r="27">
      <c r="B27" s="27"/>
      <c r="C27" s="27"/>
      <c r="D27" s="171" t="s">
        <v>25</v>
      </c>
      <c r="E27" s="159">
        <v>13500.0</v>
      </c>
      <c r="F27" s="159">
        <v>24219.0</v>
      </c>
      <c r="G27" s="160">
        <f t="shared" si="1"/>
        <v>-24197</v>
      </c>
      <c r="H27" s="266">
        <f>sum('PENDATAAN PERUMAHAN'!R221:R228)</f>
        <v>22</v>
      </c>
      <c r="I27" s="161">
        <f t="shared" si="5"/>
        <v>-1.79237037</v>
      </c>
      <c r="J27" s="161">
        <f t="shared" si="4"/>
        <v>0.00162962963</v>
      </c>
    </row>
    <row r="28">
      <c r="B28" s="27"/>
      <c r="C28" s="27"/>
      <c r="D28" s="158" t="s">
        <v>24</v>
      </c>
      <c r="E28" s="159">
        <v>42200.0</v>
      </c>
      <c r="F28" s="159">
        <v>2272.0</v>
      </c>
      <c r="G28" s="160">
        <f t="shared" si="1"/>
        <v>-2272</v>
      </c>
      <c r="H28" s="266">
        <f>sum('PENDATAAN PERUMAHAN'!Q221:Q228)</f>
        <v>0</v>
      </c>
      <c r="I28" s="161">
        <f t="shared" si="5"/>
        <v>-0.05383886256</v>
      </c>
      <c r="J28" s="161">
        <f t="shared" si="4"/>
        <v>0</v>
      </c>
    </row>
    <row r="29">
      <c r="B29" s="27"/>
      <c r="C29" s="27"/>
      <c r="D29" s="158" t="s">
        <v>28</v>
      </c>
      <c r="E29" s="159">
        <v>0.0</v>
      </c>
      <c r="F29" s="159">
        <v>0.0</v>
      </c>
      <c r="G29" s="160">
        <f t="shared" si="1"/>
        <v>0</v>
      </c>
      <c r="H29" s="266">
        <f>sum('PENDATAAN PERUMAHAN'!T221:T228)</f>
        <v>0</v>
      </c>
      <c r="I29" s="161" t="str">
        <f t="shared" si="5"/>
        <v>#DIV/0!</v>
      </c>
      <c r="J29" s="161">
        <f>H29/36</f>
        <v>0</v>
      </c>
    </row>
    <row r="30">
      <c r="B30" s="27"/>
      <c r="C30" s="27"/>
      <c r="D30" s="158" t="s">
        <v>517</v>
      </c>
      <c r="E30" s="159">
        <v>600.0</v>
      </c>
      <c r="F30" s="159">
        <v>2104.0</v>
      </c>
      <c r="G30" s="160">
        <f t="shared" si="1"/>
        <v>-2104</v>
      </c>
      <c r="H30" s="266">
        <f>sum('PENDATAAN PERUMAHAN'!S221:S228)</f>
        <v>0</v>
      </c>
      <c r="I30" s="161">
        <f t="shared" si="5"/>
        <v>-3.506666667</v>
      </c>
      <c r="J30" s="161">
        <f t="shared" ref="J30:J33" si="6">H30/E30</f>
        <v>0</v>
      </c>
    </row>
    <row r="31">
      <c r="B31" s="27"/>
      <c r="C31" s="27"/>
      <c r="D31" s="158" t="s">
        <v>29</v>
      </c>
      <c r="E31" s="159">
        <v>486897.0</v>
      </c>
      <c r="F31" s="159">
        <v>1105.0</v>
      </c>
      <c r="G31" s="160">
        <f t="shared" si="1"/>
        <v>-1105</v>
      </c>
      <c r="H31" s="266">
        <f>sum('PENDATAAN PERUMAHAN'!U221:U228)</f>
        <v>0</v>
      </c>
      <c r="I31" s="161">
        <f t="shared" si="5"/>
        <v>-0.002269473831</v>
      </c>
      <c r="J31" s="161">
        <f t="shared" si="6"/>
        <v>0</v>
      </c>
    </row>
    <row r="32">
      <c r="B32" s="40"/>
      <c r="C32" s="40"/>
      <c r="D32" s="174" t="s">
        <v>519</v>
      </c>
      <c r="E32" s="175">
        <v>200.0</v>
      </c>
      <c r="F32" s="175">
        <v>169.0</v>
      </c>
      <c r="G32" s="698">
        <f t="shared" si="1"/>
        <v>-169</v>
      </c>
      <c r="H32" s="283"/>
      <c r="I32" s="175"/>
      <c r="J32" s="161">
        <f t="shared" si="6"/>
        <v>0</v>
      </c>
    </row>
    <row r="33">
      <c r="B33" s="182" t="s">
        <v>533</v>
      </c>
      <c r="C33" s="183"/>
      <c r="D33" s="31"/>
      <c r="E33" s="184">
        <f t="shared" ref="E33:F33" si="7">SUM(E15:E32)</f>
        <v>1000700</v>
      </c>
      <c r="F33" s="184">
        <f t="shared" si="7"/>
        <v>54601</v>
      </c>
      <c r="G33" s="185"/>
      <c r="H33" s="185">
        <f>SUM(H15:H32)</f>
        <v>162</v>
      </c>
      <c r="I33" s="186">
        <f>(H33-F33)/E33</f>
        <v>-0.05440091936</v>
      </c>
      <c r="J33" s="186">
        <f t="shared" si="6"/>
        <v>0.0001618866793</v>
      </c>
    </row>
    <row r="34">
      <c r="B34" s="187"/>
      <c r="C34" s="188"/>
      <c r="D34" s="189"/>
      <c r="E34" s="159"/>
      <c r="F34" s="160"/>
      <c r="G34" s="160"/>
      <c r="H34" s="160"/>
      <c r="I34" s="161"/>
      <c r="J34" s="161"/>
    </row>
    <row r="35">
      <c r="B35" s="156" t="s">
        <v>6</v>
      </c>
      <c r="C35" s="157" t="s">
        <v>8</v>
      </c>
      <c r="D35" s="158" t="s">
        <v>536</v>
      </c>
      <c r="E35" s="159">
        <v>217500.0</v>
      </c>
      <c r="F35" s="159">
        <v>67791.0</v>
      </c>
      <c r="G35" s="160">
        <f t="shared" ref="G35:G36" si="8">H35-F35</f>
        <v>-67791</v>
      </c>
      <c r="H35" s="160">
        <f>sum('PENDATAAN PERUMAHAN'!E221:E228)</f>
        <v>0</v>
      </c>
      <c r="I35" s="161">
        <f t="shared" ref="I35:I39" si="9">(H35-F35)/E35</f>
        <v>-0.3116827586</v>
      </c>
      <c r="J35" s="161">
        <f t="shared" ref="J35:J39" si="10">H35/E35</f>
        <v>0</v>
      </c>
    </row>
    <row r="36">
      <c r="B36" s="27"/>
      <c r="C36" s="27"/>
      <c r="D36" s="158" t="s">
        <v>538</v>
      </c>
      <c r="E36" s="159">
        <v>300000.0</v>
      </c>
      <c r="F36" s="159">
        <v>0.0</v>
      </c>
      <c r="G36" s="160">
        <f t="shared" si="8"/>
        <v>0</v>
      </c>
      <c r="H36" s="159">
        <v>0.0</v>
      </c>
      <c r="I36" s="161">
        <f t="shared" si="9"/>
        <v>0</v>
      </c>
      <c r="J36" s="161">
        <f t="shared" si="10"/>
        <v>0</v>
      </c>
    </row>
    <row r="37">
      <c r="B37" s="40"/>
      <c r="C37" s="40"/>
      <c r="D37" s="158" t="s">
        <v>541</v>
      </c>
      <c r="E37" s="159">
        <v>0.0</v>
      </c>
      <c r="F37" s="159">
        <v>0.0</v>
      </c>
      <c r="G37" s="160"/>
      <c r="H37" s="159">
        <v>0.0</v>
      </c>
      <c r="I37" s="161" t="str">
        <f t="shared" si="9"/>
        <v>#DIV/0!</v>
      </c>
      <c r="J37" s="161" t="str">
        <f t="shared" si="10"/>
        <v>#DIV/0!</v>
      </c>
    </row>
    <row r="38">
      <c r="B38" s="193" t="s">
        <v>542</v>
      </c>
      <c r="C38" s="19"/>
      <c r="D38" s="20"/>
      <c r="E38" s="194">
        <f>E35+E36+E37</f>
        <v>517500</v>
      </c>
      <c r="F38" s="195">
        <f>SUM(F35:F37)</f>
        <v>67791</v>
      </c>
      <c r="G38" s="195">
        <f t="shared" ref="G38:G39" si="11">H38-F38</f>
        <v>-67791</v>
      </c>
      <c r="H38" s="195">
        <f>H35+H36+H37</f>
        <v>0</v>
      </c>
      <c r="I38" s="186">
        <f t="shared" si="9"/>
        <v>-0.1309971014</v>
      </c>
      <c r="J38" s="186">
        <f t="shared" si="10"/>
        <v>0</v>
      </c>
    </row>
    <row r="39">
      <c r="B39" s="197" t="s">
        <v>544</v>
      </c>
      <c r="C39" s="19"/>
      <c r="D39" s="20"/>
      <c r="E39" s="198">
        <f>E38+E33</f>
        <v>1518200</v>
      </c>
      <c r="F39" s="199">
        <f>F33+F38</f>
        <v>122392</v>
      </c>
      <c r="G39" s="200">
        <f t="shared" si="11"/>
        <v>-122230</v>
      </c>
      <c r="H39" s="199">
        <f>H38+H33</f>
        <v>162</v>
      </c>
      <c r="I39" s="201">
        <f t="shared" si="9"/>
        <v>-0.08050981425</v>
      </c>
      <c r="J39" s="201">
        <f t="shared" si="10"/>
        <v>0.0001067053089</v>
      </c>
    </row>
  </sheetData>
  <mergeCells count="16">
    <mergeCell ref="D5:D12"/>
    <mergeCell ref="E5:E6"/>
    <mergeCell ref="E7:E8"/>
    <mergeCell ref="E9:E10"/>
    <mergeCell ref="B15:B23"/>
    <mergeCell ref="C15:C18"/>
    <mergeCell ref="E17:E18"/>
    <mergeCell ref="B38:D38"/>
    <mergeCell ref="B39:D39"/>
    <mergeCell ref="C19:C20"/>
    <mergeCell ref="C21:C23"/>
    <mergeCell ref="B24:B32"/>
    <mergeCell ref="C24:C32"/>
    <mergeCell ref="B33:D33"/>
    <mergeCell ref="B35:B37"/>
    <mergeCell ref="C35:C37"/>
  </mergeCells>
  <hyperlinks>
    <hyperlink r:id="rId1" ref="E5"/>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692"/>
    </row>
    <row r="5">
      <c r="A5" s="693"/>
      <c r="B5" s="694" t="s">
        <v>1285</v>
      </c>
      <c r="C5" s="694" t="s">
        <v>295</v>
      </c>
      <c r="D5" s="695" t="s">
        <v>827</v>
      </c>
      <c r="E5" s="636" t="s">
        <v>1114</v>
      </c>
      <c r="F5" s="696"/>
    </row>
    <row r="6">
      <c r="A6" s="693"/>
      <c r="B6" s="694"/>
      <c r="C6" s="694" t="s">
        <v>297</v>
      </c>
      <c r="D6" s="27"/>
      <c r="E6" s="697" t="s">
        <v>1116</v>
      </c>
      <c r="F6" s="696"/>
    </row>
    <row r="7">
      <c r="A7" s="693"/>
      <c r="B7" s="694"/>
      <c r="C7" s="694" t="s">
        <v>300</v>
      </c>
      <c r="D7" s="40"/>
      <c r="E7" s="697" t="s">
        <v>1335</v>
      </c>
      <c r="F7" s="696"/>
    </row>
    <row r="8">
      <c r="A8" s="690"/>
      <c r="B8" s="690"/>
      <c r="C8" s="690"/>
      <c r="D8" s="690"/>
      <c r="E8" s="690"/>
    </row>
    <row r="9">
      <c r="A9" s="690"/>
      <c r="B9" s="151" t="s">
        <v>494</v>
      </c>
      <c r="C9" s="152" t="s">
        <v>495</v>
      </c>
      <c r="D9" s="152" t="s">
        <v>15</v>
      </c>
      <c r="E9" s="152" t="s">
        <v>496</v>
      </c>
      <c r="F9" s="152" t="s">
        <v>497</v>
      </c>
      <c r="G9" s="152" t="s">
        <v>498</v>
      </c>
      <c r="H9" s="152" t="s">
        <v>499</v>
      </c>
      <c r="I9" s="152" t="s">
        <v>500</v>
      </c>
      <c r="J9" s="152" t="s">
        <v>501</v>
      </c>
    </row>
    <row r="10">
      <c r="A10" s="690"/>
      <c r="B10" s="156" t="s">
        <v>2</v>
      </c>
      <c r="C10" s="157" t="s">
        <v>505</v>
      </c>
      <c r="D10" s="158" t="s">
        <v>506</v>
      </c>
      <c r="E10" s="159">
        <v>518.0</v>
      </c>
      <c r="F10" s="159">
        <v>0.0</v>
      </c>
      <c r="G10" s="160">
        <f t="shared" ref="G10:G27" si="1">H10-F10</f>
        <v>0</v>
      </c>
      <c r="H10" s="160">
        <f>sum('PENDATAAN PERUMAHAN'!J131:J133)</f>
        <v>0</v>
      </c>
      <c r="I10" s="161">
        <f>(H10-F10)/E10</f>
        <v>0</v>
      </c>
      <c r="J10" s="161" t="str">
        <f t="shared" ref="J10:J11" si="2">H10/$E$2</f>
        <v>#DIV/0!</v>
      </c>
    </row>
    <row r="11">
      <c r="B11" s="27"/>
      <c r="C11" s="27"/>
      <c r="D11" s="164" t="s">
        <v>508</v>
      </c>
      <c r="E11" s="159">
        <v>0.0</v>
      </c>
      <c r="F11" s="159">
        <v>138.0</v>
      </c>
      <c r="G11" s="160">
        <f t="shared" si="1"/>
        <v>-138</v>
      </c>
      <c r="H11" s="266">
        <f>sum('PENDATAAN PERUMAHAN'!K131:K133)</f>
        <v>0</v>
      </c>
      <c r="I11" s="161"/>
      <c r="J11" s="161" t="str">
        <f t="shared" si="2"/>
        <v>#DIV/0!</v>
      </c>
    </row>
    <row r="12">
      <c r="B12" s="27"/>
      <c r="C12" s="27"/>
      <c r="D12" s="164" t="s">
        <v>25</v>
      </c>
      <c r="E12" s="166">
        <v>2500.0</v>
      </c>
      <c r="F12" s="159">
        <v>4668.0</v>
      </c>
      <c r="G12" s="160">
        <f t="shared" si="1"/>
        <v>-4656</v>
      </c>
      <c r="H12" s="266">
        <f>sum('PENDATAAN PERUMAHAN'!M131:M133)</f>
        <v>12</v>
      </c>
      <c r="I12" s="161">
        <f>(H12-F12)/E12</f>
        <v>-1.8624</v>
      </c>
      <c r="J12" s="161">
        <f>H12/E12</f>
        <v>0.0048</v>
      </c>
    </row>
    <row r="13">
      <c r="B13" s="27"/>
      <c r="C13" s="40"/>
      <c r="D13" s="164" t="s">
        <v>24</v>
      </c>
      <c r="E13" s="40"/>
      <c r="F13" s="159">
        <v>407.0</v>
      </c>
      <c r="G13" s="160">
        <f t="shared" si="1"/>
        <v>-407</v>
      </c>
      <c r="H13" s="266">
        <f>sum('PENDATAAN PERUMAHAN'!L131:L133)</f>
        <v>0</v>
      </c>
      <c r="I13" s="161"/>
      <c r="J13" s="161"/>
    </row>
    <row r="14">
      <c r="B14" s="27"/>
      <c r="C14" s="157" t="s">
        <v>13</v>
      </c>
      <c r="D14" s="164" t="s">
        <v>512</v>
      </c>
      <c r="E14" s="159">
        <v>160000.0</v>
      </c>
      <c r="F14" s="159">
        <v>11206.0</v>
      </c>
      <c r="G14" s="160">
        <f t="shared" si="1"/>
        <v>-11173</v>
      </c>
      <c r="H14" s="266">
        <f>sum('PENDATAAN PERUMAHAN'!F130:F131)</f>
        <v>33</v>
      </c>
      <c r="I14" s="161">
        <f t="shared" ref="I14:I17" si="3">(H14-F14)/E14</f>
        <v>-0.06983125</v>
      </c>
      <c r="J14" s="161">
        <f t="shared" ref="J14:J23" si="4">H14/E14</f>
        <v>0.00020625</v>
      </c>
    </row>
    <row r="15">
      <c r="B15" s="27"/>
      <c r="C15" s="40"/>
      <c r="D15" s="164" t="s">
        <v>514</v>
      </c>
      <c r="E15" s="159">
        <v>80000.0</v>
      </c>
      <c r="F15" s="159">
        <v>346.0</v>
      </c>
      <c r="G15" s="160">
        <f t="shared" si="1"/>
        <v>-346</v>
      </c>
      <c r="H15" s="266">
        <f>sum('PENDATAAN PERUMAHAN'!G131:G133)</f>
        <v>0</v>
      </c>
      <c r="I15" s="161">
        <f t="shared" si="3"/>
        <v>-0.004325</v>
      </c>
      <c r="J15" s="161">
        <f t="shared" si="4"/>
        <v>0</v>
      </c>
    </row>
    <row r="16">
      <c r="B16" s="27"/>
      <c r="C16" s="157" t="s">
        <v>14</v>
      </c>
      <c r="D16" s="158" t="s">
        <v>21</v>
      </c>
      <c r="E16" s="159">
        <v>197500.0</v>
      </c>
      <c r="F16" s="159">
        <v>6706.0</v>
      </c>
      <c r="G16" s="160">
        <f t="shared" si="1"/>
        <v>-6543</v>
      </c>
      <c r="H16" s="266">
        <f>sum('PENDATAAN PERUMAHAN'!H131:H133)</f>
        <v>163</v>
      </c>
      <c r="I16" s="161">
        <f t="shared" si="3"/>
        <v>-0.03312911392</v>
      </c>
      <c r="J16" s="161">
        <f t="shared" si="4"/>
        <v>0.0008253164557</v>
      </c>
    </row>
    <row r="17">
      <c r="B17" s="27"/>
      <c r="C17" s="27"/>
      <c r="D17" s="158" t="s">
        <v>517</v>
      </c>
      <c r="E17" s="166">
        <v>850.0</v>
      </c>
      <c r="F17" s="166">
        <v>397.0</v>
      </c>
      <c r="G17" s="160">
        <f t="shared" si="1"/>
        <v>-397</v>
      </c>
      <c r="H17" s="266">
        <f>sum('PENDATAAN PERUMAHAN'!I131:I133)</f>
        <v>0</v>
      </c>
      <c r="I17" s="161">
        <f t="shared" si="3"/>
        <v>-0.4670588235</v>
      </c>
      <c r="J17" s="161">
        <f t="shared" si="4"/>
        <v>0</v>
      </c>
    </row>
    <row r="18">
      <c r="B18" s="40"/>
      <c r="C18" s="40"/>
      <c r="D18" s="171" t="s">
        <v>519</v>
      </c>
      <c r="E18" s="166">
        <v>50.0</v>
      </c>
      <c r="F18" s="166">
        <v>16.0</v>
      </c>
      <c r="G18" s="160">
        <f t="shared" si="1"/>
        <v>-16</v>
      </c>
      <c r="H18" s="283"/>
      <c r="I18" s="161"/>
      <c r="J18" s="161">
        <f t="shared" si="4"/>
        <v>0</v>
      </c>
    </row>
    <row r="19">
      <c r="B19" s="156" t="s">
        <v>521</v>
      </c>
      <c r="C19" s="157" t="s">
        <v>522</v>
      </c>
      <c r="D19" s="171" t="s">
        <v>506</v>
      </c>
      <c r="E19" s="159">
        <v>15110.0</v>
      </c>
      <c r="F19" s="166">
        <v>0.0</v>
      </c>
      <c r="G19" s="160">
        <f t="shared" si="1"/>
        <v>0</v>
      </c>
      <c r="H19" s="266">
        <f>sum('PENDATAAN PERUMAHAN'!N131:N133)</f>
        <v>0</v>
      </c>
      <c r="I19" s="161">
        <f>(H19-F19)/E19</f>
        <v>0</v>
      </c>
      <c r="J19" s="161">
        <f t="shared" si="4"/>
        <v>0</v>
      </c>
    </row>
    <row r="20">
      <c r="B20" s="27"/>
      <c r="C20" s="27"/>
      <c r="D20" s="171" t="s">
        <v>508</v>
      </c>
      <c r="E20" s="159">
        <v>100.0</v>
      </c>
      <c r="F20" s="166">
        <v>848.0</v>
      </c>
      <c r="G20" s="160">
        <f t="shared" si="1"/>
        <v>-823</v>
      </c>
      <c r="H20" s="266">
        <f>sum('PENDATAAN PERUMAHAN'!O131:O133)</f>
        <v>25</v>
      </c>
      <c r="I20" s="161"/>
      <c r="J20" s="161">
        <f t="shared" si="4"/>
        <v>0.25</v>
      </c>
    </row>
    <row r="21">
      <c r="B21" s="27"/>
      <c r="C21" s="27"/>
      <c r="D21" s="171" t="s">
        <v>525</v>
      </c>
      <c r="E21" s="159">
        <v>675.0</v>
      </c>
      <c r="F21" s="159">
        <v>0.0</v>
      </c>
      <c r="G21" s="160">
        <f t="shared" si="1"/>
        <v>0</v>
      </c>
      <c r="H21" s="266">
        <f>sum('PENDATAAN PERUMAHAN'!P131:P133)</f>
        <v>0</v>
      </c>
      <c r="I21" s="161">
        <f t="shared" ref="I21:I26" si="5">(H21-F21)/E21</f>
        <v>0</v>
      </c>
      <c r="J21" s="161">
        <f t="shared" si="4"/>
        <v>0</v>
      </c>
    </row>
    <row r="22">
      <c r="B22" s="27"/>
      <c r="C22" s="27"/>
      <c r="D22" s="171" t="s">
        <v>25</v>
      </c>
      <c r="E22" s="159">
        <v>13500.0</v>
      </c>
      <c r="F22" s="159">
        <v>24219.0</v>
      </c>
      <c r="G22" s="160">
        <f t="shared" si="1"/>
        <v>-23675</v>
      </c>
      <c r="H22" s="266">
        <f>sum('PENDATAAN PERUMAHAN'!R131:R133)</f>
        <v>544</v>
      </c>
      <c r="I22" s="161">
        <f t="shared" si="5"/>
        <v>-1.753703704</v>
      </c>
      <c r="J22" s="161">
        <f t="shared" si="4"/>
        <v>0.0402962963</v>
      </c>
    </row>
    <row r="23">
      <c r="B23" s="27"/>
      <c r="C23" s="27"/>
      <c r="D23" s="158" t="s">
        <v>24</v>
      </c>
      <c r="E23" s="159">
        <v>42200.0</v>
      </c>
      <c r="F23" s="159">
        <v>2272.0</v>
      </c>
      <c r="G23" s="160">
        <f t="shared" si="1"/>
        <v>-2272</v>
      </c>
      <c r="H23" s="266">
        <f>sum('PENDATAAN PERUMAHAN'!Q131:Q133)</f>
        <v>0</v>
      </c>
      <c r="I23" s="161">
        <f t="shared" si="5"/>
        <v>-0.05383886256</v>
      </c>
      <c r="J23" s="161">
        <f t="shared" si="4"/>
        <v>0</v>
      </c>
    </row>
    <row r="24">
      <c r="B24" s="27"/>
      <c r="C24" s="27"/>
      <c r="D24" s="158" t="s">
        <v>28</v>
      </c>
      <c r="E24" s="159">
        <v>0.0</v>
      </c>
      <c r="F24" s="159">
        <v>0.0</v>
      </c>
      <c r="G24" s="160">
        <f t="shared" si="1"/>
        <v>0</v>
      </c>
      <c r="H24" s="266">
        <f>sum('PENDATAAN PERUMAHAN'!T131:T133)</f>
        <v>0</v>
      </c>
      <c r="I24" s="161" t="str">
        <f t="shared" si="5"/>
        <v>#DIV/0!</v>
      </c>
      <c r="J24" s="161">
        <f>H24/36</f>
        <v>0</v>
      </c>
    </row>
    <row r="25">
      <c r="B25" s="27"/>
      <c r="C25" s="27"/>
      <c r="D25" s="158" t="s">
        <v>517</v>
      </c>
      <c r="E25" s="159">
        <v>600.0</v>
      </c>
      <c r="F25" s="159">
        <v>2104.0</v>
      </c>
      <c r="G25" s="160">
        <f t="shared" si="1"/>
        <v>-2094</v>
      </c>
      <c r="H25" s="266">
        <f>sum('PENDATAAN PERUMAHAN'!S131:S133)</f>
        <v>10</v>
      </c>
      <c r="I25" s="161">
        <f t="shared" si="5"/>
        <v>-3.49</v>
      </c>
      <c r="J25" s="161">
        <f t="shared" ref="J25:J28" si="6">H25/E25</f>
        <v>0.01666666667</v>
      </c>
    </row>
    <row r="26">
      <c r="B26" s="27"/>
      <c r="C26" s="27"/>
      <c r="D26" s="158" t="s">
        <v>29</v>
      </c>
      <c r="E26" s="159">
        <v>486897.0</v>
      </c>
      <c r="F26" s="159">
        <v>1105.0</v>
      </c>
      <c r="G26" s="160">
        <f t="shared" si="1"/>
        <v>-854</v>
      </c>
      <c r="H26" s="266">
        <f>sum('PENDATAAN PERUMAHAN'!U131:U133)</f>
        <v>251</v>
      </c>
      <c r="I26" s="161">
        <f t="shared" si="5"/>
        <v>-0.001753964391</v>
      </c>
      <c r="J26" s="161">
        <f t="shared" si="6"/>
        <v>0.0005155094404</v>
      </c>
    </row>
    <row r="27">
      <c r="B27" s="40"/>
      <c r="C27" s="40"/>
      <c r="D27" s="174" t="s">
        <v>519</v>
      </c>
      <c r="E27" s="175">
        <v>200.0</v>
      </c>
      <c r="F27" s="175">
        <v>169.0</v>
      </c>
      <c r="G27" s="698">
        <f t="shared" si="1"/>
        <v>-169</v>
      </c>
      <c r="H27" s="283"/>
      <c r="I27" s="175"/>
      <c r="J27" s="161">
        <f t="shared" si="6"/>
        <v>0</v>
      </c>
    </row>
    <row r="28">
      <c r="B28" s="182" t="s">
        <v>533</v>
      </c>
      <c r="C28" s="183"/>
      <c r="D28" s="31"/>
      <c r="E28" s="184">
        <f t="shared" ref="E28:F28" si="7">SUM(E10:E27)</f>
        <v>1000700</v>
      </c>
      <c r="F28" s="184">
        <f t="shared" si="7"/>
        <v>54601</v>
      </c>
      <c r="G28" s="185"/>
      <c r="H28" s="185">
        <f>SUM(H10:H27)</f>
        <v>1038</v>
      </c>
      <c r="I28" s="186">
        <f>(H28-F28)/E28</f>
        <v>-0.05352553213</v>
      </c>
      <c r="J28" s="186">
        <f t="shared" si="6"/>
        <v>0.001037273908</v>
      </c>
    </row>
    <row r="29">
      <c r="B29" s="187"/>
      <c r="C29" s="188"/>
      <c r="D29" s="189"/>
      <c r="E29" s="159"/>
      <c r="F29" s="160"/>
      <c r="G29" s="160"/>
      <c r="H29" s="160"/>
      <c r="I29" s="161"/>
      <c r="J29" s="161"/>
    </row>
    <row r="30">
      <c r="B30" s="156" t="s">
        <v>6</v>
      </c>
      <c r="C30" s="157" t="s">
        <v>8</v>
      </c>
      <c r="D30" s="158" t="s">
        <v>536</v>
      </c>
      <c r="E30" s="159">
        <v>217500.0</v>
      </c>
      <c r="F30" s="159">
        <v>67791.0</v>
      </c>
      <c r="G30" s="160">
        <f t="shared" ref="G30:G31" si="8">H30-F30</f>
        <v>-67230</v>
      </c>
      <c r="H30" s="160">
        <f>sum('PENDATAAN PERUMAHAN'!E131:E133)</f>
        <v>561</v>
      </c>
      <c r="I30" s="161">
        <f t="shared" ref="I30:I34" si="9">(H30-F30)/E30</f>
        <v>-0.3091034483</v>
      </c>
      <c r="J30" s="161">
        <f t="shared" ref="J30:J34" si="10">H30/E30</f>
        <v>0.002579310345</v>
      </c>
    </row>
    <row r="31">
      <c r="B31" s="27"/>
      <c r="C31" s="27"/>
      <c r="D31" s="158" t="s">
        <v>538</v>
      </c>
      <c r="E31" s="159">
        <v>300000.0</v>
      </c>
      <c r="F31" s="159">
        <v>0.0</v>
      </c>
      <c r="G31" s="160">
        <f t="shared" si="8"/>
        <v>0</v>
      </c>
      <c r="H31" s="159">
        <v>0.0</v>
      </c>
      <c r="I31" s="161">
        <f t="shared" si="9"/>
        <v>0</v>
      </c>
      <c r="J31" s="161">
        <f t="shared" si="10"/>
        <v>0</v>
      </c>
    </row>
    <row r="32">
      <c r="B32" s="40"/>
      <c r="C32" s="40"/>
      <c r="D32" s="158" t="s">
        <v>541</v>
      </c>
      <c r="E32" s="159">
        <v>0.0</v>
      </c>
      <c r="F32" s="159">
        <v>0.0</v>
      </c>
      <c r="G32" s="160"/>
      <c r="H32" s="159">
        <v>0.0</v>
      </c>
      <c r="I32" s="161" t="str">
        <f t="shared" si="9"/>
        <v>#DIV/0!</v>
      </c>
      <c r="J32" s="161" t="str">
        <f t="shared" si="10"/>
        <v>#DIV/0!</v>
      </c>
    </row>
    <row r="33">
      <c r="B33" s="193" t="s">
        <v>542</v>
      </c>
      <c r="C33" s="19"/>
      <c r="D33" s="20"/>
      <c r="E33" s="194">
        <f>E30+E31+E32</f>
        <v>517500</v>
      </c>
      <c r="F33" s="195">
        <f>SUM(F30:F32)</f>
        <v>67791</v>
      </c>
      <c r="G33" s="195">
        <f t="shared" ref="G33:G34" si="11">H33-F33</f>
        <v>-67230</v>
      </c>
      <c r="H33" s="195">
        <f>H30+H31+H32</f>
        <v>561</v>
      </c>
      <c r="I33" s="186">
        <f t="shared" si="9"/>
        <v>-0.1299130435</v>
      </c>
      <c r="J33" s="186">
        <f t="shared" si="10"/>
        <v>0.001084057971</v>
      </c>
    </row>
    <row r="34">
      <c r="B34" s="197" t="s">
        <v>544</v>
      </c>
      <c r="C34" s="19"/>
      <c r="D34" s="20"/>
      <c r="E34" s="198">
        <f>E33+E28</f>
        <v>1518200</v>
      </c>
      <c r="F34" s="199">
        <f>F28+F33</f>
        <v>122392</v>
      </c>
      <c r="G34" s="200">
        <f t="shared" si="11"/>
        <v>-120793</v>
      </c>
      <c r="H34" s="199">
        <f>H33+H28</f>
        <v>1599</v>
      </c>
      <c r="I34" s="201">
        <f t="shared" si="9"/>
        <v>-0.07956329864</v>
      </c>
      <c r="J34" s="201">
        <f t="shared" si="10"/>
        <v>0.00105322092</v>
      </c>
    </row>
  </sheetData>
  <mergeCells count="13">
    <mergeCell ref="C19:C27"/>
    <mergeCell ref="B28:D28"/>
    <mergeCell ref="B30:B32"/>
    <mergeCell ref="C30:C32"/>
    <mergeCell ref="B33:D33"/>
    <mergeCell ref="B34:D34"/>
    <mergeCell ref="D5:D7"/>
    <mergeCell ref="B10:B18"/>
    <mergeCell ref="C10:C13"/>
    <mergeCell ref="E12:E13"/>
    <mergeCell ref="C14:C15"/>
    <mergeCell ref="C16:C18"/>
    <mergeCell ref="B19:B27"/>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1292</v>
      </c>
      <c r="C5" s="694" t="s">
        <v>177</v>
      </c>
      <c r="D5" s="695" t="s">
        <v>1024</v>
      </c>
      <c r="E5" s="636" t="s">
        <v>1025</v>
      </c>
      <c r="F5" s="707" t="s">
        <v>1336</v>
      </c>
    </row>
    <row r="6">
      <c r="A6" s="693"/>
      <c r="B6" s="694"/>
      <c r="C6" s="694" t="s">
        <v>179</v>
      </c>
      <c r="D6" s="27"/>
      <c r="E6" s="697" t="s">
        <v>788</v>
      </c>
      <c r="F6" s="707"/>
    </row>
    <row r="7">
      <c r="A7" s="693"/>
      <c r="B7" s="694"/>
      <c r="C7" s="694" t="s">
        <v>181</v>
      </c>
      <c r="D7" s="27"/>
      <c r="E7" s="697" t="s">
        <v>789</v>
      </c>
      <c r="F7" s="707"/>
    </row>
    <row r="8">
      <c r="A8" s="714"/>
      <c r="B8" s="714"/>
      <c r="C8" s="694" t="s">
        <v>184</v>
      </c>
      <c r="D8" s="40"/>
      <c r="E8" s="697" t="s">
        <v>790</v>
      </c>
      <c r="F8" s="679"/>
    </row>
    <row r="9">
      <c r="A9" s="714"/>
      <c r="B9" s="731" t="s">
        <v>1291</v>
      </c>
      <c r="C9" s="694" t="s">
        <v>247</v>
      </c>
      <c r="D9" s="732"/>
      <c r="E9" s="636" t="s">
        <v>803</v>
      </c>
      <c r="F9" s="733">
        <v>111.0</v>
      </c>
    </row>
    <row r="10">
      <c r="A10" s="690"/>
      <c r="B10" s="690"/>
      <c r="C10" s="726"/>
      <c r="D10" s="727"/>
      <c r="E10" s="728"/>
    </row>
    <row r="11">
      <c r="A11" s="690"/>
      <c r="B11" s="690"/>
      <c r="C11" s="726"/>
      <c r="D11" s="727"/>
      <c r="E11" s="728"/>
    </row>
    <row r="12">
      <c r="A12" s="690"/>
      <c r="B12" s="251"/>
      <c r="C12" s="734"/>
      <c r="D12" s="152"/>
      <c r="E12" s="734"/>
      <c r="F12" s="251"/>
      <c r="G12" s="251"/>
      <c r="H12" s="251"/>
      <c r="I12" s="251"/>
      <c r="J12" s="251"/>
    </row>
    <row r="13">
      <c r="A13" s="690"/>
      <c r="B13" s="151" t="s">
        <v>494</v>
      </c>
      <c r="C13" s="152" t="s">
        <v>495</v>
      </c>
      <c r="D13" s="152" t="s">
        <v>15</v>
      </c>
      <c r="E13" s="152" t="s">
        <v>496</v>
      </c>
      <c r="F13" s="152" t="s">
        <v>497</v>
      </c>
      <c r="G13" s="152" t="s">
        <v>498</v>
      </c>
      <c r="H13" s="152" t="s">
        <v>499</v>
      </c>
      <c r="I13" s="152" t="s">
        <v>500</v>
      </c>
      <c r="J13" s="152" t="s">
        <v>501</v>
      </c>
    </row>
    <row r="14">
      <c r="A14" s="690"/>
      <c r="B14" s="156" t="s">
        <v>2</v>
      </c>
      <c r="C14" s="157" t="s">
        <v>505</v>
      </c>
      <c r="D14" s="158" t="s">
        <v>506</v>
      </c>
      <c r="E14" s="159">
        <v>518.0</v>
      </c>
      <c r="F14" s="159">
        <v>0.0</v>
      </c>
      <c r="G14" s="160">
        <f t="shared" ref="G14:G31" si="1">H14-F14</f>
        <v>0</v>
      </c>
      <c r="H14" s="160">
        <f>sum('PENDATAAN PERUMAHAN'!J80:J83,J111)</f>
        <v>0</v>
      </c>
      <c r="I14" s="161">
        <f>(H14-F14)/E14</f>
        <v>0</v>
      </c>
      <c r="J14" s="161" t="str">
        <f t="shared" ref="J14:J15" si="2">H14/$E$2</f>
        <v>#DIV/0!</v>
      </c>
    </row>
    <row r="15">
      <c r="B15" s="27"/>
      <c r="C15" s="27"/>
      <c r="D15" s="164" t="s">
        <v>508</v>
      </c>
      <c r="E15" s="159">
        <v>0.0</v>
      </c>
      <c r="F15" s="159">
        <v>138.0</v>
      </c>
      <c r="G15" s="160">
        <f t="shared" si="1"/>
        <v>-138</v>
      </c>
      <c r="H15" s="266">
        <f>sum('PENDATAAN PERUMAHAN'!K80:K83,K111)</f>
        <v>0</v>
      </c>
      <c r="I15" s="161"/>
      <c r="J15" s="161" t="str">
        <f t="shared" si="2"/>
        <v>#DIV/0!</v>
      </c>
    </row>
    <row r="16">
      <c r="B16" s="27"/>
      <c r="C16" s="27"/>
      <c r="D16" s="164" t="s">
        <v>25</v>
      </c>
      <c r="E16" s="166">
        <v>2500.0</v>
      </c>
      <c r="F16" s="159">
        <v>4668.0</v>
      </c>
      <c r="G16" s="160">
        <f t="shared" si="1"/>
        <v>-4643</v>
      </c>
      <c r="H16" s="266">
        <f>sum('PENDATAAN PERUMAHAN'!M80:M83, M111)</f>
        <v>25</v>
      </c>
      <c r="I16" s="161">
        <f>(H16-F16)/E16</f>
        <v>-1.8572</v>
      </c>
      <c r="J16" s="161">
        <f>H16/E16</f>
        <v>0.01</v>
      </c>
    </row>
    <row r="17">
      <c r="B17" s="27"/>
      <c r="C17" s="40"/>
      <c r="D17" s="164" t="s">
        <v>24</v>
      </c>
      <c r="E17" s="40"/>
      <c r="F17" s="159">
        <v>407.0</v>
      </c>
      <c r="G17" s="160">
        <f t="shared" si="1"/>
        <v>-405</v>
      </c>
      <c r="H17" s="266">
        <f>sum('PENDATAAN PERUMAHAN'!L80:L83,L111)</f>
        <v>2</v>
      </c>
      <c r="I17" s="161"/>
      <c r="J17" s="161"/>
    </row>
    <row r="18">
      <c r="B18" s="27"/>
      <c r="C18" s="157" t="s">
        <v>13</v>
      </c>
      <c r="D18" s="164" t="s">
        <v>512</v>
      </c>
      <c r="E18" s="159">
        <v>160000.0</v>
      </c>
      <c r="F18" s="159">
        <v>11206.0</v>
      </c>
      <c r="G18" s="160">
        <f t="shared" si="1"/>
        <v>-10822</v>
      </c>
      <c r="H18" s="266">
        <f>sum('PENDATAAN PERUMAHAN'!F80:F83,F111)</f>
        <v>384</v>
      </c>
      <c r="I18" s="161">
        <f t="shared" ref="I18:I21" si="3">(H18-F18)/E18</f>
        <v>-0.0676375</v>
      </c>
      <c r="J18" s="161">
        <f t="shared" ref="J18:J27" si="4">H18/E18</f>
        <v>0.0024</v>
      </c>
    </row>
    <row r="19">
      <c r="B19" s="27"/>
      <c r="C19" s="40"/>
      <c r="D19" s="164" t="s">
        <v>514</v>
      </c>
      <c r="E19" s="159">
        <v>80000.0</v>
      </c>
      <c r="F19" s="159">
        <v>346.0</v>
      </c>
      <c r="G19" s="160">
        <f t="shared" si="1"/>
        <v>-268</v>
      </c>
      <c r="H19" s="266">
        <f>sum('PENDATAAN PERUMAHAN'!G80:G83,G111)</f>
        <v>78</v>
      </c>
      <c r="I19" s="161">
        <f t="shared" si="3"/>
        <v>-0.00335</v>
      </c>
      <c r="J19" s="161">
        <f t="shared" si="4"/>
        <v>0.000975</v>
      </c>
    </row>
    <row r="20">
      <c r="B20" s="27"/>
      <c r="C20" s="157" t="s">
        <v>14</v>
      </c>
      <c r="D20" s="158" t="s">
        <v>21</v>
      </c>
      <c r="E20" s="159">
        <v>197500.0</v>
      </c>
      <c r="F20" s="159">
        <v>6706.0</v>
      </c>
      <c r="G20" s="160">
        <f t="shared" si="1"/>
        <v>-6669</v>
      </c>
      <c r="H20" s="266">
        <f>sum('PENDATAAN PERUMAHAN'!H80:H83, H111)</f>
        <v>37</v>
      </c>
      <c r="I20" s="161">
        <f t="shared" si="3"/>
        <v>-0.03376708861</v>
      </c>
      <c r="J20" s="161">
        <f t="shared" si="4"/>
        <v>0.0001873417722</v>
      </c>
    </row>
    <row r="21">
      <c r="B21" s="27"/>
      <c r="C21" s="27"/>
      <c r="D21" s="158" t="s">
        <v>517</v>
      </c>
      <c r="E21" s="166">
        <v>850.0</v>
      </c>
      <c r="F21" s="166">
        <v>397.0</v>
      </c>
      <c r="G21" s="160">
        <f t="shared" si="1"/>
        <v>-391</v>
      </c>
      <c r="H21" s="266">
        <f>sum('PENDATAAN PERUMAHAN'!I80:I83,I111)</f>
        <v>6</v>
      </c>
      <c r="I21" s="161">
        <f t="shared" si="3"/>
        <v>-0.46</v>
      </c>
      <c r="J21" s="161">
        <f t="shared" si="4"/>
        <v>0.007058823529</v>
      </c>
    </row>
    <row r="22">
      <c r="B22" s="40"/>
      <c r="C22" s="40"/>
      <c r="D22" s="171" t="s">
        <v>519</v>
      </c>
      <c r="E22" s="166">
        <v>50.0</v>
      </c>
      <c r="F22" s="166">
        <v>16.0</v>
      </c>
      <c r="G22" s="160">
        <f t="shared" si="1"/>
        <v>-16</v>
      </c>
      <c r="H22" s="283"/>
      <c r="I22" s="161"/>
      <c r="J22" s="161">
        <f t="shared" si="4"/>
        <v>0</v>
      </c>
    </row>
    <row r="23">
      <c r="B23" s="156" t="s">
        <v>521</v>
      </c>
      <c r="C23" s="157" t="s">
        <v>522</v>
      </c>
      <c r="D23" s="171" t="s">
        <v>506</v>
      </c>
      <c r="E23" s="159">
        <v>15110.0</v>
      </c>
      <c r="F23" s="166">
        <v>0.0</v>
      </c>
      <c r="G23" s="160">
        <f t="shared" si="1"/>
        <v>0</v>
      </c>
      <c r="H23" s="266">
        <f>sum('PENDATAAN PERUMAHAN'!N80:N83, N111)</f>
        <v>0</v>
      </c>
      <c r="I23" s="161">
        <f>(H23-F23)/E23</f>
        <v>0</v>
      </c>
      <c r="J23" s="161">
        <f t="shared" si="4"/>
        <v>0</v>
      </c>
    </row>
    <row r="24">
      <c r="B24" s="27"/>
      <c r="C24" s="27"/>
      <c r="D24" s="171" t="s">
        <v>508</v>
      </c>
      <c r="E24" s="159">
        <v>100.0</v>
      </c>
      <c r="F24" s="166">
        <v>848.0</v>
      </c>
      <c r="G24" s="160">
        <f t="shared" si="1"/>
        <v>-848</v>
      </c>
      <c r="H24" s="266">
        <f>sum('PENDATAAN PERUMAHAN'!O80:O83,O111)</f>
        <v>0</v>
      </c>
      <c r="I24" s="161"/>
      <c r="J24" s="161">
        <f t="shared" si="4"/>
        <v>0</v>
      </c>
    </row>
    <row r="25">
      <c r="B25" s="27"/>
      <c r="C25" s="27"/>
      <c r="D25" s="171" t="s">
        <v>525</v>
      </c>
      <c r="E25" s="159">
        <v>675.0</v>
      </c>
      <c r="F25" s="159">
        <v>0.0</v>
      </c>
      <c r="G25" s="160">
        <f t="shared" si="1"/>
        <v>0</v>
      </c>
      <c r="H25" s="266">
        <f>sum('PENDATAAN PERUMAHAN'!P80:P83,P111)</f>
        <v>0</v>
      </c>
      <c r="I25" s="161">
        <f t="shared" ref="I25:I30" si="5">(H25-F25)/E25</f>
        <v>0</v>
      </c>
      <c r="J25" s="161">
        <f t="shared" si="4"/>
        <v>0</v>
      </c>
    </row>
    <row r="26">
      <c r="B26" s="27"/>
      <c r="C26" s="27"/>
      <c r="D26" s="171" t="s">
        <v>25</v>
      </c>
      <c r="E26" s="159">
        <v>13500.0</v>
      </c>
      <c r="F26" s="159">
        <v>24219.0</v>
      </c>
      <c r="G26" s="160">
        <f t="shared" si="1"/>
        <v>-23950</v>
      </c>
      <c r="H26" s="266">
        <f>sum('PENDATAAN PERUMAHAN'!R80:R83, 'PENDATAAN PERUMAHAN'!R111)</f>
        <v>269</v>
      </c>
      <c r="I26" s="161">
        <f t="shared" si="5"/>
        <v>-1.774074074</v>
      </c>
      <c r="J26" s="161">
        <f t="shared" si="4"/>
        <v>0.01992592593</v>
      </c>
    </row>
    <row r="27">
      <c r="B27" s="27"/>
      <c r="C27" s="27"/>
      <c r="D27" s="158" t="s">
        <v>24</v>
      </c>
      <c r="E27" s="159">
        <v>42200.0</v>
      </c>
      <c r="F27" s="159">
        <v>2272.0</v>
      </c>
      <c r="G27" s="160">
        <f t="shared" si="1"/>
        <v>-2182</v>
      </c>
      <c r="H27" s="266">
        <f>sum('PENDATAAN PERUMAHAN'!Q80:Q83,Q111)</f>
        <v>90</v>
      </c>
      <c r="I27" s="161">
        <f t="shared" si="5"/>
        <v>-0.05170616114</v>
      </c>
      <c r="J27" s="161">
        <f t="shared" si="4"/>
        <v>0.002132701422</v>
      </c>
    </row>
    <row r="28">
      <c r="B28" s="27"/>
      <c r="C28" s="27"/>
      <c r="D28" s="158" t="s">
        <v>28</v>
      </c>
      <c r="E28" s="159">
        <v>0.0</v>
      </c>
      <c r="F28" s="159">
        <v>0.0</v>
      </c>
      <c r="G28" s="160">
        <f t="shared" si="1"/>
        <v>0</v>
      </c>
      <c r="H28" s="266">
        <f>sum('PENDATAAN PERUMAHAN'!T80:T83,T111)</f>
        <v>0</v>
      </c>
      <c r="I28" s="161" t="str">
        <f t="shared" si="5"/>
        <v>#DIV/0!</v>
      </c>
      <c r="J28" s="161">
        <f>H28/36</f>
        <v>0</v>
      </c>
    </row>
    <row r="29">
      <c r="B29" s="27"/>
      <c r="C29" s="27"/>
      <c r="D29" s="158" t="s">
        <v>517</v>
      </c>
      <c r="E29" s="159">
        <v>600.0</v>
      </c>
      <c r="F29" s="159">
        <v>2104.0</v>
      </c>
      <c r="G29" s="160">
        <f t="shared" si="1"/>
        <v>-2022</v>
      </c>
      <c r="H29" s="266">
        <f>sum('PENDATAAN PERUMAHAN'!S80:S83,S111)</f>
        <v>82</v>
      </c>
      <c r="I29" s="161">
        <f t="shared" si="5"/>
        <v>-3.37</v>
      </c>
      <c r="J29" s="161">
        <f t="shared" ref="J29:J32" si="6">H29/E29</f>
        <v>0.1366666667</v>
      </c>
    </row>
    <row r="30">
      <c r="B30" s="27"/>
      <c r="C30" s="27"/>
      <c r="D30" s="158" t="s">
        <v>29</v>
      </c>
      <c r="E30" s="159">
        <v>486897.0</v>
      </c>
      <c r="F30" s="159">
        <v>1105.0</v>
      </c>
      <c r="G30" s="160">
        <f t="shared" si="1"/>
        <v>-1071</v>
      </c>
      <c r="H30" s="266">
        <f>sum('PENDATAAN PERUMAHAN'!U80:U83,U111)</f>
        <v>34</v>
      </c>
      <c r="I30" s="161">
        <f t="shared" si="5"/>
        <v>-0.002199643867</v>
      </c>
      <c r="J30" s="161">
        <f t="shared" si="6"/>
        <v>0.00006982996404</v>
      </c>
    </row>
    <row r="31">
      <c r="B31" s="40"/>
      <c r="C31" s="40"/>
      <c r="D31" s="174" t="s">
        <v>519</v>
      </c>
      <c r="E31" s="175">
        <v>200.0</v>
      </c>
      <c r="F31" s="175">
        <v>169.0</v>
      </c>
      <c r="G31" s="698">
        <f t="shared" si="1"/>
        <v>-169</v>
      </c>
      <c r="H31" s="283"/>
      <c r="I31" s="175"/>
      <c r="J31" s="161">
        <f t="shared" si="6"/>
        <v>0</v>
      </c>
    </row>
    <row r="32">
      <c r="B32" s="182" t="s">
        <v>533</v>
      </c>
      <c r="C32" s="183"/>
      <c r="D32" s="31"/>
      <c r="E32" s="184">
        <f t="shared" ref="E32:F32" si="7">SUM(E14:E31)</f>
        <v>1000700</v>
      </c>
      <c r="F32" s="184">
        <f t="shared" si="7"/>
        <v>54601</v>
      </c>
      <c r="G32" s="185"/>
      <c r="H32" s="185">
        <f>SUM(H14:H31)</f>
        <v>1007</v>
      </c>
      <c r="I32" s="186">
        <f>(H32-F32)/E32</f>
        <v>-0.05355651044</v>
      </c>
      <c r="J32" s="186">
        <f t="shared" si="6"/>
        <v>0.001006295593</v>
      </c>
    </row>
    <row r="33">
      <c r="B33" s="187"/>
      <c r="C33" s="188"/>
      <c r="D33" s="189"/>
      <c r="E33" s="159"/>
      <c r="F33" s="160"/>
      <c r="G33" s="160"/>
      <c r="H33" s="160"/>
      <c r="I33" s="161"/>
      <c r="J33" s="161"/>
    </row>
    <row r="34">
      <c r="B34" s="156" t="s">
        <v>6</v>
      </c>
      <c r="C34" s="157" t="s">
        <v>8</v>
      </c>
      <c r="D34" s="158" t="s">
        <v>536</v>
      </c>
      <c r="E34" s="159">
        <v>217500.0</v>
      </c>
      <c r="F34" s="159">
        <v>67791.0</v>
      </c>
      <c r="G34" s="160">
        <f t="shared" ref="G34:G35" si="8">H34-F34</f>
        <v>-65420</v>
      </c>
      <c r="H34" s="160">
        <f>sum('PENDATAAN PERUMAHAN'!E80:E83,'PENDATAAN PERUMAHAN'!E111)</f>
        <v>2371</v>
      </c>
      <c r="I34" s="161">
        <f t="shared" ref="I34:I38" si="9">(H34-F34)/E34</f>
        <v>-0.3007816092</v>
      </c>
      <c r="J34" s="161">
        <f t="shared" ref="J34:J38" si="10">H34/E34</f>
        <v>0.01090114943</v>
      </c>
    </row>
    <row r="35">
      <c r="B35" s="27"/>
      <c r="C35" s="27"/>
      <c r="D35" s="158" t="s">
        <v>538</v>
      </c>
      <c r="E35" s="159">
        <v>300000.0</v>
      </c>
      <c r="F35" s="159">
        <v>0.0</v>
      </c>
      <c r="G35" s="160">
        <f t="shared" si="8"/>
        <v>0</v>
      </c>
      <c r="H35" s="159">
        <v>0.0</v>
      </c>
      <c r="I35" s="161">
        <f t="shared" si="9"/>
        <v>0</v>
      </c>
      <c r="J35" s="161">
        <f t="shared" si="10"/>
        <v>0</v>
      </c>
    </row>
    <row r="36">
      <c r="B36" s="40"/>
      <c r="C36" s="40"/>
      <c r="D36" s="158" t="s">
        <v>541</v>
      </c>
      <c r="E36" s="159">
        <v>0.0</v>
      </c>
      <c r="F36" s="159">
        <v>0.0</v>
      </c>
      <c r="G36" s="160"/>
      <c r="H36" s="159">
        <v>0.0</v>
      </c>
      <c r="I36" s="161" t="str">
        <f t="shared" si="9"/>
        <v>#DIV/0!</v>
      </c>
      <c r="J36" s="161" t="str">
        <f t="shared" si="10"/>
        <v>#DIV/0!</v>
      </c>
    </row>
    <row r="37">
      <c r="B37" s="193" t="s">
        <v>542</v>
      </c>
      <c r="C37" s="19"/>
      <c r="D37" s="20"/>
      <c r="E37" s="194">
        <f>E34+E35+E36</f>
        <v>517500</v>
      </c>
      <c r="F37" s="195">
        <f>SUM(F34:F36)</f>
        <v>67791</v>
      </c>
      <c r="G37" s="195">
        <f t="shared" ref="G37:G38" si="11">H37-F37</f>
        <v>-65420</v>
      </c>
      <c r="H37" s="195">
        <f>H34+H35+H36</f>
        <v>2371</v>
      </c>
      <c r="I37" s="186">
        <f t="shared" si="9"/>
        <v>-0.1264154589</v>
      </c>
      <c r="J37" s="186">
        <f t="shared" si="10"/>
        <v>0.004581642512</v>
      </c>
    </row>
    <row r="38">
      <c r="B38" s="197" t="s">
        <v>544</v>
      </c>
      <c r="C38" s="19"/>
      <c r="D38" s="20"/>
      <c r="E38" s="198">
        <f>E37+E32</f>
        <v>1518200</v>
      </c>
      <c r="F38" s="199">
        <f>F32+F37</f>
        <v>122392</v>
      </c>
      <c r="G38" s="200">
        <f t="shared" si="11"/>
        <v>-119014</v>
      </c>
      <c r="H38" s="199">
        <f>H37+H32</f>
        <v>3378</v>
      </c>
      <c r="I38" s="201">
        <f t="shared" si="9"/>
        <v>-0.07839151627</v>
      </c>
      <c r="J38" s="201">
        <f t="shared" si="10"/>
        <v>0.002225003293</v>
      </c>
    </row>
  </sheetData>
  <mergeCells count="13">
    <mergeCell ref="C23:C31"/>
    <mergeCell ref="B32:D32"/>
    <mergeCell ref="B34:B36"/>
    <mergeCell ref="C34:C36"/>
    <mergeCell ref="B37:D37"/>
    <mergeCell ref="B38:D38"/>
    <mergeCell ref="D5:D8"/>
    <mergeCell ref="B14:B22"/>
    <mergeCell ref="C14:C17"/>
    <mergeCell ref="E16:E17"/>
    <mergeCell ref="C18:C19"/>
    <mergeCell ref="C20:C22"/>
    <mergeCell ref="B23:B3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1285</v>
      </c>
      <c r="C5" s="694" t="s">
        <v>315</v>
      </c>
      <c r="D5" s="695" t="s">
        <v>838</v>
      </c>
      <c r="E5" s="636" t="s">
        <v>1337</v>
      </c>
      <c r="F5" s="707"/>
    </row>
    <row r="6" ht="27.0" customHeight="1">
      <c r="A6" s="693"/>
      <c r="B6" s="694"/>
      <c r="C6" s="694" t="s">
        <v>317</v>
      </c>
      <c r="D6" s="27"/>
      <c r="E6" s="697" t="s">
        <v>1137</v>
      </c>
      <c r="F6" s="707"/>
    </row>
    <row r="7">
      <c r="A7" s="693"/>
      <c r="B7" s="694"/>
      <c r="C7" s="694" t="s">
        <v>319</v>
      </c>
      <c r="D7" s="27"/>
      <c r="E7" s="697" t="s">
        <v>841</v>
      </c>
      <c r="F7" s="707"/>
    </row>
    <row r="8">
      <c r="A8" s="714"/>
      <c r="B8" s="714"/>
      <c r="C8" s="694" t="s">
        <v>321</v>
      </c>
      <c r="D8" s="27"/>
      <c r="E8" s="697" t="s">
        <v>1338</v>
      </c>
      <c r="F8" s="679"/>
    </row>
    <row r="9">
      <c r="A9" s="714"/>
      <c r="B9" s="714"/>
      <c r="C9" s="694" t="s">
        <v>323</v>
      </c>
      <c r="D9" s="27"/>
      <c r="E9" s="697" t="s">
        <v>843</v>
      </c>
      <c r="F9" s="679"/>
    </row>
    <row r="10">
      <c r="A10" s="714"/>
      <c r="B10" s="714"/>
      <c r="C10" s="694" t="s">
        <v>325</v>
      </c>
      <c r="D10" s="27"/>
      <c r="E10" s="697" t="s">
        <v>844</v>
      </c>
      <c r="F10" s="679"/>
    </row>
    <row r="11">
      <c r="A11" s="714"/>
      <c r="B11" s="714"/>
      <c r="C11" s="694" t="s">
        <v>327</v>
      </c>
      <c r="D11" s="27"/>
      <c r="E11" s="697" t="s">
        <v>846</v>
      </c>
      <c r="F11" s="679"/>
    </row>
    <row r="12">
      <c r="A12" s="714"/>
      <c r="B12" s="714"/>
      <c r="C12" s="694" t="s">
        <v>328</v>
      </c>
      <c r="D12" s="27"/>
      <c r="E12" s="697" t="s">
        <v>847</v>
      </c>
      <c r="F12" s="679"/>
    </row>
    <row r="13">
      <c r="A13" s="714"/>
      <c r="B13" s="714"/>
      <c r="C13" s="694" t="s">
        <v>330</v>
      </c>
      <c r="D13" s="27"/>
      <c r="E13" s="697" t="s">
        <v>848</v>
      </c>
      <c r="F13" s="679"/>
    </row>
    <row r="14">
      <c r="A14" s="714"/>
      <c r="B14" s="714"/>
      <c r="C14" s="694" t="s">
        <v>332</v>
      </c>
      <c r="D14" s="27"/>
      <c r="E14" s="697" t="s">
        <v>849</v>
      </c>
      <c r="F14" s="679"/>
    </row>
    <row r="15">
      <c r="A15" s="714"/>
      <c r="B15" s="731" t="s">
        <v>1339</v>
      </c>
      <c r="C15" s="694" t="s">
        <v>335</v>
      </c>
      <c r="D15" s="40"/>
      <c r="E15" s="697" t="s">
        <v>850</v>
      </c>
      <c r="F15" s="679"/>
    </row>
    <row r="16">
      <c r="A16" s="690"/>
      <c r="B16" s="690"/>
      <c r="C16" s="726"/>
      <c r="D16" s="727"/>
      <c r="E16" s="728"/>
    </row>
    <row r="17">
      <c r="A17" s="690"/>
      <c r="B17" s="690"/>
      <c r="C17" s="726"/>
      <c r="D17" s="727"/>
      <c r="E17" s="728"/>
    </row>
    <row r="18">
      <c r="A18" s="690"/>
      <c r="B18" s="690"/>
      <c r="C18" s="726"/>
      <c r="D18" s="727"/>
      <c r="E18" s="728"/>
    </row>
    <row r="19">
      <c r="A19" s="690"/>
      <c r="B19" s="251"/>
      <c r="C19" s="734"/>
      <c r="D19" s="152"/>
      <c r="E19" s="734"/>
      <c r="F19" s="251"/>
      <c r="G19" s="251"/>
      <c r="H19" s="251"/>
      <c r="I19" s="251"/>
      <c r="J19" s="251"/>
    </row>
    <row r="20">
      <c r="A20" s="690"/>
      <c r="B20" s="151" t="s">
        <v>494</v>
      </c>
      <c r="C20" s="152" t="s">
        <v>495</v>
      </c>
      <c r="D20" s="152" t="s">
        <v>15</v>
      </c>
      <c r="E20" s="152" t="s">
        <v>496</v>
      </c>
      <c r="F20" s="152" t="s">
        <v>497</v>
      </c>
      <c r="G20" s="152" t="s">
        <v>498</v>
      </c>
      <c r="H20" s="152" t="s">
        <v>499</v>
      </c>
      <c r="I20" s="152" t="s">
        <v>500</v>
      </c>
      <c r="J20" s="152" t="s">
        <v>501</v>
      </c>
    </row>
    <row r="21">
      <c r="A21" s="690"/>
      <c r="B21" s="156" t="s">
        <v>2</v>
      </c>
      <c r="C21" s="157" t="s">
        <v>505</v>
      </c>
      <c r="D21" s="158" t="s">
        <v>506</v>
      </c>
      <c r="E21" s="159">
        <v>518.0</v>
      </c>
      <c r="F21" s="159">
        <v>0.0</v>
      </c>
      <c r="G21" s="160">
        <f t="shared" ref="G21:G38" si="1">H21-F21</f>
        <v>0</v>
      </c>
      <c r="H21" s="160">
        <f>sum('PENDATAAN PERUMAHAN'!J140:J150)</f>
        <v>0</v>
      </c>
      <c r="I21" s="161">
        <f>(H21-F21)/E21</f>
        <v>0</v>
      </c>
      <c r="J21" s="161" t="str">
        <f t="shared" ref="J21:J22" si="2">H21/$E$2</f>
        <v>#DIV/0!</v>
      </c>
    </row>
    <row r="22">
      <c r="B22" s="27"/>
      <c r="C22" s="27"/>
      <c r="D22" s="164" t="s">
        <v>508</v>
      </c>
      <c r="E22" s="159">
        <v>0.0</v>
      </c>
      <c r="F22" s="159">
        <v>138.0</v>
      </c>
      <c r="G22" s="160">
        <f t="shared" si="1"/>
        <v>-116</v>
      </c>
      <c r="H22" s="160">
        <f>sum('PENDATAAN PERUMAHAN'!K140:K150)</f>
        <v>22</v>
      </c>
      <c r="I22" s="161"/>
      <c r="J22" s="161" t="str">
        <f t="shared" si="2"/>
        <v>#DIV/0!</v>
      </c>
    </row>
    <row r="23">
      <c r="B23" s="27"/>
      <c r="C23" s="27"/>
      <c r="D23" s="164" t="s">
        <v>25</v>
      </c>
      <c r="E23" s="166">
        <v>2500.0</v>
      </c>
      <c r="F23" s="159">
        <v>4668.0</v>
      </c>
      <c r="G23" s="160">
        <f t="shared" si="1"/>
        <v>11395</v>
      </c>
      <c r="H23" s="160">
        <f>sum('PENDATAAN PERUMAHAN'!M140:Z150)</f>
        <v>16063</v>
      </c>
      <c r="I23" s="161">
        <f>(H23-F23)/E23</f>
        <v>4.558</v>
      </c>
      <c r="J23" s="161">
        <f>H23/E23</f>
        <v>6.4252</v>
      </c>
    </row>
    <row r="24">
      <c r="B24" s="27"/>
      <c r="C24" s="40"/>
      <c r="D24" s="164" t="s">
        <v>24</v>
      </c>
      <c r="E24" s="40"/>
      <c r="F24" s="159">
        <v>407.0</v>
      </c>
      <c r="G24" s="160">
        <f t="shared" si="1"/>
        <v>-406</v>
      </c>
      <c r="H24" s="160">
        <f>sum('PENDATAAN PERUMAHAN'!L140:L150)</f>
        <v>1</v>
      </c>
      <c r="I24" s="161"/>
      <c r="J24" s="161"/>
    </row>
    <row r="25">
      <c r="B25" s="27"/>
      <c r="C25" s="157" t="s">
        <v>13</v>
      </c>
      <c r="D25" s="164" t="s">
        <v>512</v>
      </c>
      <c r="E25" s="159">
        <v>160000.0</v>
      </c>
      <c r="F25" s="159">
        <v>11206.0</v>
      </c>
      <c r="G25" s="160">
        <f t="shared" si="1"/>
        <v>-9815</v>
      </c>
      <c r="H25" s="160">
        <f>sum('PENDATAAN PERUMAHAN'!F140:F150)</f>
        <v>1391</v>
      </c>
      <c r="I25" s="161">
        <f t="shared" ref="I25:I28" si="3">(H25-F25)/E25</f>
        <v>-0.06134375</v>
      </c>
      <c r="J25" s="161">
        <f t="shared" ref="J25:J34" si="4">H25/E25</f>
        <v>0.00869375</v>
      </c>
    </row>
    <row r="26">
      <c r="B26" s="27"/>
      <c r="C26" s="40"/>
      <c r="D26" s="164" t="s">
        <v>514</v>
      </c>
      <c r="E26" s="159">
        <v>80000.0</v>
      </c>
      <c r="F26" s="159">
        <v>346.0</v>
      </c>
      <c r="G26" s="160">
        <f t="shared" si="1"/>
        <v>-346</v>
      </c>
      <c r="H26" s="160">
        <f>sum('PENDATAAN PERUMAHAN'!G140:G150)</f>
        <v>0</v>
      </c>
      <c r="I26" s="161">
        <f t="shared" si="3"/>
        <v>-0.004325</v>
      </c>
      <c r="J26" s="161">
        <f t="shared" si="4"/>
        <v>0</v>
      </c>
    </row>
    <row r="27">
      <c r="B27" s="27"/>
      <c r="C27" s="157" t="s">
        <v>14</v>
      </c>
      <c r="D27" s="158" t="s">
        <v>21</v>
      </c>
      <c r="E27" s="159">
        <v>197500.0</v>
      </c>
      <c r="F27" s="159">
        <v>6706.0</v>
      </c>
      <c r="G27" s="160">
        <f t="shared" si="1"/>
        <v>-6704</v>
      </c>
      <c r="H27" s="160">
        <f>sum('PENDATAAN PERUMAHAN'!H140:H150)</f>
        <v>2</v>
      </c>
      <c r="I27" s="161">
        <f t="shared" si="3"/>
        <v>-0.0339443038</v>
      </c>
      <c r="J27" s="161">
        <f t="shared" si="4"/>
        <v>0.00001012658228</v>
      </c>
    </row>
    <row r="28">
      <c r="B28" s="27"/>
      <c r="C28" s="27"/>
      <c r="D28" s="158" t="s">
        <v>517</v>
      </c>
      <c r="E28" s="166">
        <v>850.0</v>
      </c>
      <c r="F28" s="166">
        <v>397.0</v>
      </c>
      <c r="G28" s="160">
        <f t="shared" si="1"/>
        <v>-372</v>
      </c>
      <c r="H28" s="160">
        <f>sum('PENDATAAN PERUMAHAN'!I140:I150)</f>
        <v>25</v>
      </c>
      <c r="I28" s="161">
        <f t="shared" si="3"/>
        <v>-0.4376470588</v>
      </c>
      <c r="J28" s="161">
        <f t="shared" si="4"/>
        <v>0.02941176471</v>
      </c>
    </row>
    <row r="29">
      <c r="B29" s="40"/>
      <c r="C29" s="40"/>
      <c r="D29" s="171" t="s">
        <v>519</v>
      </c>
      <c r="E29" s="166">
        <v>50.0</v>
      </c>
      <c r="F29" s="166">
        <v>16.0</v>
      </c>
      <c r="G29" s="160">
        <f t="shared" si="1"/>
        <v>-16</v>
      </c>
      <c r="H29" s="160"/>
      <c r="I29" s="161"/>
      <c r="J29" s="161">
        <f t="shared" si="4"/>
        <v>0</v>
      </c>
    </row>
    <row r="30">
      <c r="B30" s="156" t="s">
        <v>521</v>
      </c>
      <c r="C30" s="157" t="s">
        <v>522</v>
      </c>
      <c r="D30" s="171" t="s">
        <v>506</v>
      </c>
      <c r="E30" s="159">
        <v>15110.0</v>
      </c>
      <c r="F30" s="166">
        <v>0.0</v>
      </c>
      <c r="G30" s="160">
        <f t="shared" si="1"/>
        <v>0</v>
      </c>
      <c r="H30" s="160">
        <f>sum('PENDATAAN PERUMAHAN'!N140:N149)</f>
        <v>0</v>
      </c>
      <c r="I30" s="161">
        <f>(H30-F30)/E30</f>
        <v>0</v>
      </c>
      <c r="J30" s="161">
        <f t="shared" si="4"/>
        <v>0</v>
      </c>
    </row>
    <row r="31">
      <c r="B31" s="27"/>
      <c r="C31" s="27"/>
      <c r="D31" s="171" t="s">
        <v>508</v>
      </c>
      <c r="E31" s="159">
        <v>100.0</v>
      </c>
      <c r="F31" s="166">
        <v>848.0</v>
      </c>
      <c r="G31" s="160">
        <f t="shared" si="1"/>
        <v>-813</v>
      </c>
      <c r="H31" s="160">
        <f>sum('PENDATAAN PERUMAHAN'!O140:O150)</f>
        <v>35</v>
      </c>
      <c r="I31" s="161"/>
      <c r="J31" s="161">
        <f t="shared" si="4"/>
        <v>0.35</v>
      </c>
    </row>
    <row r="32">
      <c r="B32" s="27"/>
      <c r="C32" s="27"/>
      <c r="D32" s="171" t="s">
        <v>525</v>
      </c>
      <c r="E32" s="159">
        <v>675.0</v>
      </c>
      <c r="F32" s="159">
        <v>0.0</v>
      </c>
      <c r="G32" s="160">
        <f t="shared" si="1"/>
        <v>0</v>
      </c>
      <c r="H32" s="160">
        <f>sum('PENDATAAN PERUMAHAN'!P31:P37)</f>
        <v>0</v>
      </c>
      <c r="I32" s="161">
        <f t="shared" ref="I32:I37" si="5">(H32-F32)/E32</f>
        <v>0</v>
      </c>
      <c r="J32" s="161">
        <f t="shared" si="4"/>
        <v>0</v>
      </c>
    </row>
    <row r="33">
      <c r="B33" s="27"/>
      <c r="C33" s="27"/>
      <c r="D33" s="171" t="s">
        <v>25</v>
      </c>
      <c r="E33" s="159">
        <v>13500.0</v>
      </c>
      <c r="F33" s="159">
        <v>24219.0</v>
      </c>
      <c r="G33" s="160">
        <f t="shared" si="1"/>
        <v>-21280</v>
      </c>
      <c r="H33" s="160">
        <f>sum('PENDATAAN PERUMAHAN'!R140:R150)</f>
        <v>2939</v>
      </c>
      <c r="I33" s="161">
        <f t="shared" si="5"/>
        <v>-1.576296296</v>
      </c>
      <c r="J33" s="161">
        <f t="shared" si="4"/>
        <v>0.2177037037</v>
      </c>
    </row>
    <row r="34">
      <c r="B34" s="27"/>
      <c r="C34" s="27"/>
      <c r="D34" s="158" t="s">
        <v>24</v>
      </c>
      <c r="E34" s="159">
        <v>42200.0</v>
      </c>
      <c r="F34" s="159">
        <v>2272.0</v>
      </c>
      <c r="G34" s="160">
        <f t="shared" si="1"/>
        <v>-2213</v>
      </c>
      <c r="H34" s="160">
        <f>sum('PENDATAAN PERUMAHAN'!Q31:Q37)</f>
        <v>59</v>
      </c>
      <c r="I34" s="161">
        <f t="shared" si="5"/>
        <v>-0.05244075829</v>
      </c>
      <c r="J34" s="161">
        <f t="shared" si="4"/>
        <v>0.001398104265</v>
      </c>
    </row>
    <row r="35">
      <c r="B35" s="27"/>
      <c r="C35" s="27"/>
      <c r="D35" s="158" t="s">
        <v>28</v>
      </c>
      <c r="E35" s="159">
        <v>0.0</v>
      </c>
      <c r="F35" s="159">
        <v>0.0</v>
      </c>
      <c r="G35" s="160">
        <f t="shared" si="1"/>
        <v>0</v>
      </c>
      <c r="H35" s="160">
        <f>sum('PENDATAAN PERUMAHAN'!T140:T150)</f>
        <v>0</v>
      </c>
      <c r="I35" s="161" t="str">
        <f t="shared" si="5"/>
        <v>#DIV/0!</v>
      </c>
      <c r="J35" s="161">
        <f>H35/36</f>
        <v>0</v>
      </c>
    </row>
    <row r="36">
      <c r="B36" s="27"/>
      <c r="C36" s="27"/>
      <c r="D36" s="158" t="s">
        <v>517</v>
      </c>
      <c r="E36" s="159">
        <v>600.0</v>
      </c>
      <c r="F36" s="159">
        <v>2104.0</v>
      </c>
      <c r="G36" s="160">
        <f t="shared" si="1"/>
        <v>-1920</v>
      </c>
      <c r="H36" s="160">
        <f>sum('PENDATAAN PERUMAHAN'!S140:S150)</f>
        <v>184</v>
      </c>
      <c r="I36" s="161">
        <f t="shared" si="5"/>
        <v>-3.2</v>
      </c>
      <c r="J36" s="161">
        <f t="shared" ref="J36:J39" si="6">H36/E36</f>
        <v>0.3066666667</v>
      </c>
    </row>
    <row r="37">
      <c r="B37" s="27"/>
      <c r="C37" s="27"/>
      <c r="D37" s="158" t="s">
        <v>29</v>
      </c>
      <c r="E37" s="159">
        <v>486897.0</v>
      </c>
      <c r="F37" s="159">
        <v>1105.0</v>
      </c>
      <c r="G37" s="160">
        <f t="shared" si="1"/>
        <v>-1105</v>
      </c>
      <c r="H37" s="160">
        <f>sum('PENDATAAN PERUMAHAN'!U140:U150)</f>
        <v>0</v>
      </c>
      <c r="I37" s="161">
        <f t="shared" si="5"/>
        <v>-0.002269473831</v>
      </c>
      <c r="J37" s="161">
        <f t="shared" si="6"/>
        <v>0</v>
      </c>
    </row>
    <row r="38">
      <c r="B38" s="40"/>
      <c r="C38" s="40"/>
      <c r="D38" s="174" t="s">
        <v>519</v>
      </c>
      <c r="E38" s="175">
        <v>200.0</v>
      </c>
      <c r="F38" s="175">
        <v>169.0</v>
      </c>
      <c r="G38" s="698">
        <f t="shared" si="1"/>
        <v>-169</v>
      </c>
      <c r="H38" s="160"/>
      <c r="I38" s="175"/>
      <c r="J38" s="161">
        <f t="shared" si="6"/>
        <v>0</v>
      </c>
    </row>
    <row r="39">
      <c r="B39" s="182" t="s">
        <v>533</v>
      </c>
      <c r="C39" s="183"/>
      <c r="D39" s="31"/>
      <c r="E39" s="184">
        <f t="shared" ref="E39:F39" si="7">SUM(E21:E38)</f>
        <v>1000700</v>
      </c>
      <c r="F39" s="184">
        <f t="shared" si="7"/>
        <v>54601</v>
      </c>
      <c r="G39" s="185"/>
      <c r="H39" s="185">
        <f>SUM(H21:H38)</f>
        <v>20721</v>
      </c>
      <c r="I39" s="186">
        <f>(H39-F39)/E39</f>
        <v>-0.03385630059</v>
      </c>
      <c r="J39" s="186">
        <f t="shared" si="6"/>
        <v>0.02070650545</v>
      </c>
    </row>
    <row r="40">
      <c r="B40" s="187"/>
      <c r="C40" s="188"/>
      <c r="D40" s="189"/>
      <c r="E40" s="159"/>
      <c r="F40" s="160"/>
      <c r="G40" s="160"/>
      <c r="H40" s="160"/>
      <c r="I40" s="161"/>
      <c r="J40" s="161"/>
    </row>
    <row r="41">
      <c r="B41" s="156" t="s">
        <v>6</v>
      </c>
      <c r="C41" s="157" t="s">
        <v>8</v>
      </c>
      <c r="D41" s="158" t="s">
        <v>536</v>
      </c>
      <c r="E41" s="159">
        <v>217500.0</v>
      </c>
      <c r="F41" s="159">
        <v>67791.0</v>
      </c>
      <c r="G41" s="160">
        <f t="shared" ref="G41:G42" si="8">H41-F41</f>
        <v>-67791</v>
      </c>
      <c r="H41" s="160" t="str">
        <f>'PENDATAAN PERUMAHAN'!E243</f>
        <v/>
      </c>
      <c r="I41" s="161">
        <f t="shared" ref="I41:I45" si="9">(H41-F41)/E41</f>
        <v>-0.3116827586</v>
      </c>
      <c r="J41" s="161">
        <f t="shared" ref="J41:J45" si="10">H41/E41</f>
        <v>0</v>
      </c>
    </row>
    <row r="42">
      <c r="B42" s="27"/>
      <c r="C42" s="27"/>
      <c r="D42" s="158" t="s">
        <v>538</v>
      </c>
      <c r="E42" s="159">
        <v>300000.0</v>
      </c>
      <c r="F42" s="159">
        <v>0.0</v>
      </c>
      <c r="G42" s="160">
        <f t="shared" si="8"/>
        <v>0</v>
      </c>
      <c r="H42" s="160" t="str">
        <f>'PENDATAAN PERUMAHAN'!V243</f>
        <v/>
      </c>
      <c r="I42" s="161">
        <f t="shared" si="9"/>
        <v>0</v>
      </c>
      <c r="J42" s="161">
        <f t="shared" si="10"/>
        <v>0</v>
      </c>
    </row>
    <row r="43">
      <c r="B43" s="40"/>
      <c r="C43" s="40"/>
      <c r="D43" s="158" t="s">
        <v>541</v>
      </c>
      <c r="E43" s="159">
        <v>0.0</v>
      </c>
      <c r="F43" s="159">
        <v>0.0</v>
      </c>
      <c r="G43" s="160"/>
      <c r="H43" s="160" t="str">
        <f>'PENDATAAN PERUMAHAN'!W243</f>
        <v/>
      </c>
      <c r="I43" s="161" t="str">
        <f t="shared" si="9"/>
        <v>#DIV/0!</v>
      </c>
      <c r="J43" s="161" t="str">
        <f t="shared" si="10"/>
        <v>#DIV/0!</v>
      </c>
    </row>
    <row r="44">
      <c r="B44" s="193" t="s">
        <v>542</v>
      </c>
      <c r="C44" s="19"/>
      <c r="D44" s="20"/>
      <c r="E44" s="194">
        <f>E41+E42+E43</f>
        <v>517500</v>
      </c>
      <c r="F44" s="195">
        <f>SUM(F41:F43)</f>
        <v>67791</v>
      </c>
      <c r="G44" s="195">
        <f t="shared" ref="G44:G45" si="11">H44-F44</f>
        <v>-67791</v>
      </c>
      <c r="H44" s="195">
        <f>H41+H42+H43</f>
        <v>0</v>
      </c>
      <c r="I44" s="186">
        <f t="shared" si="9"/>
        <v>-0.1309971014</v>
      </c>
      <c r="J44" s="186">
        <f t="shared" si="10"/>
        <v>0</v>
      </c>
    </row>
    <row r="45">
      <c r="B45" s="197" t="s">
        <v>544</v>
      </c>
      <c r="C45" s="19"/>
      <c r="D45" s="20"/>
      <c r="E45" s="198">
        <f>E44+E39</f>
        <v>1518200</v>
      </c>
      <c r="F45" s="199">
        <f>F39+F44</f>
        <v>122392</v>
      </c>
      <c r="G45" s="200">
        <f t="shared" si="11"/>
        <v>-101671</v>
      </c>
      <c r="H45" s="199">
        <f>H44+H39</f>
        <v>20721</v>
      </c>
      <c r="I45" s="201">
        <f t="shared" si="9"/>
        <v>-0.06696812014</v>
      </c>
      <c r="J45" s="201">
        <f t="shared" si="10"/>
        <v>0.01364839942</v>
      </c>
    </row>
  </sheetData>
  <mergeCells count="13">
    <mergeCell ref="C30:C38"/>
    <mergeCell ref="B39:D39"/>
    <mergeCell ref="B41:B43"/>
    <mergeCell ref="C41:C43"/>
    <mergeCell ref="B44:D44"/>
    <mergeCell ref="B45:D45"/>
    <mergeCell ref="D5:D15"/>
    <mergeCell ref="B21:B29"/>
    <mergeCell ref="C21:C24"/>
    <mergeCell ref="E23:E24"/>
    <mergeCell ref="C25:C26"/>
    <mergeCell ref="C27:C29"/>
    <mergeCell ref="B30:B38"/>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1339</v>
      </c>
      <c r="C5" s="694" t="s">
        <v>337</v>
      </c>
      <c r="D5" s="695" t="s">
        <v>851</v>
      </c>
      <c r="E5" s="636" t="s">
        <v>852</v>
      </c>
      <c r="F5" s="707"/>
    </row>
    <row r="6" ht="27.0" customHeight="1">
      <c r="A6" s="693"/>
      <c r="B6" s="694"/>
      <c r="C6" s="694" t="s">
        <v>339</v>
      </c>
      <c r="D6" s="27"/>
      <c r="E6" s="697" t="s">
        <v>853</v>
      </c>
      <c r="F6" s="707"/>
    </row>
    <row r="7">
      <c r="A7" s="693"/>
      <c r="B7" s="694" t="s">
        <v>1340</v>
      </c>
      <c r="C7" s="694" t="s">
        <v>342</v>
      </c>
      <c r="D7" s="27"/>
      <c r="E7" s="697" t="s">
        <v>854</v>
      </c>
      <c r="F7" s="707"/>
    </row>
    <row r="8">
      <c r="A8" s="714"/>
      <c r="B8" s="714"/>
      <c r="C8" s="694" t="s">
        <v>344</v>
      </c>
      <c r="D8" s="27"/>
      <c r="E8" s="697" t="s">
        <v>855</v>
      </c>
      <c r="F8" s="679"/>
    </row>
    <row r="9">
      <c r="A9" s="714"/>
      <c r="B9" s="714"/>
      <c r="C9" s="694" t="s">
        <v>346</v>
      </c>
      <c r="D9" s="27"/>
      <c r="E9" s="697" t="s">
        <v>856</v>
      </c>
      <c r="F9" s="679"/>
    </row>
    <row r="10">
      <c r="A10" s="714"/>
      <c r="B10" s="714"/>
      <c r="C10" s="694" t="s">
        <v>348</v>
      </c>
      <c r="D10" s="40"/>
      <c r="E10" s="697" t="s">
        <v>857</v>
      </c>
      <c r="F10" s="679"/>
    </row>
    <row r="11">
      <c r="A11" s="714"/>
      <c r="B11" s="731" t="s">
        <v>1298</v>
      </c>
      <c r="C11" s="694" t="s">
        <v>411</v>
      </c>
      <c r="D11" s="732"/>
      <c r="E11" s="636" t="s">
        <v>872</v>
      </c>
      <c r="F11" s="679"/>
    </row>
    <row r="12">
      <c r="A12" s="690"/>
      <c r="B12" s="251"/>
      <c r="C12" s="734"/>
      <c r="D12" s="152"/>
      <c r="E12" s="734"/>
      <c r="F12" s="251"/>
      <c r="G12" s="251"/>
      <c r="H12" s="251"/>
      <c r="I12" s="251"/>
      <c r="J12" s="251"/>
    </row>
    <row r="13">
      <c r="A13" s="690"/>
      <c r="B13" s="151" t="s">
        <v>494</v>
      </c>
      <c r="C13" s="152" t="s">
        <v>495</v>
      </c>
      <c r="D13" s="152" t="s">
        <v>15</v>
      </c>
      <c r="E13" s="152" t="s">
        <v>496</v>
      </c>
      <c r="F13" s="152" t="s">
        <v>497</v>
      </c>
      <c r="G13" s="152" t="s">
        <v>498</v>
      </c>
      <c r="H13" s="152" t="s">
        <v>499</v>
      </c>
      <c r="I13" s="152" t="s">
        <v>500</v>
      </c>
      <c r="J13" s="152" t="s">
        <v>501</v>
      </c>
    </row>
    <row r="14">
      <c r="A14" s="690"/>
      <c r="B14" s="156" t="s">
        <v>2</v>
      </c>
      <c r="C14" s="157" t="s">
        <v>505</v>
      </c>
      <c r="D14" s="158" t="s">
        <v>506</v>
      </c>
      <c r="E14" s="159">
        <v>518.0</v>
      </c>
      <c r="F14" s="159">
        <v>0.0</v>
      </c>
      <c r="G14" s="160">
        <f t="shared" ref="G14:G31" si="1">H14-F14</f>
        <v>0</v>
      </c>
      <c r="H14" s="160">
        <f>sum('PENDATAAN PERUMAHAN'!J143:J151,'PENDATAAN PERUMAHAN'!J153:J155,'PENDATAAN PERUMAHAN'!J187)</f>
        <v>0</v>
      </c>
      <c r="I14" s="161">
        <f>(H14-F14)/E14</f>
        <v>0</v>
      </c>
      <c r="J14" s="161" t="str">
        <f t="shared" ref="J14:J15" si="2">H14/$E$2</f>
        <v>#DIV/0!</v>
      </c>
    </row>
    <row r="15">
      <c r="B15" s="27"/>
      <c r="C15" s="27"/>
      <c r="D15" s="164" t="s">
        <v>508</v>
      </c>
      <c r="E15" s="159">
        <v>0.0</v>
      </c>
      <c r="F15" s="159">
        <v>138.0</v>
      </c>
      <c r="G15" s="160">
        <f t="shared" si="1"/>
        <v>-116</v>
      </c>
      <c r="H15" s="160">
        <f>sum('PENDATAAN PERUMAHAN'!K143:K151,'PENDATAAN PERUMAHAN'!K153:K155,'PENDATAAN PERUMAHAN'!K187)</f>
        <v>22</v>
      </c>
      <c r="I15" s="161"/>
      <c r="J15" s="161" t="str">
        <f t="shared" si="2"/>
        <v>#DIV/0!</v>
      </c>
    </row>
    <row r="16">
      <c r="B16" s="27"/>
      <c r="C16" s="27"/>
      <c r="D16" s="164" t="s">
        <v>25</v>
      </c>
      <c r="E16" s="166">
        <v>2500.0</v>
      </c>
      <c r="F16" s="159">
        <v>4668.0</v>
      </c>
      <c r="G16" s="160">
        <f t="shared" si="1"/>
        <v>-4395</v>
      </c>
      <c r="H16" s="160">
        <f>sum('PENDATAAN PERUMAHAN'!M143:M151,'PENDATAAN PERUMAHAN'!M153:M155,'PENDATAAN PERUMAHAN'!M187)</f>
        <v>273</v>
      </c>
      <c r="I16" s="161">
        <f>(H16-F16)/E16</f>
        <v>-1.758</v>
      </c>
      <c r="J16" s="161">
        <f>H16/E16</f>
        <v>0.1092</v>
      </c>
    </row>
    <row r="17">
      <c r="B17" s="27"/>
      <c r="C17" s="40"/>
      <c r="D17" s="164" t="s">
        <v>24</v>
      </c>
      <c r="E17" s="40"/>
      <c r="F17" s="159">
        <v>407.0</v>
      </c>
      <c r="G17" s="160">
        <f t="shared" si="1"/>
        <v>-406</v>
      </c>
      <c r="H17" s="160">
        <f>sum('PENDATAAN PERUMAHAN'!L143:L151,'PENDATAAN PERUMAHAN'!L153:L155,'PENDATAAN PERUMAHAN'!L187)</f>
        <v>1</v>
      </c>
      <c r="I17" s="161"/>
      <c r="J17" s="161"/>
    </row>
    <row r="18">
      <c r="B18" s="27"/>
      <c r="C18" s="157" t="s">
        <v>13</v>
      </c>
      <c r="D18" s="164" t="s">
        <v>512</v>
      </c>
      <c r="E18" s="159">
        <v>160000.0</v>
      </c>
      <c r="F18" s="159">
        <v>11206.0</v>
      </c>
      <c r="G18" s="160">
        <f t="shared" si="1"/>
        <v>-10178</v>
      </c>
      <c r="H18" s="160">
        <f>sum('PENDATAAN PERUMAHAN'!F143:F151,'PENDATAAN PERUMAHAN'!F153:F155,'PENDATAAN PERUMAHAN'!F187)</f>
        <v>1028</v>
      </c>
      <c r="I18" s="161">
        <f t="shared" ref="I18:I21" si="3">(H18-F18)/E18</f>
        <v>-0.0636125</v>
      </c>
      <c r="J18" s="161">
        <f t="shared" ref="J18:J27" si="4">H18/E18</f>
        <v>0.006425</v>
      </c>
    </row>
    <row r="19">
      <c r="B19" s="27"/>
      <c r="C19" s="40"/>
      <c r="D19" s="164" t="s">
        <v>514</v>
      </c>
      <c r="E19" s="159">
        <v>80000.0</v>
      </c>
      <c r="F19" s="159">
        <v>346.0</v>
      </c>
      <c r="G19" s="160">
        <f t="shared" si="1"/>
        <v>-346</v>
      </c>
      <c r="H19" s="160">
        <f>sum('PENDATAAN PERUMAHAN'!G143:G151,'PENDATAAN PERUMAHAN'!G153:G155,'PENDATAAN PERUMAHAN'!G187)</f>
        <v>0</v>
      </c>
      <c r="I19" s="161">
        <f t="shared" si="3"/>
        <v>-0.004325</v>
      </c>
      <c r="J19" s="161">
        <f t="shared" si="4"/>
        <v>0</v>
      </c>
    </row>
    <row r="20">
      <c r="B20" s="27"/>
      <c r="C20" s="157" t="s">
        <v>14</v>
      </c>
      <c r="D20" s="158" t="s">
        <v>21</v>
      </c>
      <c r="E20" s="159">
        <v>197500.0</v>
      </c>
      <c r="F20" s="159">
        <v>6706.0</v>
      </c>
      <c r="G20" s="160">
        <f t="shared" si="1"/>
        <v>-6695</v>
      </c>
      <c r="H20" s="160">
        <f>sum('PENDATAAN PERUMAHAN'!H143:H151,'PENDATAAN PERUMAHAN'!H153:H155,'PENDATAAN PERUMAHAN'!H187)</f>
        <v>11</v>
      </c>
      <c r="I20" s="161">
        <f t="shared" si="3"/>
        <v>-0.03389873418</v>
      </c>
      <c r="J20" s="161">
        <f t="shared" si="4"/>
        <v>0.00005569620253</v>
      </c>
    </row>
    <row r="21">
      <c r="B21" s="27"/>
      <c r="C21" s="27"/>
      <c r="D21" s="158" t="s">
        <v>517</v>
      </c>
      <c r="E21" s="166">
        <v>850.0</v>
      </c>
      <c r="F21" s="166">
        <v>397.0</v>
      </c>
      <c r="G21" s="160">
        <f t="shared" si="1"/>
        <v>241</v>
      </c>
      <c r="H21" s="160">
        <f>sum('PENDATAAN PERUMAHAN'!I143:I151,'PENDATAAN PERUMAHAN'!I153:I155,'PENDATAAN PERUMAHAN'!I187)</f>
        <v>638</v>
      </c>
      <c r="I21" s="161">
        <f t="shared" si="3"/>
        <v>0.2835294118</v>
      </c>
      <c r="J21" s="161">
        <f t="shared" si="4"/>
        <v>0.7505882353</v>
      </c>
    </row>
    <row r="22">
      <c r="B22" s="40"/>
      <c r="C22" s="40"/>
      <c r="D22" s="171" t="s">
        <v>519</v>
      </c>
      <c r="E22" s="166">
        <v>50.0</v>
      </c>
      <c r="F22" s="166">
        <v>16.0</v>
      </c>
      <c r="G22" s="160">
        <f t="shared" si="1"/>
        <v>-16</v>
      </c>
      <c r="H22" s="160"/>
      <c r="I22" s="161"/>
      <c r="J22" s="161">
        <f t="shared" si="4"/>
        <v>0</v>
      </c>
    </row>
    <row r="23">
      <c r="B23" s="156" t="s">
        <v>521</v>
      </c>
      <c r="C23" s="157" t="s">
        <v>522</v>
      </c>
      <c r="D23" s="171" t="s">
        <v>506</v>
      </c>
      <c r="E23" s="159">
        <v>15110.0</v>
      </c>
      <c r="F23" s="166">
        <v>0.0</v>
      </c>
      <c r="G23" s="160">
        <f t="shared" si="1"/>
        <v>0</v>
      </c>
      <c r="H23" s="160">
        <f>sum('PENDATAAN PERUMAHAN'!N143:N151,'PENDATAAN PERUMAHAN'!N153:N155,'PENDATAAN PERUMAHAN'!N187)</f>
        <v>0</v>
      </c>
      <c r="I23" s="161">
        <f>(H23-F23)/E23</f>
        <v>0</v>
      </c>
      <c r="J23" s="161">
        <f t="shared" si="4"/>
        <v>0</v>
      </c>
    </row>
    <row r="24">
      <c r="B24" s="27"/>
      <c r="C24" s="27"/>
      <c r="D24" s="171" t="s">
        <v>508</v>
      </c>
      <c r="E24" s="159">
        <v>100.0</v>
      </c>
      <c r="F24" s="166">
        <v>848.0</v>
      </c>
      <c r="G24" s="160">
        <f t="shared" si="1"/>
        <v>-813</v>
      </c>
      <c r="H24" s="160">
        <f>sum('PENDATAAN PERUMAHAN'!O143:O151,'PENDATAAN PERUMAHAN'!O153:O155,'PENDATAAN PERUMAHAN'!O187)</f>
        <v>35</v>
      </c>
      <c r="I24" s="161"/>
      <c r="J24" s="161">
        <f t="shared" si="4"/>
        <v>0.35</v>
      </c>
    </row>
    <row r="25">
      <c r="B25" s="27"/>
      <c r="C25" s="27"/>
      <c r="D25" s="171" t="s">
        <v>525</v>
      </c>
      <c r="E25" s="159">
        <v>675.0</v>
      </c>
      <c r="F25" s="159">
        <v>0.0</v>
      </c>
      <c r="G25" s="160">
        <f t="shared" si="1"/>
        <v>0</v>
      </c>
      <c r="H25" s="160">
        <f>sum('PENDATAAN PERUMAHAN'!P143:P151,'PENDATAAN PERUMAHAN'!P153:P155,'PENDATAAN PERUMAHAN'!P187)</f>
        <v>0</v>
      </c>
      <c r="I25" s="161">
        <f t="shared" ref="I25:I30" si="5">(H25-F25)/E25</f>
        <v>0</v>
      </c>
      <c r="J25" s="161">
        <f t="shared" si="4"/>
        <v>0</v>
      </c>
    </row>
    <row r="26">
      <c r="B26" s="27"/>
      <c r="C26" s="27"/>
      <c r="D26" s="171" t="s">
        <v>25</v>
      </c>
      <c r="E26" s="159">
        <v>13500.0</v>
      </c>
      <c r="F26" s="159">
        <v>24219.0</v>
      </c>
      <c r="G26" s="160">
        <f t="shared" si="1"/>
        <v>-20153</v>
      </c>
      <c r="H26" s="160">
        <f>sum('PENDATAAN PERUMAHAN'!R143:R151,'PENDATAAN PERUMAHAN'!R153:R155,'PENDATAAN PERUMAHAN'!R187)</f>
        <v>4066</v>
      </c>
      <c r="I26" s="161">
        <f t="shared" si="5"/>
        <v>-1.492814815</v>
      </c>
      <c r="J26" s="161">
        <f t="shared" si="4"/>
        <v>0.3011851852</v>
      </c>
    </row>
    <row r="27">
      <c r="B27" s="27"/>
      <c r="C27" s="27"/>
      <c r="D27" s="158" t="s">
        <v>24</v>
      </c>
      <c r="E27" s="159">
        <v>42200.0</v>
      </c>
      <c r="F27" s="159">
        <v>2272.0</v>
      </c>
      <c r="G27" s="160">
        <f t="shared" si="1"/>
        <v>-1285</v>
      </c>
      <c r="H27" s="160">
        <f>sum('PENDATAAN PERUMAHAN'!Q143:Q151,'PENDATAAN PERUMAHAN'!Q153:Q155,'PENDATAAN PERUMAHAN'!Q187)</f>
        <v>987</v>
      </c>
      <c r="I27" s="161">
        <f t="shared" si="5"/>
        <v>-0.03045023697</v>
      </c>
      <c r="J27" s="161">
        <f t="shared" si="4"/>
        <v>0.02338862559</v>
      </c>
    </row>
    <row r="28">
      <c r="B28" s="27"/>
      <c r="C28" s="27"/>
      <c r="D28" s="158" t="s">
        <v>28</v>
      </c>
      <c r="E28" s="159">
        <v>0.0</v>
      </c>
      <c r="F28" s="159">
        <v>0.0</v>
      </c>
      <c r="G28" s="160">
        <f t="shared" si="1"/>
        <v>0</v>
      </c>
      <c r="H28" s="160">
        <f>sum('PENDATAAN PERUMAHAN'!T143:T151,'PENDATAAN PERUMAHAN'!T153:T155,'PENDATAAN PERUMAHAN'!T187)</f>
        <v>0</v>
      </c>
      <c r="I28" s="161" t="str">
        <f t="shared" si="5"/>
        <v>#DIV/0!</v>
      </c>
      <c r="J28" s="161">
        <f>H28/36</f>
        <v>0</v>
      </c>
    </row>
    <row r="29">
      <c r="B29" s="27"/>
      <c r="C29" s="27"/>
      <c r="D29" s="158" t="s">
        <v>517</v>
      </c>
      <c r="E29" s="159">
        <v>600.0</v>
      </c>
      <c r="F29" s="159">
        <v>2104.0</v>
      </c>
      <c r="G29" s="160">
        <f t="shared" si="1"/>
        <v>-2017</v>
      </c>
      <c r="H29" s="160">
        <f>sum('PENDATAAN PERUMAHAN'!S143:S151,'PENDATAAN PERUMAHAN'!S153:S155,'PENDATAAN PERUMAHAN'!S187)</f>
        <v>87</v>
      </c>
      <c r="I29" s="161">
        <f t="shared" si="5"/>
        <v>-3.361666667</v>
      </c>
      <c r="J29" s="161">
        <f t="shared" ref="J29:J32" si="6">H29/E29</f>
        <v>0.145</v>
      </c>
    </row>
    <row r="30">
      <c r="B30" s="27"/>
      <c r="C30" s="27"/>
      <c r="D30" s="158" t="s">
        <v>29</v>
      </c>
      <c r="E30" s="159">
        <v>486897.0</v>
      </c>
      <c r="F30" s="159">
        <v>1105.0</v>
      </c>
      <c r="G30" s="160">
        <f t="shared" si="1"/>
        <v>-1105</v>
      </c>
      <c r="H30" s="160">
        <f>sum('PENDATAAN PERUMAHAN'!U143:U151,'PENDATAAN PERUMAHAN'!U153:U155,'PENDATAAN PERUMAHAN'!U187)</f>
        <v>0</v>
      </c>
      <c r="I30" s="161">
        <f t="shared" si="5"/>
        <v>-0.002269473831</v>
      </c>
      <c r="J30" s="161">
        <f t="shared" si="6"/>
        <v>0</v>
      </c>
    </row>
    <row r="31">
      <c r="B31" s="40"/>
      <c r="C31" s="40"/>
      <c r="D31" s="174" t="s">
        <v>519</v>
      </c>
      <c r="E31" s="175">
        <v>200.0</v>
      </c>
      <c r="F31" s="175">
        <v>169.0</v>
      </c>
      <c r="G31" s="698">
        <f t="shared" si="1"/>
        <v>-169</v>
      </c>
      <c r="H31" s="160"/>
      <c r="I31" s="175"/>
      <c r="J31" s="161">
        <f t="shared" si="6"/>
        <v>0</v>
      </c>
    </row>
    <row r="32">
      <c r="B32" s="182" t="s">
        <v>533</v>
      </c>
      <c r="C32" s="183"/>
      <c r="D32" s="31"/>
      <c r="E32" s="184">
        <f t="shared" ref="E32:F32" si="7">SUM(E14:E31)</f>
        <v>1000700</v>
      </c>
      <c r="F32" s="184">
        <f t="shared" si="7"/>
        <v>54601</v>
      </c>
      <c r="G32" s="185"/>
      <c r="H32" s="185">
        <f>SUM(H14:H31)</f>
        <v>7148</v>
      </c>
      <c r="I32" s="186">
        <f>(H32-F32)/E32</f>
        <v>-0.04741980614</v>
      </c>
      <c r="J32" s="186">
        <f t="shared" si="6"/>
        <v>0.0071429999</v>
      </c>
    </row>
    <row r="33">
      <c r="B33" s="187"/>
      <c r="C33" s="188"/>
      <c r="D33" s="189"/>
      <c r="E33" s="159"/>
      <c r="F33" s="160"/>
      <c r="G33" s="160"/>
      <c r="H33" s="160"/>
      <c r="I33" s="161"/>
      <c r="J33" s="161"/>
    </row>
    <row r="34">
      <c r="B34" s="156" t="s">
        <v>6</v>
      </c>
      <c r="C34" s="157" t="s">
        <v>8</v>
      </c>
      <c r="D34" s="158" t="s">
        <v>536</v>
      </c>
      <c r="E34" s="159">
        <v>217500.0</v>
      </c>
      <c r="F34" s="159">
        <v>67791.0</v>
      </c>
      <c r="G34" s="160">
        <f t="shared" ref="G34:G35" si="8">H34-F34</f>
        <v>-67791</v>
      </c>
      <c r="H34" s="160" t="str">
        <f>'PENDATAAN PERUMAHAN'!E243</f>
        <v/>
      </c>
      <c r="I34" s="161">
        <f t="shared" ref="I34:I38" si="9">(H34-F34)/E34</f>
        <v>-0.3116827586</v>
      </c>
      <c r="J34" s="161">
        <f t="shared" ref="J34:J38" si="10">H34/E34</f>
        <v>0</v>
      </c>
    </row>
    <row r="35">
      <c r="B35" s="27"/>
      <c r="C35" s="27"/>
      <c r="D35" s="158" t="s">
        <v>538</v>
      </c>
      <c r="E35" s="159">
        <v>300000.0</v>
      </c>
      <c r="F35" s="159">
        <v>0.0</v>
      </c>
      <c r="G35" s="160">
        <f t="shared" si="8"/>
        <v>0</v>
      </c>
      <c r="H35" s="160" t="str">
        <f>'PENDATAAN PERUMAHAN'!V243</f>
        <v/>
      </c>
      <c r="I35" s="161">
        <f t="shared" si="9"/>
        <v>0</v>
      </c>
      <c r="J35" s="161">
        <f t="shared" si="10"/>
        <v>0</v>
      </c>
    </row>
    <row r="36">
      <c r="B36" s="40"/>
      <c r="C36" s="40"/>
      <c r="D36" s="158" t="s">
        <v>541</v>
      </c>
      <c r="E36" s="159">
        <v>0.0</v>
      </c>
      <c r="F36" s="159">
        <v>0.0</v>
      </c>
      <c r="G36" s="160"/>
      <c r="H36" s="160" t="str">
        <f>'PENDATAAN PERUMAHAN'!W243</f>
        <v/>
      </c>
      <c r="I36" s="161" t="str">
        <f t="shared" si="9"/>
        <v>#DIV/0!</v>
      </c>
      <c r="J36" s="161" t="str">
        <f t="shared" si="10"/>
        <v>#DIV/0!</v>
      </c>
    </row>
    <row r="37">
      <c r="B37" s="193" t="s">
        <v>542</v>
      </c>
      <c r="C37" s="19"/>
      <c r="D37" s="20"/>
      <c r="E37" s="194">
        <f>E34+E35+E36</f>
        <v>517500</v>
      </c>
      <c r="F37" s="195">
        <f>SUM(F34:F36)</f>
        <v>67791</v>
      </c>
      <c r="G37" s="195">
        <f t="shared" ref="G37:G38" si="11">H37-F37</f>
        <v>-67791</v>
      </c>
      <c r="H37" s="195">
        <f>H34+H35+H36</f>
        <v>0</v>
      </c>
      <c r="I37" s="186">
        <f t="shared" si="9"/>
        <v>-0.1309971014</v>
      </c>
      <c r="J37" s="186">
        <f t="shared" si="10"/>
        <v>0</v>
      </c>
    </row>
    <row r="38">
      <c r="B38" s="197" t="s">
        <v>544</v>
      </c>
      <c r="C38" s="19"/>
      <c r="D38" s="20"/>
      <c r="E38" s="198">
        <f>E37+E32</f>
        <v>1518200</v>
      </c>
      <c r="F38" s="199">
        <f>F32+F37</f>
        <v>122392</v>
      </c>
      <c r="G38" s="200">
        <f t="shared" si="11"/>
        <v>-115244</v>
      </c>
      <c r="H38" s="199">
        <f>H37+H32</f>
        <v>7148</v>
      </c>
      <c r="I38" s="201">
        <f t="shared" si="9"/>
        <v>-0.07590831248</v>
      </c>
      <c r="J38" s="201">
        <f t="shared" si="10"/>
        <v>0.004708207087</v>
      </c>
    </row>
  </sheetData>
  <mergeCells count="13">
    <mergeCell ref="C23:C31"/>
    <mergeCell ref="B32:D32"/>
    <mergeCell ref="B34:B36"/>
    <mergeCell ref="C34:C36"/>
    <mergeCell ref="B37:D37"/>
    <mergeCell ref="B38:D38"/>
    <mergeCell ref="D5:D10"/>
    <mergeCell ref="B14:B22"/>
    <mergeCell ref="C14:C17"/>
    <mergeCell ref="E16:E17"/>
    <mergeCell ref="C18:C19"/>
    <mergeCell ref="C20:C22"/>
    <mergeCell ref="B23:B3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1341</v>
      </c>
      <c r="C5" s="694" t="s">
        <v>350</v>
      </c>
      <c r="D5" s="695" t="s">
        <v>885</v>
      </c>
      <c r="E5" s="636" t="s">
        <v>1169</v>
      </c>
      <c r="F5" s="707"/>
    </row>
    <row r="6" ht="27.0" customHeight="1">
      <c r="A6" s="693"/>
      <c r="B6" s="694"/>
      <c r="C6" s="694" t="s">
        <v>352</v>
      </c>
      <c r="D6" s="27"/>
      <c r="E6" s="697" t="s">
        <v>887</v>
      </c>
      <c r="F6" s="707"/>
    </row>
    <row r="7">
      <c r="A7" s="693"/>
      <c r="B7" s="694"/>
      <c r="C7" s="694" t="s">
        <v>354</v>
      </c>
      <c r="D7" s="40"/>
      <c r="E7" s="697" t="s">
        <v>888</v>
      </c>
      <c r="F7" s="707"/>
    </row>
    <row r="8">
      <c r="A8" s="690"/>
      <c r="B8" s="690"/>
      <c r="C8" s="726"/>
      <c r="D8" s="727"/>
      <c r="E8" s="728"/>
    </row>
    <row r="9">
      <c r="A9" s="690"/>
      <c r="B9" s="251"/>
      <c r="C9" s="734"/>
      <c r="D9" s="152"/>
      <c r="E9" s="734"/>
      <c r="F9" s="251"/>
      <c r="G9" s="251"/>
      <c r="H9" s="251"/>
      <c r="I9" s="251"/>
      <c r="J9" s="251"/>
    </row>
    <row r="10">
      <c r="A10" s="690"/>
      <c r="B10" s="151" t="s">
        <v>494</v>
      </c>
      <c r="C10" s="152" t="s">
        <v>495</v>
      </c>
      <c r="D10" s="152" t="s">
        <v>15</v>
      </c>
      <c r="E10" s="152" t="s">
        <v>496</v>
      </c>
      <c r="F10" s="152" t="s">
        <v>497</v>
      </c>
      <c r="G10" s="152" t="s">
        <v>498</v>
      </c>
      <c r="H10" s="152" t="s">
        <v>499</v>
      </c>
      <c r="I10" s="152" t="s">
        <v>500</v>
      </c>
      <c r="J10" s="152" t="s">
        <v>501</v>
      </c>
    </row>
    <row r="11">
      <c r="A11" s="690"/>
      <c r="B11" s="156" t="s">
        <v>2</v>
      </c>
      <c r="C11" s="157" t="s">
        <v>505</v>
      </c>
      <c r="D11" s="158" t="s">
        <v>506</v>
      </c>
      <c r="E11" s="159">
        <v>518.0</v>
      </c>
      <c r="F11" s="159">
        <v>0.0</v>
      </c>
      <c r="G11" s="160">
        <f t="shared" ref="G11:G28" si="1">H11-F11</f>
        <v>0</v>
      </c>
      <c r="H11" s="160">
        <f>sum('PENDATAAN PERUMAHAN'!J157:J159)</f>
        <v>0</v>
      </c>
      <c r="I11" s="161">
        <f>(H11-F11)/E11</f>
        <v>0</v>
      </c>
      <c r="J11" s="161">
        <f t="shared" ref="J11:J13" si="2">H11/E11</f>
        <v>0</v>
      </c>
    </row>
    <row r="12">
      <c r="B12" s="27"/>
      <c r="C12" s="27"/>
      <c r="D12" s="164" t="s">
        <v>508</v>
      </c>
      <c r="E12" s="159">
        <v>0.0</v>
      </c>
      <c r="F12" s="159">
        <v>138.0</v>
      </c>
      <c r="G12" s="160">
        <f t="shared" si="1"/>
        <v>-138</v>
      </c>
      <c r="H12" s="160">
        <f>sum('PENDATAAN PERUMAHAN'!K157:K159)</f>
        <v>0</v>
      </c>
      <c r="I12" s="161"/>
      <c r="J12" s="161" t="str">
        <f t="shared" si="2"/>
        <v>#DIV/0!</v>
      </c>
    </row>
    <row r="13">
      <c r="B13" s="27"/>
      <c r="C13" s="27"/>
      <c r="D13" s="164" t="s">
        <v>25</v>
      </c>
      <c r="E13" s="166">
        <v>2500.0</v>
      </c>
      <c r="F13" s="159">
        <v>4668.0</v>
      </c>
      <c r="G13" s="160">
        <f t="shared" si="1"/>
        <v>-4663</v>
      </c>
      <c r="H13" s="160">
        <f>sum('PENDATAAN PERUMAHAN'!M157:M159)</f>
        <v>5</v>
      </c>
      <c r="I13" s="161">
        <f>(H13-F13)/E13</f>
        <v>-1.8652</v>
      </c>
      <c r="J13" s="161">
        <f t="shared" si="2"/>
        <v>0.002</v>
      </c>
    </row>
    <row r="14">
      <c r="B14" s="27"/>
      <c r="C14" s="40"/>
      <c r="D14" s="164" t="s">
        <v>24</v>
      </c>
      <c r="E14" s="40"/>
      <c r="F14" s="159">
        <v>407.0</v>
      </c>
      <c r="G14" s="160">
        <f t="shared" si="1"/>
        <v>-407</v>
      </c>
      <c r="H14" s="160">
        <f>sum('PENDATAAN PERUMAHAN'!L157:L159)</f>
        <v>0</v>
      </c>
      <c r="I14" s="161"/>
      <c r="J14" s="161">
        <f>H14/E13</f>
        <v>0</v>
      </c>
    </row>
    <row r="15">
      <c r="B15" s="27"/>
      <c r="C15" s="157" t="s">
        <v>13</v>
      </c>
      <c r="D15" s="164" t="s">
        <v>512</v>
      </c>
      <c r="E15" s="159">
        <v>160000.0</v>
      </c>
      <c r="F15" s="159">
        <v>11206.0</v>
      </c>
      <c r="G15" s="160">
        <f t="shared" si="1"/>
        <v>-9862</v>
      </c>
      <c r="H15" s="160">
        <f>sum('PENDATAAN PERUMAHAN'!F157:F159)</f>
        <v>1344</v>
      </c>
      <c r="I15" s="161">
        <f t="shared" ref="I15:I18" si="3">(H15-F15)/E15</f>
        <v>-0.0616375</v>
      </c>
      <c r="J15" s="161">
        <f t="shared" ref="J15:J29" si="4">H15/E15</f>
        <v>0.0084</v>
      </c>
      <c r="K15" s="248">
        <v>1344.0</v>
      </c>
    </row>
    <row r="16">
      <c r="B16" s="27"/>
      <c r="C16" s="40"/>
      <c r="D16" s="164" t="s">
        <v>514</v>
      </c>
      <c r="E16" s="159">
        <v>80000.0</v>
      </c>
      <c r="F16" s="159">
        <v>346.0</v>
      </c>
      <c r="G16" s="160">
        <f t="shared" si="1"/>
        <v>-346</v>
      </c>
      <c r="H16" s="160">
        <f>sum('PENDATAAN PERUMAHAN'!G157:G159)</f>
        <v>0</v>
      </c>
      <c r="I16" s="161">
        <f t="shared" si="3"/>
        <v>-0.004325</v>
      </c>
      <c r="J16" s="161">
        <f t="shared" si="4"/>
        <v>0</v>
      </c>
    </row>
    <row r="17">
      <c r="B17" s="27"/>
      <c r="C17" s="157" t="s">
        <v>14</v>
      </c>
      <c r="D17" s="158" t="s">
        <v>21</v>
      </c>
      <c r="E17" s="159">
        <v>197500.0</v>
      </c>
      <c r="F17" s="159">
        <v>6706.0</v>
      </c>
      <c r="G17" s="160">
        <f t="shared" si="1"/>
        <v>-6706</v>
      </c>
      <c r="H17" s="160">
        <f>sum('PENDATAAN PERUMAHAN'!H157:H159)</f>
        <v>0</v>
      </c>
      <c r="I17" s="161">
        <f t="shared" si="3"/>
        <v>-0.03395443038</v>
      </c>
      <c r="J17" s="161">
        <f t="shared" si="4"/>
        <v>0</v>
      </c>
    </row>
    <row r="18">
      <c r="B18" s="27"/>
      <c r="C18" s="27"/>
      <c r="D18" s="158" t="s">
        <v>517</v>
      </c>
      <c r="E18" s="166">
        <v>850.0</v>
      </c>
      <c r="F18" s="166">
        <v>397.0</v>
      </c>
      <c r="G18" s="160">
        <f t="shared" si="1"/>
        <v>-382</v>
      </c>
      <c r="H18" s="160">
        <f>sum('PENDATAAN PERUMAHAN'!I157:I159)</f>
        <v>15</v>
      </c>
      <c r="I18" s="161">
        <f t="shared" si="3"/>
        <v>-0.4494117647</v>
      </c>
      <c r="J18" s="161">
        <f t="shared" si="4"/>
        <v>0.01764705882</v>
      </c>
      <c r="K18" s="248">
        <v>17.0</v>
      </c>
    </row>
    <row r="19">
      <c r="B19" s="40"/>
      <c r="C19" s="40"/>
      <c r="D19" s="171" t="s">
        <v>519</v>
      </c>
      <c r="E19" s="166">
        <v>50.0</v>
      </c>
      <c r="F19" s="166">
        <v>16.0</v>
      </c>
      <c r="G19" s="160">
        <f t="shared" si="1"/>
        <v>-16</v>
      </c>
      <c r="H19" s="160"/>
      <c r="I19" s="161"/>
      <c r="J19" s="161">
        <f t="shared" si="4"/>
        <v>0</v>
      </c>
    </row>
    <row r="20">
      <c r="B20" s="156" t="s">
        <v>521</v>
      </c>
      <c r="C20" s="157" t="s">
        <v>522</v>
      </c>
      <c r="D20" s="171" t="s">
        <v>506</v>
      </c>
      <c r="E20" s="159">
        <v>15110.0</v>
      </c>
      <c r="F20" s="166">
        <v>0.0</v>
      </c>
      <c r="G20" s="160">
        <f t="shared" si="1"/>
        <v>0</v>
      </c>
      <c r="H20" s="160">
        <f>sum('PENDATAAN PERUMAHAN'!N157:N159)</f>
        <v>0</v>
      </c>
      <c r="I20" s="161">
        <f>(H20-F20)/E20</f>
        <v>0</v>
      </c>
      <c r="J20" s="161">
        <f t="shared" si="4"/>
        <v>0</v>
      </c>
    </row>
    <row r="21">
      <c r="B21" s="27"/>
      <c r="C21" s="27"/>
      <c r="D21" s="171" t="s">
        <v>508</v>
      </c>
      <c r="E21" s="159">
        <v>100.0</v>
      </c>
      <c r="F21" s="166">
        <v>848.0</v>
      </c>
      <c r="G21" s="160">
        <f t="shared" si="1"/>
        <v>-848</v>
      </c>
      <c r="H21" s="160">
        <f>sum('PENDATAAN PERUMAHAN'!O157:O159)</f>
        <v>0</v>
      </c>
      <c r="I21" s="161"/>
      <c r="J21" s="161">
        <f t="shared" si="4"/>
        <v>0</v>
      </c>
    </row>
    <row r="22">
      <c r="B22" s="27"/>
      <c r="C22" s="27"/>
      <c r="D22" s="171" t="s">
        <v>525</v>
      </c>
      <c r="E22" s="159">
        <v>675.0</v>
      </c>
      <c r="F22" s="159">
        <v>0.0</v>
      </c>
      <c r="G22" s="160">
        <f t="shared" si="1"/>
        <v>79</v>
      </c>
      <c r="H22" s="160">
        <f>sum('PENDATAAN PERUMAHAN'!P157:P159)</f>
        <v>79</v>
      </c>
      <c r="I22" s="161">
        <f t="shared" ref="I22:I27" si="5">(H22-F22)/E22</f>
        <v>0.117037037</v>
      </c>
      <c r="J22" s="161">
        <f t="shared" si="4"/>
        <v>0.117037037</v>
      </c>
      <c r="K22" s="248">
        <v>79.0</v>
      </c>
    </row>
    <row r="23">
      <c r="B23" s="27"/>
      <c r="C23" s="27"/>
      <c r="D23" s="171" t="s">
        <v>25</v>
      </c>
      <c r="E23" s="159">
        <v>13500.0</v>
      </c>
      <c r="F23" s="159">
        <v>24219.0</v>
      </c>
      <c r="G23" s="160">
        <f t="shared" si="1"/>
        <v>-24179</v>
      </c>
      <c r="H23" s="160">
        <f>sum('PENDATAAN PERUMAHAN'!R157:R159)</f>
        <v>40</v>
      </c>
      <c r="I23" s="161">
        <f t="shared" si="5"/>
        <v>-1.791037037</v>
      </c>
      <c r="J23" s="161">
        <f t="shared" si="4"/>
        <v>0.002962962963</v>
      </c>
      <c r="K23" s="249">
        <f>5+11</f>
        <v>16</v>
      </c>
    </row>
    <row r="24">
      <c r="B24" s="27"/>
      <c r="C24" s="27"/>
      <c r="D24" s="158" t="s">
        <v>24</v>
      </c>
      <c r="E24" s="159">
        <v>42200.0</v>
      </c>
      <c r="F24" s="159">
        <v>2272.0</v>
      </c>
      <c r="G24" s="160">
        <f t="shared" si="1"/>
        <v>-2270</v>
      </c>
      <c r="H24" s="160">
        <f>sum('PENDATAAN PERUMAHAN'!Q157:Q159)</f>
        <v>2</v>
      </c>
      <c r="I24" s="161">
        <f t="shared" si="5"/>
        <v>-0.05379146919</v>
      </c>
      <c r="J24" s="161">
        <f t="shared" si="4"/>
        <v>0.00004739336493</v>
      </c>
      <c r="K24" s="248">
        <v>2.0</v>
      </c>
    </row>
    <row r="25">
      <c r="B25" s="27"/>
      <c r="C25" s="27"/>
      <c r="D25" s="158" t="s">
        <v>28</v>
      </c>
      <c r="E25" s="159">
        <v>0.0</v>
      </c>
      <c r="F25" s="159">
        <v>0.0</v>
      </c>
      <c r="G25" s="160">
        <f t="shared" si="1"/>
        <v>0</v>
      </c>
      <c r="H25" s="160">
        <f>sum('PENDATAAN PERUMAHAN'!T157:T159)</f>
        <v>0</v>
      </c>
      <c r="I25" s="161" t="str">
        <f t="shared" si="5"/>
        <v>#DIV/0!</v>
      </c>
      <c r="J25" s="161" t="str">
        <f t="shared" si="4"/>
        <v>#DIV/0!</v>
      </c>
    </row>
    <row r="26">
      <c r="B26" s="27"/>
      <c r="C26" s="27"/>
      <c r="D26" s="158" t="s">
        <v>517</v>
      </c>
      <c r="E26" s="159">
        <v>600.0</v>
      </c>
      <c r="F26" s="159">
        <v>2104.0</v>
      </c>
      <c r="G26" s="160">
        <f t="shared" si="1"/>
        <v>-2091</v>
      </c>
      <c r="H26" s="160">
        <f>sum('PENDATAAN PERUMAHAN'!S157:S159)</f>
        <v>13</v>
      </c>
      <c r="I26" s="161">
        <f t="shared" si="5"/>
        <v>-3.485</v>
      </c>
      <c r="J26" s="161">
        <f t="shared" si="4"/>
        <v>0.02166666667</v>
      </c>
      <c r="K26" s="248">
        <v>13.0</v>
      </c>
    </row>
    <row r="27">
      <c r="B27" s="27"/>
      <c r="C27" s="27"/>
      <c r="D27" s="158" t="s">
        <v>29</v>
      </c>
      <c r="E27" s="159">
        <v>486897.0</v>
      </c>
      <c r="F27" s="159">
        <v>1105.0</v>
      </c>
      <c r="G27" s="160">
        <f t="shared" si="1"/>
        <v>-1085</v>
      </c>
      <c r="H27" s="160">
        <f>sum('PENDATAAN PERUMAHAN'!U157:U159)</f>
        <v>20</v>
      </c>
      <c r="I27" s="161">
        <f t="shared" si="5"/>
        <v>-0.002228397382</v>
      </c>
      <c r="J27" s="161">
        <f t="shared" si="4"/>
        <v>0.00004107644943</v>
      </c>
    </row>
    <row r="28">
      <c r="B28" s="40"/>
      <c r="C28" s="40"/>
      <c r="D28" s="174" t="s">
        <v>519</v>
      </c>
      <c r="E28" s="175">
        <v>200.0</v>
      </c>
      <c r="F28" s="175">
        <v>169.0</v>
      </c>
      <c r="G28" s="698">
        <f t="shared" si="1"/>
        <v>-169</v>
      </c>
      <c r="H28" s="160"/>
      <c r="I28" s="175"/>
      <c r="J28" s="161">
        <f t="shared" si="4"/>
        <v>0</v>
      </c>
    </row>
    <row r="29">
      <c r="B29" s="182" t="s">
        <v>533</v>
      </c>
      <c r="C29" s="183"/>
      <c r="D29" s="31"/>
      <c r="E29" s="184">
        <f t="shared" ref="E29:F29" si="6">SUM(E11:E28)</f>
        <v>1000700</v>
      </c>
      <c r="F29" s="184">
        <f t="shared" si="6"/>
        <v>54601</v>
      </c>
      <c r="G29" s="185"/>
      <c r="H29" s="185">
        <f>SUM(H11:H28)</f>
        <v>1518</v>
      </c>
      <c r="I29" s="186">
        <f>(H29-F29)/E29</f>
        <v>-0.05304586789</v>
      </c>
      <c r="J29" s="186">
        <f t="shared" si="4"/>
        <v>0.001516938143</v>
      </c>
    </row>
    <row r="30">
      <c r="B30" s="187"/>
      <c r="C30" s="188"/>
      <c r="D30" s="189"/>
      <c r="E30" s="159"/>
      <c r="F30" s="160"/>
      <c r="G30" s="160"/>
      <c r="H30" s="160"/>
      <c r="I30" s="161"/>
      <c r="J30" s="161"/>
    </row>
    <row r="31">
      <c r="B31" s="156" t="s">
        <v>6</v>
      </c>
      <c r="C31" s="157" t="s">
        <v>8</v>
      </c>
      <c r="D31" s="158" t="s">
        <v>536</v>
      </c>
      <c r="E31" s="159">
        <v>217500.0</v>
      </c>
      <c r="F31" s="159">
        <v>67791.0</v>
      </c>
      <c r="G31" s="160">
        <f t="shared" ref="G31:G32" si="7">H31-F31</f>
        <v>-67243</v>
      </c>
      <c r="H31" s="160">
        <f>sum('PENDATAAN PERUMAHAN'!E157:E159)</f>
        <v>548</v>
      </c>
      <c r="I31" s="161">
        <f t="shared" ref="I31:I35" si="8">(H31-F31)/E31</f>
        <v>-0.3091632184</v>
      </c>
      <c r="J31" s="161">
        <f t="shared" ref="J31:J35" si="9">H31/E31</f>
        <v>0.00251954023</v>
      </c>
    </row>
    <row r="32">
      <c r="B32" s="27"/>
      <c r="C32" s="27"/>
      <c r="D32" s="158" t="s">
        <v>538</v>
      </c>
      <c r="E32" s="159">
        <v>300000.0</v>
      </c>
      <c r="F32" s="159">
        <v>0.0</v>
      </c>
      <c r="G32" s="160">
        <f t="shared" si="7"/>
        <v>0</v>
      </c>
      <c r="H32" s="160" t="str">
        <f>'PENDATAAN PERUMAHAN'!V243</f>
        <v/>
      </c>
      <c r="I32" s="161">
        <f t="shared" si="8"/>
        <v>0</v>
      </c>
      <c r="J32" s="161">
        <f t="shared" si="9"/>
        <v>0</v>
      </c>
    </row>
    <row r="33">
      <c r="B33" s="40"/>
      <c r="C33" s="40"/>
      <c r="D33" s="158" t="s">
        <v>541</v>
      </c>
      <c r="E33" s="159">
        <v>0.0</v>
      </c>
      <c r="F33" s="159">
        <v>0.0</v>
      </c>
      <c r="G33" s="160"/>
      <c r="H33" s="160" t="str">
        <f>'PENDATAAN PERUMAHAN'!W243</f>
        <v/>
      </c>
      <c r="I33" s="161" t="str">
        <f t="shared" si="8"/>
        <v>#DIV/0!</v>
      </c>
      <c r="J33" s="161" t="str">
        <f t="shared" si="9"/>
        <v>#DIV/0!</v>
      </c>
    </row>
    <row r="34">
      <c r="B34" s="193" t="s">
        <v>542</v>
      </c>
      <c r="C34" s="19"/>
      <c r="D34" s="20"/>
      <c r="E34" s="194">
        <f>E31+E32+E33</f>
        <v>517500</v>
      </c>
      <c r="F34" s="195">
        <f>SUM(F31:F33)</f>
        <v>67791</v>
      </c>
      <c r="G34" s="195">
        <f t="shared" ref="G34:G35" si="10">H34-F34</f>
        <v>-67243</v>
      </c>
      <c r="H34" s="195">
        <f>H31+H32+H33</f>
        <v>548</v>
      </c>
      <c r="I34" s="186">
        <f t="shared" si="8"/>
        <v>-0.1299381643</v>
      </c>
      <c r="J34" s="186">
        <f t="shared" si="9"/>
        <v>0.001058937198</v>
      </c>
    </row>
    <row r="35">
      <c r="B35" s="197" t="s">
        <v>544</v>
      </c>
      <c r="C35" s="19"/>
      <c r="D35" s="20"/>
      <c r="E35" s="198">
        <f>E34+E29</f>
        <v>1518200</v>
      </c>
      <c r="F35" s="199">
        <f>F29+F34</f>
        <v>122392</v>
      </c>
      <c r="G35" s="200">
        <f t="shared" si="10"/>
        <v>-120326</v>
      </c>
      <c r="H35" s="199">
        <f>H34+H29</f>
        <v>2066</v>
      </c>
      <c r="I35" s="201">
        <f t="shared" si="8"/>
        <v>-0.07925569754</v>
      </c>
      <c r="J35" s="201">
        <f t="shared" si="9"/>
        <v>0.001360822026</v>
      </c>
    </row>
  </sheetData>
  <mergeCells count="13">
    <mergeCell ref="C20:C28"/>
    <mergeCell ref="B29:D29"/>
    <mergeCell ref="B31:B33"/>
    <mergeCell ref="C31:C33"/>
    <mergeCell ref="B34:D34"/>
    <mergeCell ref="B35:D35"/>
    <mergeCell ref="D5:D7"/>
    <mergeCell ref="B11:B19"/>
    <mergeCell ref="C11:C14"/>
    <mergeCell ref="E13:E14"/>
    <mergeCell ref="C15:C16"/>
    <mergeCell ref="C17:C19"/>
    <mergeCell ref="B20:B28"/>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1341</v>
      </c>
      <c r="C5" s="694" t="s">
        <v>356</v>
      </c>
      <c r="D5" s="695" t="s">
        <v>1177</v>
      </c>
      <c r="E5" s="636" t="s">
        <v>890</v>
      </c>
      <c r="F5" s="707"/>
    </row>
    <row r="6" ht="27.0" customHeight="1">
      <c r="A6" s="693"/>
      <c r="B6" s="694"/>
      <c r="C6" s="694" t="s">
        <v>357</v>
      </c>
      <c r="D6" s="27"/>
      <c r="E6" s="697" t="s">
        <v>1180</v>
      </c>
      <c r="F6" s="707"/>
    </row>
    <row r="7">
      <c r="A7" s="693"/>
      <c r="B7" s="694"/>
      <c r="C7" s="694" t="s">
        <v>359</v>
      </c>
      <c r="D7" s="40"/>
      <c r="E7" s="697" t="s">
        <v>892</v>
      </c>
      <c r="F7" s="707"/>
    </row>
    <row r="8">
      <c r="A8" s="690"/>
      <c r="B8" s="690"/>
      <c r="C8" s="726"/>
      <c r="D8" s="727"/>
      <c r="E8" s="728"/>
    </row>
    <row r="9">
      <c r="A9" s="690"/>
      <c r="B9" s="251"/>
      <c r="C9" s="734"/>
      <c r="D9" s="152"/>
      <c r="E9" s="734"/>
      <c r="F9" s="251"/>
      <c r="G9" s="251"/>
      <c r="H9" s="251"/>
      <c r="I9" s="251"/>
      <c r="J9" s="251"/>
    </row>
    <row r="10">
      <c r="A10" s="690"/>
      <c r="B10" s="151" t="s">
        <v>494</v>
      </c>
      <c r="C10" s="152" t="s">
        <v>495</v>
      </c>
      <c r="D10" s="152" t="s">
        <v>15</v>
      </c>
      <c r="E10" s="152" t="s">
        <v>496</v>
      </c>
      <c r="F10" s="152" t="s">
        <v>497</v>
      </c>
      <c r="G10" s="152" t="s">
        <v>498</v>
      </c>
      <c r="H10" s="152" t="s">
        <v>499</v>
      </c>
      <c r="I10" s="152" t="s">
        <v>500</v>
      </c>
      <c r="J10" s="152" t="s">
        <v>501</v>
      </c>
    </row>
    <row r="11">
      <c r="A11" s="690"/>
      <c r="B11" s="156" t="s">
        <v>2</v>
      </c>
      <c r="C11" s="157" t="s">
        <v>505</v>
      </c>
      <c r="D11" s="158" t="s">
        <v>506</v>
      </c>
      <c r="E11" s="159">
        <v>518.0</v>
      </c>
      <c r="F11" s="159">
        <v>0.0</v>
      </c>
      <c r="G11" s="160">
        <f t="shared" ref="G11:G28" si="1">H11-F11</f>
        <v>0</v>
      </c>
      <c r="H11" s="160">
        <f>sum('PENDATAAN PERUMAHAN'!J160:J162)</f>
        <v>0</v>
      </c>
      <c r="I11" s="161">
        <f>(H11-F11)/E11</f>
        <v>0</v>
      </c>
      <c r="J11" s="161" t="str">
        <f t="shared" ref="J11:J12" si="2">H11/$E$2</f>
        <v>#DIV/0!</v>
      </c>
    </row>
    <row r="12">
      <c r="B12" s="27"/>
      <c r="C12" s="27"/>
      <c r="D12" s="164" t="s">
        <v>508</v>
      </c>
      <c r="E12" s="159">
        <v>0.0</v>
      </c>
      <c r="F12" s="159">
        <v>138.0</v>
      </c>
      <c r="G12" s="160">
        <f t="shared" si="1"/>
        <v>-138</v>
      </c>
      <c r="H12" s="160">
        <f>sum('PENDATAAN PERUMAHAN'!K160:K162)</f>
        <v>0</v>
      </c>
      <c r="I12" s="161"/>
      <c r="J12" s="161" t="str">
        <f t="shared" si="2"/>
        <v>#DIV/0!</v>
      </c>
    </row>
    <row r="13">
      <c r="B13" s="27"/>
      <c r="C13" s="27"/>
      <c r="D13" s="164" t="s">
        <v>25</v>
      </c>
      <c r="E13" s="166">
        <v>2500.0</v>
      </c>
      <c r="F13" s="159">
        <v>4668.0</v>
      </c>
      <c r="G13" s="160">
        <f t="shared" si="1"/>
        <v>-2173</v>
      </c>
      <c r="H13" s="160">
        <f>sum('PENDATAAN PERUMAHAN'!M160:Z162)</f>
        <v>2495</v>
      </c>
      <c r="I13" s="161">
        <f>(H13-F13)/E13</f>
        <v>-0.8692</v>
      </c>
      <c r="J13" s="161">
        <f>H13/E13</f>
        <v>0.998</v>
      </c>
    </row>
    <row r="14">
      <c r="B14" s="27"/>
      <c r="C14" s="40"/>
      <c r="D14" s="164" t="s">
        <v>24</v>
      </c>
      <c r="E14" s="40"/>
      <c r="F14" s="159">
        <v>407.0</v>
      </c>
      <c r="G14" s="160">
        <f t="shared" si="1"/>
        <v>-407</v>
      </c>
      <c r="H14" s="160">
        <f>sum('PENDATAAN PERUMAHAN'!L160:L162)</f>
        <v>0</v>
      </c>
      <c r="I14" s="161"/>
      <c r="J14" s="161"/>
    </row>
    <row r="15">
      <c r="B15" s="27"/>
      <c r="C15" s="157" t="s">
        <v>13</v>
      </c>
      <c r="D15" s="164" t="s">
        <v>512</v>
      </c>
      <c r="E15" s="159">
        <v>160000.0</v>
      </c>
      <c r="F15" s="159">
        <v>11206.0</v>
      </c>
      <c r="G15" s="160">
        <f t="shared" si="1"/>
        <v>-10547</v>
      </c>
      <c r="H15" s="160">
        <f>sum('PENDATAAN PERUMAHAN'!F160:F162)</f>
        <v>659</v>
      </c>
      <c r="I15" s="161">
        <f t="shared" ref="I15:I18" si="3">(H15-F15)/E15</f>
        <v>-0.06591875</v>
      </c>
      <c r="J15" s="161">
        <f t="shared" ref="J15:J24" si="4">H15/E15</f>
        <v>0.00411875</v>
      </c>
    </row>
    <row r="16">
      <c r="B16" s="27"/>
      <c r="C16" s="40"/>
      <c r="D16" s="164" t="s">
        <v>514</v>
      </c>
      <c r="E16" s="159">
        <v>80000.0</v>
      </c>
      <c r="F16" s="159">
        <v>346.0</v>
      </c>
      <c r="G16" s="160">
        <f t="shared" si="1"/>
        <v>-346</v>
      </c>
      <c r="H16" s="160">
        <f>sum('PENDATAAN PERUMAHAN'!G160:G162)</f>
        <v>0</v>
      </c>
      <c r="I16" s="161">
        <f t="shared" si="3"/>
        <v>-0.004325</v>
      </c>
      <c r="J16" s="161">
        <f t="shared" si="4"/>
        <v>0</v>
      </c>
    </row>
    <row r="17">
      <c r="B17" s="27"/>
      <c r="C17" s="157" t="s">
        <v>14</v>
      </c>
      <c r="D17" s="158" t="s">
        <v>21</v>
      </c>
      <c r="E17" s="159">
        <v>197500.0</v>
      </c>
      <c r="F17" s="159">
        <v>6706.0</v>
      </c>
      <c r="G17" s="160">
        <f t="shared" si="1"/>
        <v>-6677</v>
      </c>
      <c r="H17" s="160">
        <f>sum('PENDATAAN PERUMAHAN'!H160:H162)</f>
        <v>29</v>
      </c>
      <c r="I17" s="161">
        <f t="shared" si="3"/>
        <v>-0.03380759494</v>
      </c>
      <c r="J17" s="161">
        <f t="shared" si="4"/>
        <v>0.000146835443</v>
      </c>
    </row>
    <row r="18">
      <c r="B18" s="27"/>
      <c r="C18" s="27"/>
      <c r="D18" s="158" t="s">
        <v>517</v>
      </c>
      <c r="E18" s="166">
        <v>850.0</v>
      </c>
      <c r="F18" s="166">
        <v>397.0</v>
      </c>
      <c r="G18" s="160">
        <f t="shared" si="1"/>
        <v>-397</v>
      </c>
      <c r="H18" s="160">
        <f>sum('PENDATAAN PERUMAHAN'!I160:I162)</f>
        <v>0</v>
      </c>
      <c r="I18" s="161">
        <f t="shared" si="3"/>
        <v>-0.4670588235</v>
      </c>
      <c r="J18" s="161">
        <f t="shared" si="4"/>
        <v>0</v>
      </c>
    </row>
    <row r="19">
      <c r="B19" s="40"/>
      <c r="C19" s="40"/>
      <c r="D19" s="171" t="s">
        <v>519</v>
      </c>
      <c r="E19" s="166">
        <v>50.0</v>
      </c>
      <c r="F19" s="166">
        <v>16.0</v>
      </c>
      <c r="G19" s="160">
        <f t="shared" si="1"/>
        <v>-16</v>
      </c>
      <c r="H19" s="160"/>
      <c r="I19" s="161"/>
      <c r="J19" s="161">
        <f t="shared" si="4"/>
        <v>0</v>
      </c>
    </row>
    <row r="20">
      <c r="B20" s="156" t="s">
        <v>521</v>
      </c>
      <c r="C20" s="157" t="s">
        <v>522</v>
      </c>
      <c r="D20" s="171" t="s">
        <v>506</v>
      </c>
      <c r="E20" s="159">
        <v>15110.0</v>
      </c>
      <c r="F20" s="166">
        <v>0.0</v>
      </c>
      <c r="G20" s="160">
        <f t="shared" si="1"/>
        <v>0</v>
      </c>
      <c r="H20" s="160">
        <f>sum('PENDATAAN PERUMAHAN'!N160:N162)</f>
        <v>0</v>
      </c>
      <c r="I20" s="161">
        <f>(H20-F20)/E20</f>
        <v>0</v>
      </c>
      <c r="J20" s="161">
        <f t="shared" si="4"/>
        <v>0</v>
      </c>
    </row>
    <row r="21">
      <c r="B21" s="27"/>
      <c r="C21" s="27"/>
      <c r="D21" s="171" t="s">
        <v>508</v>
      </c>
      <c r="E21" s="159">
        <v>100.0</v>
      </c>
      <c r="F21" s="166">
        <v>848.0</v>
      </c>
      <c r="G21" s="160">
        <f t="shared" si="1"/>
        <v>-848</v>
      </c>
      <c r="H21" s="160">
        <f>sum('PENDATAAN PERUMAHAN'!O160:O162)</f>
        <v>0</v>
      </c>
      <c r="I21" s="161"/>
      <c r="J21" s="161">
        <f t="shared" si="4"/>
        <v>0</v>
      </c>
    </row>
    <row r="22">
      <c r="B22" s="27"/>
      <c r="C22" s="27"/>
      <c r="D22" s="171" t="s">
        <v>525</v>
      </c>
      <c r="E22" s="159">
        <v>675.0</v>
      </c>
      <c r="F22" s="159">
        <v>0.0</v>
      </c>
      <c r="G22" s="160">
        <f t="shared" si="1"/>
        <v>0</v>
      </c>
      <c r="H22" s="160">
        <f>sum('PENDATAAN PERUMAHAN'!P160:P162)</f>
        <v>0</v>
      </c>
      <c r="I22" s="161">
        <f t="shared" ref="I22:I27" si="5">(H22-F22)/E22</f>
        <v>0</v>
      </c>
      <c r="J22" s="161">
        <f t="shared" si="4"/>
        <v>0</v>
      </c>
    </row>
    <row r="23">
      <c r="B23" s="27"/>
      <c r="C23" s="27"/>
      <c r="D23" s="171" t="s">
        <v>25</v>
      </c>
      <c r="E23" s="159">
        <v>13500.0</v>
      </c>
      <c r="F23" s="159">
        <v>24219.0</v>
      </c>
      <c r="G23" s="160">
        <f t="shared" si="1"/>
        <v>-24209</v>
      </c>
      <c r="H23" s="160">
        <f>sum('PENDATAAN PERUMAHAN'!R160:R162)</f>
        <v>10</v>
      </c>
      <c r="I23" s="161">
        <f t="shared" si="5"/>
        <v>-1.793259259</v>
      </c>
      <c r="J23" s="161">
        <f t="shared" si="4"/>
        <v>0.0007407407407</v>
      </c>
    </row>
    <row r="24">
      <c r="B24" s="27"/>
      <c r="C24" s="27"/>
      <c r="D24" s="158" t="s">
        <v>24</v>
      </c>
      <c r="E24" s="159">
        <v>42200.0</v>
      </c>
      <c r="F24" s="159">
        <v>2272.0</v>
      </c>
      <c r="G24" s="160">
        <f t="shared" si="1"/>
        <v>-2272</v>
      </c>
      <c r="H24" s="160">
        <f>sum('PENDATAAN PERUMAHAN'!Q160:Q162)</f>
        <v>0</v>
      </c>
      <c r="I24" s="161">
        <f t="shared" si="5"/>
        <v>-0.05383886256</v>
      </c>
      <c r="J24" s="161">
        <f t="shared" si="4"/>
        <v>0</v>
      </c>
    </row>
    <row r="25">
      <c r="B25" s="27"/>
      <c r="C25" s="27"/>
      <c r="D25" s="158" t="s">
        <v>28</v>
      </c>
      <c r="E25" s="159">
        <v>0.0</v>
      </c>
      <c r="F25" s="159">
        <v>0.0</v>
      </c>
      <c r="G25" s="160">
        <f t="shared" si="1"/>
        <v>0</v>
      </c>
      <c r="H25" s="160">
        <f>sum('PENDATAAN PERUMAHAN'!T160:T162)</f>
        <v>0</v>
      </c>
      <c r="I25" s="161" t="str">
        <f t="shared" si="5"/>
        <v>#DIV/0!</v>
      </c>
      <c r="J25" s="161">
        <f>H25/36</f>
        <v>0</v>
      </c>
    </row>
    <row r="26">
      <c r="B26" s="27"/>
      <c r="C26" s="27"/>
      <c r="D26" s="158" t="s">
        <v>517</v>
      </c>
      <c r="E26" s="159">
        <v>600.0</v>
      </c>
      <c r="F26" s="159">
        <v>2104.0</v>
      </c>
      <c r="G26" s="160">
        <f t="shared" si="1"/>
        <v>-2104</v>
      </c>
      <c r="H26" s="160">
        <f>sum('PENDATAAN PERUMAHAN'!S160:S162)</f>
        <v>0</v>
      </c>
      <c r="I26" s="161">
        <f t="shared" si="5"/>
        <v>-3.506666667</v>
      </c>
      <c r="J26" s="161">
        <f t="shared" ref="J26:J29" si="6">H26/E26</f>
        <v>0</v>
      </c>
    </row>
    <row r="27">
      <c r="B27" s="27"/>
      <c r="C27" s="27"/>
      <c r="D27" s="158" t="s">
        <v>29</v>
      </c>
      <c r="E27" s="159">
        <v>486897.0</v>
      </c>
      <c r="F27" s="159">
        <v>1105.0</v>
      </c>
      <c r="G27" s="160">
        <f t="shared" si="1"/>
        <v>-1070</v>
      </c>
      <c r="H27" s="160">
        <f>sum('PENDATAAN PERUMAHAN'!U160:U162)</f>
        <v>35</v>
      </c>
      <c r="I27" s="161">
        <f t="shared" si="5"/>
        <v>-0.002197590045</v>
      </c>
      <c r="J27" s="161">
        <f t="shared" si="6"/>
        <v>0.00007188378651</v>
      </c>
    </row>
    <row r="28">
      <c r="B28" s="40"/>
      <c r="C28" s="40"/>
      <c r="D28" s="174" t="s">
        <v>519</v>
      </c>
      <c r="E28" s="175">
        <v>200.0</v>
      </c>
      <c r="F28" s="175">
        <v>169.0</v>
      </c>
      <c r="G28" s="698">
        <f t="shared" si="1"/>
        <v>-169</v>
      </c>
      <c r="H28" s="160"/>
      <c r="I28" s="175"/>
      <c r="J28" s="161">
        <f t="shared" si="6"/>
        <v>0</v>
      </c>
    </row>
    <row r="29">
      <c r="B29" s="182" t="s">
        <v>533</v>
      </c>
      <c r="C29" s="183"/>
      <c r="D29" s="31"/>
      <c r="E29" s="184">
        <f t="shared" ref="E29:F29" si="7">SUM(E11:E28)</f>
        <v>1000700</v>
      </c>
      <c r="F29" s="184">
        <f t="shared" si="7"/>
        <v>54601</v>
      </c>
      <c r="G29" s="185"/>
      <c r="H29" s="185">
        <f>SUM(H11:H28)</f>
        <v>3228</v>
      </c>
      <c r="I29" s="186">
        <f>(H29-F29)/E29</f>
        <v>-0.05133706406</v>
      </c>
      <c r="J29" s="186">
        <f t="shared" si="6"/>
        <v>0.003225741981</v>
      </c>
    </row>
    <row r="30">
      <c r="B30" s="187"/>
      <c r="C30" s="188"/>
      <c r="D30" s="189"/>
      <c r="E30" s="159"/>
      <c r="F30" s="160"/>
      <c r="G30" s="160"/>
      <c r="H30" s="160"/>
      <c r="I30" s="161"/>
      <c r="J30" s="161"/>
    </row>
    <row r="31">
      <c r="B31" s="156" t="s">
        <v>6</v>
      </c>
      <c r="C31" s="157" t="s">
        <v>8</v>
      </c>
      <c r="D31" s="158" t="s">
        <v>536</v>
      </c>
      <c r="E31" s="159">
        <v>217500.0</v>
      </c>
      <c r="F31" s="159">
        <v>67791.0</v>
      </c>
      <c r="G31" s="160">
        <f t="shared" ref="G31:G32" si="8">H31-F31</f>
        <v>-67791</v>
      </c>
      <c r="H31" s="160" t="str">
        <f>'PENDATAAN PERUMAHAN'!E243</f>
        <v/>
      </c>
      <c r="I31" s="161">
        <f t="shared" ref="I31:I35" si="9">(H31-F31)/E31</f>
        <v>-0.3116827586</v>
      </c>
      <c r="J31" s="161">
        <f t="shared" ref="J31:J35" si="10">H31/E31</f>
        <v>0</v>
      </c>
    </row>
    <row r="32">
      <c r="B32" s="27"/>
      <c r="C32" s="27"/>
      <c r="D32" s="158" t="s">
        <v>538</v>
      </c>
      <c r="E32" s="159">
        <v>300000.0</v>
      </c>
      <c r="F32" s="159">
        <v>0.0</v>
      </c>
      <c r="G32" s="160">
        <f t="shared" si="8"/>
        <v>0</v>
      </c>
      <c r="H32" s="160" t="str">
        <f>'PENDATAAN PERUMAHAN'!V243</f>
        <v/>
      </c>
      <c r="I32" s="161">
        <f t="shared" si="9"/>
        <v>0</v>
      </c>
      <c r="J32" s="161">
        <f t="shared" si="10"/>
        <v>0</v>
      </c>
    </row>
    <row r="33">
      <c r="B33" s="40"/>
      <c r="C33" s="40"/>
      <c r="D33" s="158" t="s">
        <v>541</v>
      </c>
      <c r="E33" s="159">
        <v>0.0</v>
      </c>
      <c r="F33" s="159">
        <v>0.0</v>
      </c>
      <c r="G33" s="160"/>
      <c r="H33" s="160" t="str">
        <f>'PENDATAAN PERUMAHAN'!W243</f>
        <v/>
      </c>
      <c r="I33" s="161" t="str">
        <f t="shared" si="9"/>
        <v>#DIV/0!</v>
      </c>
      <c r="J33" s="161" t="str">
        <f t="shared" si="10"/>
        <v>#DIV/0!</v>
      </c>
    </row>
    <row r="34">
      <c r="B34" s="193" t="s">
        <v>542</v>
      </c>
      <c r="C34" s="19"/>
      <c r="D34" s="20"/>
      <c r="E34" s="194">
        <f>E31+E32+E33</f>
        <v>517500</v>
      </c>
      <c r="F34" s="195">
        <f>SUM(F31:F33)</f>
        <v>67791</v>
      </c>
      <c r="G34" s="195">
        <f t="shared" ref="G34:G35" si="11">H34-F34</f>
        <v>-67791</v>
      </c>
      <c r="H34" s="195">
        <f>H31+H32+H33</f>
        <v>0</v>
      </c>
      <c r="I34" s="186">
        <f t="shared" si="9"/>
        <v>-0.1309971014</v>
      </c>
      <c r="J34" s="186">
        <f t="shared" si="10"/>
        <v>0</v>
      </c>
    </row>
    <row r="35">
      <c r="B35" s="197" t="s">
        <v>544</v>
      </c>
      <c r="C35" s="19"/>
      <c r="D35" s="20"/>
      <c r="E35" s="198">
        <f>E34+E29</f>
        <v>1518200</v>
      </c>
      <c r="F35" s="199">
        <f>F29+F34</f>
        <v>122392</v>
      </c>
      <c r="G35" s="200">
        <f t="shared" si="11"/>
        <v>-119164</v>
      </c>
      <c r="H35" s="199">
        <f>H34+H29</f>
        <v>3228</v>
      </c>
      <c r="I35" s="201">
        <f t="shared" si="9"/>
        <v>-0.07849031748</v>
      </c>
      <c r="J35" s="201">
        <f t="shared" si="10"/>
        <v>0.002126202081</v>
      </c>
    </row>
  </sheetData>
  <mergeCells count="13">
    <mergeCell ref="C20:C28"/>
    <mergeCell ref="B29:D29"/>
    <mergeCell ref="B31:B33"/>
    <mergeCell ref="C31:C33"/>
    <mergeCell ref="B34:D34"/>
    <mergeCell ref="B35:D35"/>
    <mergeCell ref="D5:D7"/>
    <mergeCell ref="B11:B19"/>
    <mergeCell ref="C11:C14"/>
    <mergeCell ref="E13:E14"/>
    <mergeCell ref="C15:C16"/>
    <mergeCell ref="C17:C19"/>
    <mergeCell ref="B20:B2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1341</v>
      </c>
      <c r="C5" s="694" t="s">
        <v>361</v>
      </c>
      <c r="D5" s="695" t="s">
        <v>1184</v>
      </c>
      <c r="E5" s="636" t="s">
        <v>1342</v>
      </c>
      <c r="F5" s="707"/>
    </row>
    <row r="6" ht="27.0" customHeight="1">
      <c r="A6" s="693"/>
      <c r="B6" s="694"/>
      <c r="C6" s="694" t="s">
        <v>363</v>
      </c>
      <c r="D6" s="27"/>
      <c r="E6" s="697" t="s">
        <v>862</v>
      </c>
      <c r="F6" s="707"/>
    </row>
    <row r="7">
      <c r="A7" s="693"/>
      <c r="B7" s="694"/>
      <c r="C7" s="694" t="s">
        <v>366</v>
      </c>
      <c r="D7" s="40"/>
      <c r="E7" s="697" t="s">
        <v>863</v>
      </c>
      <c r="F7" s="707"/>
    </row>
    <row r="8">
      <c r="A8" s="690"/>
      <c r="B8" s="690"/>
      <c r="C8" s="726"/>
      <c r="D8" s="727"/>
      <c r="E8" s="728"/>
    </row>
    <row r="9">
      <c r="A9" s="690"/>
      <c r="B9" s="251"/>
      <c r="C9" s="734"/>
      <c r="D9" s="152"/>
      <c r="E9" s="734"/>
      <c r="F9" s="251"/>
      <c r="G9" s="251"/>
      <c r="H9" s="251"/>
      <c r="I9" s="251"/>
      <c r="J9" s="251"/>
    </row>
    <row r="10">
      <c r="A10" s="690"/>
      <c r="B10" s="151" t="s">
        <v>494</v>
      </c>
      <c r="C10" s="152" t="s">
        <v>495</v>
      </c>
      <c r="D10" s="152" t="s">
        <v>15</v>
      </c>
      <c r="E10" s="152" t="s">
        <v>496</v>
      </c>
      <c r="F10" s="152" t="s">
        <v>497</v>
      </c>
      <c r="G10" s="152" t="s">
        <v>498</v>
      </c>
      <c r="H10" s="152" t="s">
        <v>499</v>
      </c>
      <c r="I10" s="152" t="s">
        <v>500</v>
      </c>
      <c r="J10" s="152" t="s">
        <v>501</v>
      </c>
    </row>
    <row r="11">
      <c r="A11" s="690"/>
      <c r="B11" s="156" t="s">
        <v>2</v>
      </c>
      <c r="C11" s="157" t="s">
        <v>505</v>
      </c>
      <c r="D11" s="158" t="s">
        <v>506</v>
      </c>
      <c r="E11" s="159">
        <v>518.0</v>
      </c>
      <c r="F11" s="159">
        <v>0.0</v>
      </c>
      <c r="G11" s="160">
        <f t="shared" ref="G11:G28" si="1">H11-F11</f>
        <v>0</v>
      </c>
      <c r="H11" s="160">
        <f>sum('PENDATAAN PERUMAHAN'!J163:J165)</f>
        <v>0</v>
      </c>
      <c r="I11" s="161">
        <f>(H11-F11)/E11</f>
        <v>0</v>
      </c>
      <c r="J11" s="161" t="str">
        <f t="shared" ref="J11:J12" si="2">H11/$E$2</f>
        <v>#DIV/0!</v>
      </c>
    </row>
    <row r="12">
      <c r="B12" s="27"/>
      <c r="C12" s="27"/>
      <c r="D12" s="164" t="s">
        <v>508</v>
      </c>
      <c r="E12" s="159">
        <v>0.0</v>
      </c>
      <c r="F12" s="159">
        <v>138.0</v>
      </c>
      <c r="G12" s="160">
        <f t="shared" si="1"/>
        <v>-138</v>
      </c>
      <c r="H12" s="160">
        <f>sum('PENDATAAN PERUMAHAN'!K163:K165)</f>
        <v>0</v>
      </c>
      <c r="I12" s="161"/>
      <c r="J12" s="161" t="str">
        <f t="shared" si="2"/>
        <v>#DIV/0!</v>
      </c>
    </row>
    <row r="13">
      <c r="B13" s="27"/>
      <c r="C13" s="27"/>
      <c r="D13" s="164" t="s">
        <v>25</v>
      </c>
      <c r="E13" s="166">
        <v>2500.0</v>
      </c>
      <c r="F13" s="159">
        <v>4668.0</v>
      </c>
      <c r="G13" s="160">
        <f t="shared" si="1"/>
        <v>-2814</v>
      </c>
      <c r="H13" s="160">
        <f>sum('PENDATAAN PERUMAHAN'!M163:Z165)</f>
        <v>1854</v>
      </c>
      <c r="I13" s="161">
        <f>(H13-F13)/E13</f>
        <v>-1.1256</v>
      </c>
      <c r="J13" s="161">
        <f>H13/E13</f>
        <v>0.7416</v>
      </c>
    </row>
    <row r="14">
      <c r="B14" s="27"/>
      <c r="C14" s="40"/>
      <c r="D14" s="164" t="s">
        <v>24</v>
      </c>
      <c r="E14" s="40"/>
      <c r="F14" s="159">
        <v>407.0</v>
      </c>
      <c r="G14" s="160">
        <f t="shared" si="1"/>
        <v>-407</v>
      </c>
      <c r="H14" s="160">
        <f>sum('PENDATAAN PERUMAHAN'!L163:L165)</f>
        <v>0</v>
      </c>
      <c r="I14" s="161"/>
      <c r="J14" s="161"/>
    </row>
    <row r="15">
      <c r="B15" s="27"/>
      <c r="C15" s="157" t="s">
        <v>13</v>
      </c>
      <c r="D15" s="164" t="s">
        <v>512</v>
      </c>
      <c r="E15" s="159">
        <v>160000.0</v>
      </c>
      <c r="F15" s="159">
        <v>11206.0</v>
      </c>
      <c r="G15" s="160">
        <f t="shared" si="1"/>
        <v>-10920</v>
      </c>
      <c r="H15" s="160">
        <f>sum('PENDATAAN PERUMAHAN'!F163:F165)</f>
        <v>286</v>
      </c>
      <c r="I15" s="161">
        <f t="shared" ref="I15:I18" si="3">(H15-F15)/E15</f>
        <v>-0.06825</v>
      </c>
      <c r="J15" s="161">
        <f t="shared" ref="J15:J24" si="4">H15/E15</f>
        <v>0.0017875</v>
      </c>
    </row>
    <row r="16">
      <c r="B16" s="27"/>
      <c r="C16" s="40"/>
      <c r="D16" s="164" t="s">
        <v>514</v>
      </c>
      <c r="E16" s="159">
        <v>80000.0</v>
      </c>
      <c r="F16" s="159">
        <v>346.0</v>
      </c>
      <c r="G16" s="160">
        <f t="shared" si="1"/>
        <v>-346</v>
      </c>
      <c r="H16" s="160">
        <f>sum('PENDATAAN PERUMAHAN'!G163:G165)</f>
        <v>0</v>
      </c>
      <c r="I16" s="161">
        <f t="shared" si="3"/>
        <v>-0.004325</v>
      </c>
      <c r="J16" s="161">
        <f t="shared" si="4"/>
        <v>0</v>
      </c>
    </row>
    <row r="17">
      <c r="B17" s="27"/>
      <c r="C17" s="157" t="s">
        <v>14</v>
      </c>
      <c r="D17" s="158" t="s">
        <v>21</v>
      </c>
      <c r="E17" s="159">
        <v>197500.0</v>
      </c>
      <c r="F17" s="159">
        <v>6706.0</v>
      </c>
      <c r="G17" s="160">
        <f t="shared" si="1"/>
        <v>-6624</v>
      </c>
      <c r="H17" s="160">
        <f>sum('PENDATAAN PERUMAHAN'!H163:H165)</f>
        <v>82</v>
      </c>
      <c r="I17" s="161">
        <f t="shared" si="3"/>
        <v>-0.03353924051</v>
      </c>
      <c r="J17" s="161">
        <f t="shared" si="4"/>
        <v>0.0004151898734</v>
      </c>
    </row>
    <row r="18">
      <c r="B18" s="27"/>
      <c r="C18" s="27"/>
      <c r="D18" s="158" t="s">
        <v>517</v>
      </c>
      <c r="E18" s="166">
        <v>850.0</v>
      </c>
      <c r="F18" s="166">
        <v>397.0</v>
      </c>
      <c r="G18" s="160">
        <f t="shared" si="1"/>
        <v>-397</v>
      </c>
      <c r="H18" s="160">
        <f>sum('PENDATAAN PERUMAHAN'!I163:I165)</f>
        <v>0</v>
      </c>
      <c r="I18" s="161">
        <f t="shared" si="3"/>
        <v>-0.4670588235</v>
      </c>
      <c r="J18" s="161">
        <f t="shared" si="4"/>
        <v>0</v>
      </c>
    </row>
    <row r="19">
      <c r="B19" s="40"/>
      <c r="C19" s="40"/>
      <c r="D19" s="171" t="s">
        <v>519</v>
      </c>
      <c r="E19" s="166">
        <v>50.0</v>
      </c>
      <c r="F19" s="166">
        <v>16.0</v>
      </c>
      <c r="G19" s="160">
        <f t="shared" si="1"/>
        <v>-16</v>
      </c>
      <c r="H19" s="160"/>
      <c r="I19" s="161"/>
      <c r="J19" s="161">
        <f t="shared" si="4"/>
        <v>0</v>
      </c>
    </row>
    <row r="20">
      <c r="B20" s="156" t="s">
        <v>521</v>
      </c>
      <c r="C20" s="157" t="s">
        <v>522</v>
      </c>
      <c r="D20" s="171" t="s">
        <v>506</v>
      </c>
      <c r="E20" s="159">
        <v>15110.0</v>
      </c>
      <c r="F20" s="166">
        <v>0.0</v>
      </c>
      <c r="G20" s="160">
        <f t="shared" si="1"/>
        <v>0</v>
      </c>
      <c r="H20" s="160">
        <f>sum('PENDATAAN PERUMAHAN'!N163:N165)</f>
        <v>0</v>
      </c>
      <c r="I20" s="161">
        <f>(H20-F20)/E20</f>
        <v>0</v>
      </c>
      <c r="J20" s="161">
        <f t="shared" si="4"/>
        <v>0</v>
      </c>
    </row>
    <row r="21">
      <c r="B21" s="27"/>
      <c r="C21" s="27"/>
      <c r="D21" s="171" t="s">
        <v>508</v>
      </c>
      <c r="E21" s="159">
        <v>100.0</v>
      </c>
      <c r="F21" s="166">
        <v>848.0</v>
      </c>
      <c r="G21" s="160">
        <f t="shared" si="1"/>
        <v>-848</v>
      </c>
      <c r="H21" s="160">
        <f>sum('PENDATAAN PERUMAHAN'!O163:O165)</f>
        <v>0</v>
      </c>
      <c r="I21" s="161"/>
      <c r="J21" s="161">
        <f t="shared" si="4"/>
        <v>0</v>
      </c>
    </row>
    <row r="22">
      <c r="B22" s="27"/>
      <c r="C22" s="27"/>
      <c r="D22" s="171" t="s">
        <v>525</v>
      </c>
      <c r="E22" s="159">
        <v>675.0</v>
      </c>
      <c r="F22" s="159">
        <v>0.0</v>
      </c>
      <c r="G22" s="160">
        <f t="shared" si="1"/>
        <v>0</v>
      </c>
      <c r="H22" s="160">
        <f>sum('PENDATAAN PERUMAHAN'!P163:P165)</f>
        <v>0</v>
      </c>
      <c r="I22" s="161">
        <f t="shared" ref="I22:I27" si="5">(H22-F22)/E22</f>
        <v>0</v>
      </c>
      <c r="J22" s="161">
        <f t="shared" si="4"/>
        <v>0</v>
      </c>
    </row>
    <row r="23">
      <c r="B23" s="27"/>
      <c r="C23" s="27"/>
      <c r="D23" s="171" t="s">
        <v>25</v>
      </c>
      <c r="E23" s="159">
        <v>13500.0</v>
      </c>
      <c r="F23" s="159">
        <v>24219.0</v>
      </c>
      <c r="G23" s="160">
        <f t="shared" si="1"/>
        <v>-24103</v>
      </c>
      <c r="H23" s="160">
        <f>sum('PENDATAAN PERUMAHAN'!R163:R165)</f>
        <v>116</v>
      </c>
      <c r="I23" s="161">
        <f t="shared" si="5"/>
        <v>-1.785407407</v>
      </c>
      <c r="J23" s="161">
        <f t="shared" si="4"/>
        <v>0.008592592593</v>
      </c>
    </row>
    <row r="24">
      <c r="B24" s="27"/>
      <c r="C24" s="27"/>
      <c r="D24" s="158" t="s">
        <v>24</v>
      </c>
      <c r="E24" s="159">
        <v>42200.0</v>
      </c>
      <c r="F24" s="159">
        <v>2272.0</v>
      </c>
      <c r="G24" s="160">
        <f t="shared" si="1"/>
        <v>-2272</v>
      </c>
      <c r="H24" s="160">
        <f>sum('PENDATAAN PERUMAHAN'!Q163:Q165)</f>
        <v>0</v>
      </c>
      <c r="I24" s="161">
        <f t="shared" si="5"/>
        <v>-0.05383886256</v>
      </c>
      <c r="J24" s="161">
        <f t="shared" si="4"/>
        <v>0</v>
      </c>
    </row>
    <row r="25">
      <c r="B25" s="27"/>
      <c r="C25" s="27"/>
      <c r="D25" s="158" t="s">
        <v>28</v>
      </c>
      <c r="E25" s="159">
        <v>0.0</v>
      </c>
      <c r="F25" s="159">
        <v>0.0</v>
      </c>
      <c r="G25" s="160">
        <f t="shared" si="1"/>
        <v>0</v>
      </c>
      <c r="H25" s="160">
        <f>sum('PENDATAAN PERUMAHAN'!T163:T165)</f>
        <v>0</v>
      </c>
      <c r="I25" s="161" t="str">
        <f t="shared" si="5"/>
        <v>#DIV/0!</v>
      </c>
      <c r="J25" s="161">
        <f>H25/36</f>
        <v>0</v>
      </c>
    </row>
    <row r="26">
      <c r="B26" s="27"/>
      <c r="C26" s="27"/>
      <c r="D26" s="158" t="s">
        <v>517</v>
      </c>
      <c r="E26" s="159">
        <v>600.0</v>
      </c>
      <c r="F26" s="159">
        <v>2104.0</v>
      </c>
      <c r="G26" s="160">
        <f t="shared" si="1"/>
        <v>-2104</v>
      </c>
      <c r="H26" s="160">
        <f>sum('PENDATAAN PERUMAHAN'!S163:S165)</f>
        <v>0</v>
      </c>
      <c r="I26" s="161">
        <f t="shared" si="5"/>
        <v>-3.506666667</v>
      </c>
      <c r="J26" s="161">
        <f t="shared" ref="J26:J29" si="6">H26/E26</f>
        <v>0</v>
      </c>
    </row>
    <row r="27">
      <c r="B27" s="27"/>
      <c r="C27" s="27"/>
      <c r="D27" s="158" t="s">
        <v>29</v>
      </c>
      <c r="E27" s="159">
        <v>486897.0</v>
      </c>
      <c r="F27" s="159">
        <v>1105.0</v>
      </c>
      <c r="G27" s="160">
        <f t="shared" si="1"/>
        <v>-1101</v>
      </c>
      <c r="H27" s="160">
        <f>sum('PENDATAAN PERUMAHAN'!U163:U165)</f>
        <v>4</v>
      </c>
      <c r="I27" s="161">
        <f t="shared" si="5"/>
        <v>-0.002261258541</v>
      </c>
      <c r="J27" s="161">
        <f t="shared" si="6"/>
        <v>0.000008215289887</v>
      </c>
    </row>
    <row r="28">
      <c r="B28" s="40"/>
      <c r="C28" s="40"/>
      <c r="D28" s="174" t="s">
        <v>519</v>
      </c>
      <c r="E28" s="175">
        <v>200.0</v>
      </c>
      <c r="F28" s="175">
        <v>169.0</v>
      </c>
      <c r="G28" s="698">
        <f t="shared" si="1"/>
        <v>-169</v>
      </c>
      <c r="H28" s="160"/>
      <c r="I28" s="175"/>
      <c r="J28" s="161">
        <f t="shared" si="6"/>
        <v>0</v>
      </c>
    </row>
    <row r="29">
      <c r="B29" s="182" t="s">
        <v>533</v>
      </c>
      <c r="C29" s="183"/>
      <c r="D29" s="31"/>
      <c r="E29" s="184">
        <f t="shared" ref="E29:F29" si="7">SUM(E11:E28)</f>
        <v>1000700</v>
      </c>
      <c r="F29" s="184">
        <f t="shared" si="7"/>
        <v>54601</v>
      </c>
      <c r="G29" s="185"/>
      <c r="H29" s="185">
        <f>SUM(H11:H28)</f>
        <v>2342</v>
      </c>
      <c r="I29" s="186">
        <f>(H29-F29)/E29</f>
        <v>-0.05222244429</v>
      </c>
      <c r="J29" s="186">
        <f t="shared" si="6"/>
        <v>0.002340361747</v>
      </c>
    </row>
    <row r="30">
      <c r="B30" s="187"/>
      <c r="C30" s="188"/>
      <c r="D30" s="189"/>
      <c r="E30" s="159"/>
      <c r="F30" s="160"/>
      <c r="G30" s="160"/>
      <c r="H30" s="160"/>
      <c r="I30" s="161"/>
      <c r="J30" s="161"/>
    </row>
    <row r="31">
      <c r="B31" s="156" t="s">
        <v>6</v>
      </c>
      <c r="C31" s="157" t="s">
        <v>8</v>
      </c>
      <c r="D31" s="158" t="s">
        <v>536</v>
      </c>
      <c r="E31" s="159">
        <v>217500.0</v>
      </c>
      <c r="F31" s="159">
        <v>67791.0</v>
      </c>
      <c r="G31" s="160">
        <f t="shared" ref="G31:G32" si="8">H31-F31</f>
        <v>-67791</v>
      </c>
      <c r="H31" s="160" t="str">
        <f>'PENDATAAN PERUMAHAN'!E243</f>
        <v/>
      </c>
      <c r="I31" s="161">
        <f t="shared" ref="I31:I35" si="9">(H31-F31)/E31</f>
        <v>-0.3116827586</v>
      </c>
      <c r="J31" s="161">
        <f t="shared" ref="J31:J35" si="10">H31/E31</f>
        <v>0</v>
      </c>
    </row>
    <row r="32">
      <c r="B32" s="27"/>
      <c r="C32" s="27"/>
      <c r="D32" s="158" t="s">
        <v>538</v>
      </c>
      <c r="E32" s="159">
        <v>300000.0</v>
      </c>
      <c r="F32" s="159">
        <v>0.0</v>
      </c>
      <c r="G32" s="160">
        <f t="shared" si="8"/>
        <v>0</v>
      </c>
      <c r="H32" s="160" t="str">
        <f>'PENDATAAN PERUMAHAN'!V243</f>
        <v/>
      </c>
      <c r="I32" s="161">
        <f t="shared" si="9"/>
        <v>0</v>
      </c>
      <c r="J32" s="161">
        <f t="shared" si="10"/>
        <v>0</v>
      </c>
    </row>
    <row r="33">
      <c r="B33" s="40"/>
      <c r="C33" s="40"/>
      <c r="D33" s="158" t="s">
        <v>541</v>
      </c>
      <c r="E33" s="159">
        <v>0.0</v>
      </c>
      <c r="F33" s="159">
        <v>0.0</v>
      </c>
      <c r="G33" s="160"/>
      <c r="H33" s="160" t="str">
        <f>'PENDATAAN PERUMAHAN'!W243</f>
        <v/>
      </c>
      <c r="I33" s="161" t="str">
        <f t="shared" si="9"/>
        <v>#DIV/0!</v>
      </c>
      <c r="J33" s="161" t="str">
        <f t="shared" si="10"/>
        <v>#DIV/0!</v>
      </c>
    </row>
    <row r="34">
      <c r="B34" s="193" t="s">
        <v>542</v>
      </c>
      <c r="C34" s="19"/>
      <c r="D34" s="20"/>
      <c r="E34" s="194">
        <f>E31+E32+E33</f>
        <v>517500</v>
      </c>
      <c r="F34" s="195">
        <f>SUM(F31:F33)</f>
        <v>67791</v>
      </c>
      <c r="G34" s="195">
        <f t="shared" ref="G34:G35" si="11">H34-F34</f>
        <v>-67791</v>
      </c>
      <c r="H34" s="195">
        <f>H31+H32+H33</f>
        <v>0</v>
      </c>
      <c r="I34" s="186">
        <f t="shared" si="9"/>
        <v>-0.1309971014</v>
      </c>
      <c r="J34" s="186">
        <f t="shared" si="10"/>
        <v>0</v>
      </c>
    </row>
    <row r="35">
      <c r="B35" s="197" t="s">
        <v>544</v>
      </c>
      <c r="C35" s="19"/>
      <c r="D35" s="20"/>
      <c r="E35" s="198">
        <f>E34+E29</f>
        <v>1518200</v>
      </c>
      <c r="F35" s="199">
        <f>F29+F34</f>
        <v>122392</v>
      </c>
      <c r="G35" s="200">
        <f t="shared" si="11"/>
        <v>-120050</v>
      </c>
      <c r="H35" s="199">
        <f>H34+H29</f>
        <v>2342</v>
      </c>
      <c r="I35" s="201">
        <f t="shared" si="9"/>
        <v>-0.07907390331</v>
      </c>
      <c r="J35" s="201">
        <f t="shared" si="10"/>
        <v>0.001542616256</v>
      </c>
    </row>
  </sheetData>
  <mergeCells count="13">
    <mergeCell ref="C20:C28"/>
    <mergeCell ref="B29:D29"/>
    <mergeCell ref="B31:B33"/>
    <mergeCell ref="C31:C33"/>
    <mergeCell ref="B34:D34"/>
    <mergeCell ref="B35:D35"/>
    <mergeCell ref="D5:D7"/>
    <mergeCell ref="B11:B19"/>
    <mergeCell ref="C11:C14"/>
    <mergeCell ref="E13:E14"/>
    <mergeCell ref="C15:C16"/>
    <mergeCell ref="C17:C19"/>
    <mergeCell ref="B20:B28"/>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25"/>
    <col customWidth="1" min="3" max="3" width="30.88"/>
    <col customWidth="1" min="4" max="4" width="27.0"/>
    <col customWidth="1" min="5" max="5" width="21.88"/>
    <col customWidth="1" min="6" max="6" width="22.75"/>
    <col customWidth="1" min="9" max="9" width="21.38"/>
    <col customWidth="1" min="10" max="10" width="26.5"/>
  </cols>
  <sheetData>
    <row r="2">
      <c r="A2" s="689" t="s">
        <v>1281</v>
      </c>
      <c r="B2" s="690"/>
      <c r="C2" s="690"/>
      <c r="D2" s="690"/>
      <c r="E2" s="690"/>
    </row>
    <row r="3">
      <c r="A3" s="690"/>
      <c r="B3" s="690"/>
      <c r="C3" s="690"/>
      <c r="D3" s="690"/>
      <c r="E3" s="690"/>
    </row>
    <row r="4">
      <c r="A4" s="691" t="s">
        <v>1282</v>
      </c>
      <c r="B4" s="691" t="s">
        <v>4</v>
      </c>
      <c r="C4" s="691" t="s">
        <v>5</v>
      </c>
      <c r="D4" s="691" t="s">
        <v>1283</v>
      </c>
      <c r="E4" s="691" t="s">
        <v>715</v>
      </c>
      <c r="F4" s="710"/>
    </row>
    <row r="5">
      <c r="A5" s="693"/>
      <c r="B5" s="694" t="s">
        <v>1298</v>
      </c>
      <c r="C5" s="694" t="s">
        <v>412</v>
      </c>
      <c r="D5" s="695" t="s">
        <v>873</v>
      </c>
      <c r="E5" s="636" t="s">
        <v>1343</v>
      </c>
      <c r="F5" s="707"/>
    </row>
    <row r="6" ht="27.0" customHeight="1">
      <c r="A6" s="693"/>
      <c r="B6" s="694"/>
      <c r="C6" s="694" t="s">
        <v>414</v>
      </c>
      <c r="D6" s="27"/>
      <c r="E6" s="697" t="s">
        <v>875</v>
      </c>
      <c r="F6" s="707"/>
    </row>
    <row r="7">
      <c r="A7" s="693"/>
      <c r="B7" s="694"/>
      <c r="C7" s="694" t="s">
        <v>415</v>
      </c>
      <c r="D7" s="27"/>
      <c r="E7" s="697" t="s">
        <v>876</v>
      </c>
      <c r="F7" s="707"/>
    </row>
    <row r="8">
      <c r="A8" s="714"/>
      <c r="B8" s="714"/>
      <c r="C8" s="694" t="s">
        <v>416</v>
      </c>
      <c r="D8" s="27"/>
      <c r="E8" s="697" t="s">
        <v>877</v>
      </c>
      <c r="F8" s="679"/>
    </row>
    <row r="9">
      <c r="A9" s="714"/>
      <c r="B9" s="714"/>
      <c r="C9" s="694" t="s">
        <v>418</v>
      </c>
      <c r="D9" s="27"/>
      <c r="E9" s="697" t="s">
        <v>878</v>
      </c>
      <c r="F9" s="679"/>
    </row>
    <row r="10">
      <c r="A10" s="714"/>
      <c r="B10" s="714"/>
      <c r="C10" s="694" t="s">
        <v>421</v>
      </c>
      <c r="D10" s="27"/>
      <c r="E10" s="697" t="s">
        <v>879</v>
      </c>
      <c r="F10" s="679"/>
    </row>
    <row r="11">
      <c r="A11" s="714"/>
      <c r="B11" s="714"/>
      <c r="C11" s="694" t="s">
        <v>423</v>
      </c>
      <c r="D11" s="27"/>
      <c r="E11" s="697" t="s">
        <v>880</v>
      </c>
      <c r="F11" s="679"/>
    </row>
    <row r="12">
      <c r="A12" s="714"/>
      <c r="B12" s="714"/>
      <c r="C12" s="694" t="s">
        <v>425</v>
      </c>
      <c r="D12" s="27"/>
      <c r="E12" s="697" t="s">
        <v>881</v>
      </c>
      <c r="F12" s="679"/>
    </row>
    <row r="13">
      <c r="A13" s="714"/>
      <c r="B13" s="714"/>
      <c r="C13" s="694" t="s">
        <v>429</v>
      </c>
      <c r="D13" s="27"/>
      <c r="E13" s="697" t="s">
        <v>882</v>
      </c>
      <c r="F13" s="679"/>
    </row>
    <row r="14">
      <c r="A14" s="714"/>
      <c r="B14" s="714"/>
      <c r="C14" s="694" t="s">
        <v>432</v>
      </c>
      <c r="D14" s="40"/>
      <c r="E14" s="697" t="s">
        <v>883</v>
      </c>
      <c r="F14" s="679"/>
    </row>
    <row r="15">
      <c r="A15" s="690"/>
      <c r="B15" s="690"/>
      <c r="C15" s="726"/>
      <c r="D15" s="727"/>
      <c r="E15" s="728"/>
    </row>
    <row r="16">
      <c r="A16" s="690"/>
      <c r="B16" s="690"/>
      <c r="C16" s="726"/>
      <c r="D16" s="727"/>
      <c r="E16" s="728"/>
    </row>
    <row r="17">
      <c r="A17" s="690"/>
      <c r="B17" s="251"/>
      <c r="C17" s="734"/>
      <c r="D17" s="152"/>
      <c r="E17" s="734"/>
      <c r="F17" s="251"/>
      <c r="G17" s="251"/>
      <c r="H17" s="251"/>
      <c r="I17" s="251"/>
      <c r="J17" s="251"/>
    </row>
    <row r="18">
      <c r="A18" s="690"/>
      <c r="B18" s="151" t="s">
        <v>494</v>
      </c>
      <c r="C18" s="152" t="s">
        <v>495</v>
      </c>
      <c r="D18" s="152" t="s">
        <v>15</v>
      </c>
      <c r="E18" s="152" t="s">
        <v>496</v>
      </c>
      <c r="F18" s="152" t="s">
        <v>497</v>
      </c>
      <c r="G18" s="152" t="s">
        <v>498</v>
      </c>
      <c r="H18" s="152" t="s">
        <v>499</v>
      </c>
      <c r="I18" s="152" t="s">
        <v>500</v>
      </c>
      <c r="J18" s="152" t="s">
        <v>501</v>
      </c>
    </row>
    <row r="19">
      <c r="A19" s="690"/>
      <c r="B19" s="156" t="s">
        <v>2</v>
      </c>
      <c r="C19" s="157" t="s">
        <v>505</v>
      </c>
      <c r="D19" s="158" t="s">
        <v>506</v>
      </c>
      <c r="E19" s="159">
        <v>518.0</v>
      </c>
      <c r="F19" s="159">
        <v>0.0</v>
      </c>
      <c r="G19" s="160">
        <f t="shared" ref="G19:G36" si="1">H19-F19</f>
        <v>0</v>
      </c>
      <c r="H19" s="160">
        <f>sum('PENDATAAN PERUMAHAN'!J188:J197)</f>
        <v>0</v>
      </c>
      <c r="I19" s="161">
        <f>(H19-F19)/E19</f>
        <v>0</v>
      </c>
      <c r="J19" s="161" t="str">
        <f t="shared" ref="J19:J20" si="2">H19/$E$2</f>
        <v>#DIV/0!</v>
      </c>
    </row>
    <row r="20">
      <c r="B20" s="27"/>
      <c r="C20" s="27"/>
      <c r="D20" s="164" t="s">
        <v>508</v>
      </c>
      <c r="E20" s="159">
        <v>0.0</v>
      </c>
      <c r="F20" s="159">
        <v>138.0</v>
      </c>
      <c r="G20" s="160">
        <f t="shared" si="1"/>
        <v>-138</v>
      </c>
      <c r="H20" s="160">
        <f>sum('PENDATAAN PERUMAHAN'!K188:K197)</f>
        <v>0</v>
      </c>
      <c r="I20" s="161"/>
      <c r="J20" s="161" t="str">
        <f t="shared" si="2"/>
        <v>#DIV/0!</v>
      </c>
    </row>
    <row r="21">
      <c r="B21" s="27"/>
      <c r="C21" s="27"/>
      <c r="D21" s="164" t="s">
        <v>25</v>
      </c>
      <c r="E21" s="166">
        <v>2500.0</v>
      </c>
      <c r="F21" s="159">
        <v>4668.0</v>
      </c>
      <c r="G21" s="160">
        <f t="shared" si="1"/>
        <v>948.6114</v>
      </c>
      <c r="H21" s="160">
        <f>sum('PENDATAAN PERUMAHAN'!M188:Z197)</f>
        <v>5616.6114</v>
      </c>
      <c r="I21" s="161">
        <f>(H21-F21)/E21</f>
        <v>0.37944456</v>
      </c>
      <c r="J21" s="161">
        <f>H21/E21</f>
        <v>2.24664456</v>
      </c>
    </row>
    <row r="22">
      <c r="B22" s="27"/>
      <c r="C22" s="40"/>
      <c r="D22" s="164" t="s">
        <v>24</v>
      </c>
      <c r="E22" s="40"/>
      <c r="F22" s="159">
        <v>407.0</v>
      </c>
      <c r="G22" s="160">
        <f t="shared" si="1"/>
        <v>-348</v>
      </c>
      <c r="H22" s="160">
        <f>sum('PENDATAAN PERUMAHAN'!L188:L197)</f>
        <v>59</v>
      </c>
      <c r="I22" s="161"/>
      <c r="J22" s="161"/>
    </row>
    <row r="23">
      <c r="B23" s="27"/>
      <c r="C23" s="157" t="s">
        <v>13</v>
      </c>
      <c r="D23" s="164" t="s">
        <v>512</v>
      </c>
      <c r="E23" s="159">
        <v>160000.0</v>
      </c>
      <c r="F23" s="159">
        <v>11206.0</v>
      </c>
      <c r="G23" s="160">
        <f t="shared" si="1"/>
        <v>-11035</v>
      </c>
      <c r="H23" s="160">
        <f>sum('PENDATAAN PERUMAHAN'!F188:F197)</f>
        <v>171</v>
      </c>
      <c r="I23" s="161">
        <f t="shared" ref="I23:I26" si="3">(H23-F23)/E23</f>
        <v>-0.06896875</v>
      </c>
      <c r="J23" s="161">
        <f t="shared" ref="J23:J32" si="4">H23/E23</f>
        <v>0.00106875</v>
      </c>
    </row>
    <row r="24">
      <c r="B24" s="27"/>
      <c r="C24" s="40"/>
      <c r="D24" s="164" t="s">
        <v>514</v>
      </c>
      <c r="E24" s="159">
        <v>80000.0</v>
      </c>
      <c r="F24" s="159">
        <v>346.0</v>
      </c>
      <c r="G24" s="160">
        <f t="shared" si="1"/>
        <v>-346</v>
      </c>
      <c r="H24" s="160">
        <f>sum('PENDATAAN PERUMAHAN'!G188:G197)</f>
        <v>0</v>
      </c>
      <c r="I24" s="161">
        <f t="shared" si="3"/>
        <v>-0.004325</v>
      </c>
      <c r="J24" s="161">
        <f t="shared" si="4"/>
        <v>0</v>
      </c>
    </row>
    <row r="25">
      <c r="B25" s="27"/>
      <c r="C25" s="157" t="s">
        <v>14</v>
      </c>
      <c r="D25" s="158" t="s">
        <v>21</v>
      </c>
      <c r="E25" s="159">
        <v>197500.0</v>
      </c>
      <c r="F25" s="159">
        <v>6706.0</v>
      </c>
      <c r="G25" s="160">
        <f t="shared" si="1"/>
        <v>-6697</v>
      </c>
      <c r="H25" s="160">
        <f>sum('PENDATAAN PERUMAHAN'!H188:H197)</f>
        <v>9</v>
      </c>
      <c r="I25" s="161">
        <f t="shared" si="3"/>
        <v>-0.03390886076</v>
      </c>
      <c r="J25" s="161">
        <f t="shared" si="4"/>
        <v>0.00004556962025</v>
      </c>
    </row>
    <row r="26">
      <c r="B26" s="27"/>
      <c r="C26" s="27"/>
      <c r="D26" s="158" t="s">
        <v>517</v>
      </c>
      <c r="E26" s="166">
        <v>850.0</v>
      </c>
      <c r="F26" s="166">
        <v>397.0</v>
      </c>
      <c r="G26" s="160">
        <f t="shared" si="1"/>
        <v>-396</v>
      </c>
      <c r="H26" s="160">
        <f>sum('PENDATAAN PERUMAHAN'!I188:I197)</f>
        <v>1</v>
      </c>
      <c r="I26" s="161">
        <f t="shared" si="3"/>
        <v>-0.4658823529</v>
      </c>
      <c r="J26" s="161">
        <f t="shared" si="4"/>
        <v>0.001176470588</v>
      </c>
    </row>
    <row r="27">
      <c r="B27" s="40"/>
      <c r="C27" s="40"/>
      <c r="D27" s="171" t="s">
        <v>519</v>
      </c>
      <c r="E27" s="166">
        <v>50.0</v>
      </c>
      <c r="F27" s="166">
        <v>16.0</v>
      </c>
      <c r="G27" s="160">
        <f t="shared" si="1"/>
        <v>-16</v>
      </c>
      <c r="H27" s="160"/>
      <c r="I27" s="161"/>
      <c r="J27" s="161">
        <f t="shared" si="4"/>
        <v>0</v>
      </c>
    </row>
    <row r="28">
      <c r="B28" s="156" t="s">
        <v>521</v>
      </c>
      <c r="C28" s="157" t="s">
        <v>522</v>
      </c>
      <c r="D28" s="171" t="s">
        <v>506</v>
      </c>
      <c r="E28" s="159">
        <v>15110.0</v>
      </c>
      <c r="F28" s="166">
        <v>0.0</v>
      </c>
      <c r="G28" s="160">
        <f t="shared" si="1"/>
        <v>0</v>
      </c>
      <c r="H28" s="160">
        <f>sum('PENDATAAN PERUMAHAN'!N188:N197)</f>
        <v>0</v>
      </c>
      <c r="I28" s="161">
        <f>(H28-F28)/E28</f>
        <v>0</v>
      </c>
      <c r="J28" s="161">
        <f t="shared" si="4"/>
        <v>0</v>
      </c>
    </row>
    <row r="29">
      <c r="B29" s="27"/>
      <c r="C29" s="27"/>
      <c r="D29" s="171" t="s">
        <v>508</v>
      </c>
      <c r="E29" s="159">
        <v>100.0</v>
      </c>
      <c r="F29" s="166">
        <v>848.0</v>
      </c>
      <c r="G29" s="160">
        <f t="shared" si="1"/>
        <v>-848</v>
      </c>
      <c r="H29" s="160">
        <f>sum('PENDATAAN PERUMAHAN'!O188:O197)</f>
        <v>0</v>
      </c>
      <c r="I29" s="161"/>
      <c r="J29" s="161">
        <f t="shared" si="4"/>
        <v>0</v>
      </c>
    </row>
    <row r="30">
      <c r="B30" s="27"/>
      <c r="C30" s="27"/>
      <c r="D30" s="171" t="s">
        <v>525</v>
      </c>
      <c r="E30" s="159">
        <v>675.0</v>
      </c>
      <c r="F30" s="159">
        <v>0.0</v>
      </c>
      <c r="G30" s="160">
        <f t="shared" si="1"/>
        <v>0</v>
      </c>
      <c r="H30" s="160">
        <f>sum('PENDATAAN PERUMAHAN'!P188:P197)</f>
        <v>0</v>
      </c>
      <c r="I30" s="161">
        <f t="shared" ref="I30:I35" si="5">(H30-F30)/E30</f>
        <v>0</v>
      </c>
      <c r="J30" s="161">
        <f t="shared" si="4"/>
        <v>0</v>
      </c>
    </row>
    <row r="31">
      <c r="B31" s="27"/>
      <c r="C31" s="27"/>
      <c r="D31" s="171" t="s">
        <v>25</v>
      </c>
      <c r="E31" s="159">
        <v>13500.0</v>
      </c>
      <c r="F31" s="159">
        <v>24219.0</v>
      </c>
      <c r="G31" s="160">
        <f t="shared" si="1"/>
        <v>-23538</v>
      </c>
      <c r="H31" s="160">
        <f>sum('PENDATAAN PERUMAHAN'!R188:R197)</f>
        <v>681</v>
      </c>
      <c r="I31" s="161">
        <f t="shared" si="5"/>
        <v>-1.743555556</v>
      </c>
      <c r="J31" s="161">
        <f t="shared" si="4"/>
        <v>0.05044444444</v>
      </c>
    </row>
    <row r="32">
      <c r="B32" s="27"/>
      <c r="C32" s="27"/>
      <c r="D32" s="158" t="s">
        <v>24</v>
      </c>
      <c r="E32" s="159">
        <v>42200.0</v>
      </c>
      <c r="F32" s="159">
        <v>2272.0</v>
      </c>
      <c r="G32" s="160">
        <f t="shared" si="1"/>
        <v>-2189</v>
      </c>
      <c r="H32" s="160">
        <f>sum('PENDATAAN PERUMAHAN'!Q188:Q197)</f>
        <v>83</v>
      </c>
      <c r="I32" s="161">
        <f t="shared" si="5"/>
        <v>-0.05187203791</v>
      </c>
      <c r="J32" s="161">
        <f t="shared" si="4"/>
        <v>0.001966824645</v>
      </c>
    </row>
    <row r="33">
      <c r="B33" s="27"/>
      <c r="C33" s="27"/>
      <c r="D33" s="158" t="s">
        <v>28</v>
      </c>
      <c r="E33" s="159">
        <v>0.0</v>
      </c>
      <c r="F33" s="159">
        <v>0.0</v>
      </c>
      <c r="G33" s="160">
        <f t="shared" si="1"/>
        <v>0</v>
      </c>
      <c r="H33" s="160">
        <f>sum('PENDATAAN PERUMAHAN'!T188:T197)</f>
        <v>0</v>
      </c>
      <c r="I33" s="161" t="str">
        <f t="shared" si="5"/>
        <v>#DIV/0!</v>
      </c>
      <c r="J33" s="161">
        <f>H33/36</f>
        <v>0</v>
      </c>
    </row>
    <row r="34">
      <c r="B34" s="27"/>
      <c r="C34" s="27"/>
      <c r="D34" s="158" t="s">
        <v>517</v>
      </c>
      <c r="E34" s="159">
        <v>600.0</v>
      </c>
      <c r="F34" s="159">
        <v>2104.0</v>
      </c>
      <c r="G34" s="160">
        <f t="shared" si="1"/>
        <v>-2104</v>
      </c>
      <c r="H34" s="160">
        <f>sum('PENDATAAN PERUMAHAN'!S188:S197)</f>
        <v>0</v>
      </c>
      <c r="I34" s="161">
        <f t="shared" si="5"/>
        <v>-3.506666667</v>
      </c>
      <c r="J34" s="161">
        <f t="shared" ref="J34:J37" si="6">H34/E34</f>
        <v>0</v>
      </c>
    </row>
    <row r="35">
      <c r="B35" s="27"/>
      <c r="C35" s="27"/>
      <c r="D35" s="158" t="s">
        <v>29</v>
      </c>
      <c r="E35" s="159">
        <v>486897.0</v>
      </c>
      <c r="F35" s="159">
        <v>1105.0</v>
      </c>
      <c r="G35" s="160">
        <f t="shared" si="1"/>
        <v>-1105</v>
      </c>
      <c r="H35" s="160">
        <f>sum('PENDATAAN PERUMAHAN'!U188:U197)</f>
        <v>0</v>
      </c>
      <c r="I35" s="161">
        <f t="shared" si="5"/>
        <v>-0.002269473831</v>
      </c>
      <c r="J35" s="161">
        <f t="shared" si="6"/>
        <v>0</v>
      </c>
    </row>
    <row r="36">
      <c r="B36" s="40"/>
      <c r="C36" s="40"/>
      <c r="D36" s="174" t="s">
        <v>519</v>
      </c>
      <c r="E36" s="175">
        <v>200.0</v>
      </c>
      <c r="F36" s="175">
        <v>169.0</v>
      </c>
      <c r="G36" s="698">
        <f t="shared" si="1"/>
        <v>-169</v>
      </c>
      <c r="H36" s="160"/>
      <c r="I36" s="175"/>
      <c r="J36" s="161">
        <f t="shared" si="6"/>
        <v>0</v>
      </c>
    </row>
    <row r="37">
      <c r="B37" s="182" t="s">
        <v>533</v>
      </c>
      <c r="C37" s="183"/>
      <c r="D37" s="31"/>
      <c r="E37" s="184">
        <f t="shared" ref="E37:F37" si="7">SUM(E19:E36)</f>
        <v>1000700</v>
      </c>
      <c r="F37" s="184">
        <f t="shared" si="7"/>
        <v>54601</v>
      </c>
      <c r="G37" s="185"/>
      <c r="H37" s="185">
        <f>SUM(H19:H36)</f>
        <v>6620.6114</v>
      </c>
      <c r="I37" s="186">
        <f>(H37-F37)/E37</f>
        <v>-0.04794682582</v>
      </c>
      <c r="J37" s="186">
        <f t="shared" si="6"/>
        <v>0.006615980214</v>
      </c>
    </row>
    <row r="38">
      <c r="B38" s="187"/>
      <c r="C38" s="188"/>
      <c r="D38" s="189"/>
      <c r="E38" s="159"/>
      <c r="F38" s="160"/>
      <c r="G38" s="160"/>
      <c r="H38" s="160"/>
      <c r="I38" s="161"/>
      <c r="J38" s="161"/>
    </row>
    <row r="39">
      <c r="B39" s="156" t="s">
        <v>6</v>
      </c>
      <c r="C39" s="157" t="s">
        <v>8</v>
      </c>
      <c r="D39" s="158" t="s">
        <v>536</v>
      </c>
      <c r="E39" s="159">
        <v>217500.0</v>
      </c>
      <c r="F39" s="159">
        <v>67791.0</v>
      </c>
      <c r="G39" s="160">
        <f t="shared" ref="G39:G40" si="8">H39-F39</f>
        <v>-67791</v>
      </c>
      <c r="H39" s="160" t="str">
        <f>'PENDATAAN PERUMAHAN'!E243</f>
        <v/>
      </c>
      <c r="I39" s="161">
        <f t="shared" ref="I39:I43" si="9">(H39-F39)/E39</f>
        <v>-0.3116827586</v>
      </c>
      <c r="J39" s="161">
        <f t="shared" ref="J39:J43" si="10">H39/E39</f>
        <v>0</v>
      </c>
    </row>
    <row r="40">
      <c r="B40" s="27"/>
      <c r="C40" s="27"/>
      <c r="D40" s="158" t="s">
        <v>538</v>
      </c>
      <c r="E40" s="159">
        <v>300000.0</v>
      </c>
      <c r="F40" s="159">
        <v>0.0</v>
      </c>
      <c r="G40" s="160">
        <f t="shared" si="8"/>
        <v>0</v>
      </c>
      <c r="H40" s="160" t="str">
        <f>'PENDATAAN PERUMAHAN'!V243</f>
        <v/>
      </c>
      <c r="I40" s="161">
        <f t="shared" si="9"/>
        <v>0</v>
      </c>
      <c r="J40" s="161">
        <f t="shared" si="10"/>
        <v>0</v>
      </c>
    </row>
    <row r="41">
      <c r="B41" s="40"/>
      <c r="C41" s="40"/>
      <c r="D41" s="158" t="s">
        <v>541</v>
      </c>
      <c r="E41" s="159">
        <v>0.0</v>
      </c>
      <c r="F41" s="159">
        <v>0.0</v>
      </c>
      <c r="G41" s="160"/>
      <c r="H41" s="160" t="str">
        <f>'PENDATAAN PERUMAHAN'!W243</f>
        <v/>
      </c>
      <c r="I41" s="161" t="str">
        <f t="shared" si="9"/>
        <v>#DIV/0!</v>
      </c>
      <c r="J41" s="161" t="str">
        <f t="shared" si="10"/>
        <v>#DIV/0!</v>
      </c>
    </row>
    <row r="42">
      <c r="B42" s="193" t="s">
        <v>542</v>
      </c>
      <c r="C42" s="19"/>
      <c r="D42" s="20"/>
      <c r="E42" s="194">
        <f>E39+E40+E41</f>
        <v>517500</v>
      </c>
      <c r="F42" s="195">
        <f>SUM(F39:F41)</f>
        <v>67791</v>
      </c>
      <c r="G42" s="195">
        <f t="shared" ref="G42:G43" si="11">H42-F42</f>
        <v>-67791</v>
      </c>
      <c r="H42" s="195">
        <f>H39+H40+H41</f>
        <v>0</v>
      </c>
      <c r="I42" s="186">
        <f t="shared" si="9"/>
        <v>-0.1309971014</v>
      </c>
      <c r="J42" s="186">
        <f t="shared" si="10"/>
        <v>0</v>
      </c>
    </row>
    <row r="43">
      <c r="B43" s="197" t="s">
        <v>544</v>
      </c>
      <c r="C43" s="19"/>
      <c r="D43" s="20"/>
      <c r="E43" s="198">
        <f>E42+E37</f>
        <v>1518200</v>
      </c>
      <c r="F43" s="199">
        <f>F37+F42</f>
        <v>122392</v>
      </c>
      <c r="G43" s="200">
        <f t="shared" si="11"/>
        <v>-115771.3886</v>
      </c>
      <c r="H43" s="199">
        <f>H42+H37</f>
        <v>6620.6114</v>
      </c>
      <c r="I43" s="201">
        <f t="shared" si="9"/>
        <v>-0.07625569003</v>
      </c>
      <c r="J43" s="201">
        <f t="shared" si="10"/>
        <v>0.004360829535</v>
      </c>
    </row>
  </sheetData>
  <mergeCells count="13">
    <mergeCell ref="C28:C36"/>
    <mergeCell ref="B37:D37"/>
    <mergeCell ref="B39:B41"/>
    <mergeCell ref="C39:C41"/>
    <mergeCell ref="B42:D42"/>
    <mergeCell ref="B43:D43"/>
    <mergeCell ref="D5:D14"/>
    <mergeCell ref="B19:B27"/>
    <mergeCell ref="C19:C22"/>
    <mergeCell ref="E21:E22"/>
    <mergeCell ref="C23:C24"/>
    <mergeCell ref="C25:C27"/>
    <mergeCell ref="B28:B36"/>
  </mergeCells>
  <drawing r:id="rId1"/>
</worksheet>
</file>